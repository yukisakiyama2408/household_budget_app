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sakiyamayuki/programming/project/household_budget/household_budget_app/"/>
    </mc:Choice>
  </mc:AlternateContent>
  <xr:revisionPtr revIDLastSave="0" documentId="13_ncr:1_{D15948E7-43F7-4540-AB56-7D8F14F1F3F1}" xr6:coauthVersionLast="47" xr6:coauthVersionMax="47" xr10:uidLastSave="{00000000-0000-0000-0000-000000000000}"/>
  <bookViews>
    <workbookView xWindow="0" yWindow="0" windowWidth="28800" windowHeight="18000" activeTab="9" xr2:uid="{00000000-000D-0000-FFFF-FFFF00000000}"/>
  </bookViews>
  <sheets>
    <sheet name="固定費" sheetId="1" r:id="rId1"/>
    <sheet name="【Monthly】2023年" sheetId="2" state="hidden" r:id="rId2"/>
    <sheet name="【Monthly】2024年" sheetId="3" state="hidden" r:id="rId3"/>
    <sheet name="【Monthly】2025年" sheetId="4" state="hidden" r:id="rId4"/>
    <sheet name="【Monthly】2026年" sheetId="5" r:id="rId5"/>
    <sheet name="【Daily】2024年" sheetId="6" state="hidden" r:id="rId6"/>
    <sheet name="【Daily】2025年" sheetId="7" state="hidden" r:id="rId7"/>
    <sheet name="【Daily】2026年" sheetId="8" r:id="rId8"/>
    <sheet name="【Daily】2023年" sheetId="9" state="hidden" r:id="rId9"/>
    <sheet name="フォームの回答 1" sheetId="10" r:id="rId10"/>
  </sheets>
  <definedNames>
    <definedName name="_xlnm._FilterDatabase" localSheetId="9" hidden="1">'フォームの回答 1'!$A$1:$H$4234</definedName>
    <definedName name="Z_4AC04177_0205_49AE_A2A8_15D7FA119C60_.wvu.FilterData" localSheetId="9" hidden="1">'フォームの回答 1'!$A$1:$H$4137</definedName>
    <definedName name="Z_755AF0B3_EF3A_438D_9767_ED6BEEFE37B1_.wvu.FilterData" localSheetId="9" hidden="1">'フォームの回答 1'!$A$1:$H$4137</definedName>
    <definedName name="Z_99F80226_1181_4DF9_AE22_F4D7841F1803_.wvu.FilterData" localSheetId="9" hidden="1">'フォームの回答 1'!$A$1:$O$4234</definedName>
  </definedNames>
  <calcPr calcId="191029"/>
  <customWorkbookViews>
    <customWorkbookView name="8月全体" guid="{99F80226-1181-4DF9-AE22-F4D7841F1803}" maximized="1" windowWidth="0" windowHeight="0" activeSheetId="0"/>
    <customWorkbookView name="9月全体" guid="{755AF0B3-EF3A-438D-9767-ED6BEEFE37B1}" maximized="1" windowWidth="0" windowHeight="0" activeSheetId="0"/>
    <customWorkbookView name="8月クレジット利用" guid="{4AC04177-0205-49AE-A2A8-15D7FA119C60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4" i="9" l="1"/>
  <c r="AF34" i="9"/>
  <c r="AE34" i="9"/>
  <c r="AD34" i="9"/>
  <c r="AC34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AG33" i="9"/>
  <c r="AF33" i="9"/>
  <c r="AE33" i="9"/>
  <c r="AD33" i="9"/>
  <c r="AC33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AF27" i="9"/>
  <c r="AE27" i="9"/>
  <c r="AD27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AG22" i="9"/>
  <c r="AF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G21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J19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J13" i="9"/>
  <c r="AJ10" i="9"/>
  <c r="AG10" i="9"/>
  <c r="AF10" i="9"/>
  <c r="AE10" i="9"/>
  <c r="AD10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G9" i="9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B5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AF64" i="8"/>
  <c r="AE64" i="8"/>
  <c r="AD64" i="8"/>
  <c r="AC64" i="8"/>
  <c r="AB64" i="8"/>
  <c r="AA64" i="8"/>
  <c r="Z64" i="8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AF63" i="8"/>
  <c r="AE63" i="8"/>
  <c r="AD63" i="8"/>
  <c r="AC63" i="8"/>
  <c r="AB63" i="8"/>
  <c r="AA63" i="8"/>
  <c r="Z63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AG58" i="8"/>
  <c r="AF58" i="8"/>
  <c r="AE58" i="8"/>
  <c r="AD58" i="8"/>
  <c r="AC58" i="8"/>
  <c r="AB58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AG57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AF34" i="8"/>
  <c r="AE34" i="8"/>
  <c r="AD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AI32" i="8"/>
  <c r="AC34" i="8" s="1"/>
  <c r="AG28" i="8"/>
  <c r="AF28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AI26" i="8"/>
  <c r="AF22" i="8"/>
  <c r="AE22" i="8"/>
  <c r="AD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AI20" i="8"/>
  <c r="AC22" i="8" s="1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AI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AI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AF64" i="7"/>
  <c r="AE64" i="7"/>
  <c r="AD64" i="7"/>
  <c r="AC64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AF63" i="7"/>
  <c r="AE63" i="7"/>
  <c r="AD63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AG57" i="7"/>
  <c r="AF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AF52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AF51" i="7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AG45" i="7"/>
  <c r="AF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AF34" i="7"/>
  <c r="AE34" i="7"/>
  <c r="AD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AI32" i="7"/>
  <c r="AC34" i="7" s="1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I26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AI20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AI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AI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AG4" i="7"/>
  <c r="AF4" i="7"/>
  <c r="AE4" i="7"/>
  <c r="AD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AI3" i="7"/>
  <c r="AC4" i="7" s="1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C70" i="6"/>
  <c r="AG69" i="6"/>
  <c r="AF69" i="6"/>
  <c r="AE69" i="6"/>
  <c r="AD69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AF64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E64" i="6"/>
  <c r="D64" i="6"/>
  <c r="C64" i="6"/>
  <c r="AF63" i="6"/>
  <c r="AE63" i="6"/>
  <c r="AD63" i="6"/>
  <c r="AC63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D63" i="6"/>
  <c r="C63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C58" i="6"/>
  <c r="AG57" i="6"/>
  <c r="AF57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D57" i="6"/>
  <c r="C57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AF34" i="6"/>
  <c r="AE34" i="6"/>
  <c r="AD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AI32" i="6"/>
  <c r="AC34" i="6" s="1"/>
  <c r="AG28" i="6"/>
  <c r="AF28" i="6"/>
  <c r="AE28" i="6"/>
  <c r="AD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AI26" i="6"/>
  <c r="AC28" i="6" s="1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AI20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AI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AE10" i="6"/>
  <c r="AD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AI9" i="6"/>
  <c r="AC10" i="6" s="1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AI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N20" i="5"/>
  <c r="M20" i="5"/>
  <c r="L20" i="5"/>
  <c r="K20" i="5"/>
  <c r="J20" i="5"/>
  <c r="I20" i="5"/>
  <c r="H20" i="5"/>
  <c r="G20" i="5"/>
  <c r="F20" i="5"/>
  <c r="E20" i="5"/>
  <c r="D20" i="5"/>
  <c r="C20" i="5"/>
  <c r="N19" i="5"/>
  <c r="M19" i="5"/>
  <c r="L19" i="5"/>
  <c r="K19" i="5"/>
  <c r="J19" i="5"/>
  <c r="I19" i="5"/>
  <c r="H19" i="5"/>
  <c r="G19" i="5"/>
  <c r="F19" i="5"/>
  <c r="E19" i="5"/>
  <c r="D19" i="5"/>
  <c r="C19" i="5"/>
  <c r="N18" i="5"/>
  <c r="M18" i="5"/>
  <c r="L18" i="5"/>
  <c r="K18" i="5"/>
  <c r="J18" i="5"/>
  <c r="I18" i="5"/>
  <c r="H18" i="5"/>
  <c r="G18" i="5"/>
  <c r="F18" i="5"/>
  <c r="E18" i="5"/>
  <c r="D18" i="5"/>
  <c r="C18" i="5"/>
  <c r="N17" i="5"/>
  <c r="M17" i="5"/>
  <c r="L17" i="5"/>
  <c r="K17" i="5"/>
  <c r="J17" i="5"/>
  <c r="I17" i="5"/>
  <c r="H17" i="5"/>
  <c r="G17" i="5"/>
  <c r="F17" i="5"/>
  <c r="E17" i="5"/>
  <c r="D17" i="5"/>
  <c r="C17" i="5"/>
  <c r="N16" i="5"/>
  <c r="M16" i="5"/>
  <c r="L16" i="5"/>
  <c r="K16" i="5"/>
  <c r="J16" i="5"/>
  <c r="I16" i="5"/>
  <c r="H16" i="5"/>
  <c r="G16" i="5"/>
  <c r="F16" i="5"/>
  <c r="E16" i="5"/>
  <c r="D16" i="5"/>
  <c r="C16" i="5"/>
  <c r="N15" i="5"/>
  <c r="M15" i="5"/>
  <c r="L15" i="5"/>
  <c r="K15" i="5"/>
  <c r="J15" i="5"/>
  <c r="I15" i="5"/>
  <c r="H15" i="5"/>
  <c r="G15" i="5"/>
  <c r="F15" i="5"/>
  <c r="E15" i="5"/>
  <c r="D15" i="5"/>
  <c r="C15" i="5"/>
  <c r="N14" i="5"/>
  <c r="M14" i="5"/>
  <c r="L14" i="5"/>
  <c r="K14" i="5"/>
  <c r="J14" i="5"/>
  <c r="I14" i="5"/>
  <c r="H14" i="5"/>
  <c r="G14" i="5"/>
  <c r="F14" i="5"/>
  <c r="E14" i="5"/>
  <c r="D14" i="5"/>
  <c r="C14" i="5"/>
  <c r="N13" i="5"/>
  <c r="M13" i="5"/>
  <c r="L13" i="5"/>
  <c r="K13" i="5"/>
  <c r="J13" i="5"/>
  <c r="I13" i="5"/>
  <c r="H13" i="5"/>
  <c r="G13" i="5"/>
  <c r="F13" i="5"/>
  <c r="E13" i="5"/>
  <c r="D13" i="5"/>
  <c r="C13" i="5"/>
  <c r="N12" i="5"/>
  <c r="M12" i="5"/>
  <c r="L12" i="5"/>
  <c r="K12" i="5"/>
  <c r="J12" i="5"/>
  <c r="I12" i="5"/>
  <c r="H12" i="5"/>
  <c r="G12" i="5"/>
  <c r="F12" i="5"/>
  <c r="E12" i="5"/>
  <c r="D12" i="5"/>
  <c r="C12" i="5"/>
  <c r="N11" i="5"/>
  <c r="M11" i="5"/>
  <c r="L11" i="5"/>
  <c r="K11" i="5"/>
  <c r="J11" i="5"/>
  <c r="I11" i="5"/>
  <c r="H11" i="5"/>
  <c r="G11" i="5"/>
  <c r="F11" i="5"/>
  <c r="E11" i="5"/>
  <c r="D11" i="5"/>
  <c r="C11" i="5"/>
  <c r="N10" i="5"/>
  <c r="M10" i="5"/>
  <c r="L10" i="5"/>
  <c r="K10" i="5"/>
  <c r="J10" i="5"/>
  <c r="I10" i="5"/>
  <c r="H10" i="5"/>
  <c r="G10" i="5"/>
  <c r="F10" i="5"/>
  <c r="E10" i="5"/>
  <c r="D10" i="5"/>
  <c r="C10" i="5"/>
  <c r="D9" i="5"/>
  <c r="C9" i="5"/>
  <c r="N8" i="5"/>
  <c r="M8" i="5"/>
  <c r="L8" i="5"/>
  <c r="K8" i="5"/>
  <c r="J8" i="5"/>
  <c r="I8" i="5"/>
  <c r="H8" i="5"/>
  <c r="G8" i="5"/>
  <c r="F8" i="5"/>
  <c r="E8" i="5"/>
  <c r="D8" i="5"/>
  <c r="C8" i="5"/>
  <c r="F7" i="5"/>
  <c r="E7" i="5"/>
  <c r="D7" i="5"/>
  <c r="C7" i="5"/>
  <c r="N6" i="5"/>
  <c r="M6" i="5"/>
  <c r="L6" i="5"/>
  <c r="K6" i="5"/>
  <c r="J6" i="5"/>
  <c r="I6" i="5"/>
  <c r="H6" i="5"/>
  <c r="G6" i="5"/>
  <c r="F6" i="5"/>
  <c r="E6" i="5"/>
  <c r="D6" i="5"/>
  <c r="C6" i="5"/>
  <c r="N3" i="5"/>
  <c r="M3" i="5"/>
  <c r="L3" i="5"/>
  <c r="K3" i="5"/>
  <c r="J3" i="5"/>
  <c r="I3" i="5"/>
  <c r="H3" i="5"/>
  <c r="G3" i="5"/>
  <c r="F3" i="5"/>
  <c r="E3" i="5"/>
  <c r="D3" i="5"/>
  <c r="C3" i="5"/>
  <c r="N2" i="5"/>
  <c r="M2" i="5"/>
  <c r="L2" i="5"/>
  <c r="K2" i="5"/>
  <c r="J2" i="5"/>
  <c r="I2" i="5"/>
  <c r="H2" i="5"/>
  <c r="G2" i="5"/>
  <c r="F2" i="5"/>
  <c r="E2" i="5"/>
  <c r="D2" i="5"/>
  <c r="C2" i="5"/>
  <c r="N18" i="4"/>
  <c r="M18" i="4"/>
  <c r="L18" i="4"/>
  <c r="K18" i="4"/>
  <c r="J18" i="4"/>
  <c r="I18" i="4"/>
  <c r="H18" i="4"/>
  <c r="G18" i="4"/>
  <c r="F18" i="4"/>
  <c r="E18" i="4"/>
  <c r="D18" i="4"/>
  <c r="C18" i="4"/>
  <c r="N17" i="4"/>
  <c r="M17" i="4"/>
  <c r="L17" i="4"/>
  <c r="K17" i="4"/>
  <c r="J17" i="4"/>
  <c r="I17" i="4"/>
  <c r="H17" i="4"/>
  <c r="G17" i="4"/>
  <c r="F17" i="4"/>
  <c r="E17" i="4"/>
  <c r="D17" i="4"/>
  <c r="C17" i="4"/>
  <c r="N16" i="4"/>
  <c r="M16" i="4"/>
  <c r="L16" i="4"/>
  <c r="K16" i="4"/>
  <c r="J16" i="4"/>
  <c r="I16" i="4"/>
  <c r="H16" i="4"/>
  <c r="G16" i="4"/>
  <c r="F16" i="4"/>
  <c r="E16" i="4"/>
  <c r="D16" i="4"/>
  <c r="C16" i="4"/>
  <c r="N15" i="4"/>
  <c r="M15" i="4"/>
  <c r="L15" i="4"/>
  <c r="K15" i="4"/>
  <c r="J15" i="4"/>
  <c r="I15" i="4"/>
  <c r="H15" i="4"/>
  <c r="G15" i="4"/>
  <c r="F15" i="4"/>
  <c r="E15" i="4"/>
  <c r="D15" i="4"/>
  <c r="C15" i="4"/>
  <c r="N14" i="4"/>
  <c r="M14" i="4"/>
  <c r="L14" i="4"/>
  <c r="K14" i="4"/>
  <c r="J14" i="4"/>
  <c r="I14" i="4"/>
  <c r="H14" i="4"/>
  <c r="G14" i="4"/>
  <c r="F14" i="4"/>
  <c r="E14" i="4"/>
  <c r="D14" i="4"/>
  <c r="C14" i="4"/>
  <c r="N13" i="4"/>
  <c r="M13" i="4"/>
  <c r="L13" i="4"/>
  <c r="K13" i="4"/>
  <c r="J13" i="4"/>
  <c r="I13" i="4"/>
  <c r="H13" i="4"/>
  <c r="G13" i="4"/>
  <c r="F13" i="4"/>
  <c r="E13" i="4"/>
  <c r="D13" i="4"/>
  <c r="C13" i="4"/>
  <c r="N12" i="4"/>
  <c r="M12" i="4"/>
  <c r="L12" i="4"/>
  <c r="K12" i="4"/>
  <c r="J12" i="4"/>
  <c r="I12" i="4"/>
  <c r="H12" i="4"/>
  <c r="G12" i="4"/>
  <c r="F12" i="4"/>
  <c r="E12" i="4"/>
  <c r="D12" i="4"/>
  <c r="C12" i="4"/>
  <c r="N11" i="4"/>
  <c r="M11" i="4"/>
  <c r="L11" i="4"/>
  <c r="K11" i="4"/>
  <c r="J11" i="4"/>
  <c r="I11" i="4"/>
  <c r="H11" i="4"/>
  <c r="G11" i="4"/>
  <c r="F11" i="4"/>
  <c r="E11" i="4"/>
  <c r="D11" i="4"/>
  <c r="C11" i="4"/>
  <c r="N10" i="4"/>
  <c r="M10" i="4"/>
  <c r="L10" i="4"/>
  <c r="K10" i="4"/>
  <c r="J10" i="4"/>
  <c r="I10" i="4"/>
  <c r="H10" i="4"/>
  <c r="G10" i="4"/>
  <c r="F10" i="4"/>
  <c r="E10" i="4"/>
  <c r="D10" i="4"/>
  <c r="C10" i="4"/>
  <c r="N9" i="4"/>
  <c r="M9" i="4"/>
  <c r="L9" i="4"/>
  <c r="K9" i="4"/>
  <c r="J9" i="4"/>
  <c r="I9" i="4"/>
  <c r="H9" i="4"/>
  <c r="G9" i="4"/>
  <c r="F9" i="4"/>
  <c r="E9" i="4"/>
  <c r="D9" i="4"/>
  <c r="C9" i="4"/>
  <c r="N8" i="4"/>
  <c r="M8" i="4"/>
  <c r="L8" i="4"/>
  <c r="K8" i="4"/>
  <c r="J8" i="4"/>
  <c r="I8" i="4"/>
  <c r="H8" i="4"/>
  <c r="G8" i="4"/>
  <c r="F8" i="4"/>
  <c r="E8" i="4"/>
  <c r="D8" i="4"/>
  <c r="C8" i="4"/>
  <c r="N7" i="4"/>
  <c r="M7" i="4"/>
  <c r="L7" i="4"/>
  <c r="K7" i="4"/>
  <c r="J7" i="4"/>
  <c r="I7" i="4"/>
  <c r="H7" i="4"/>
  <c r="G7" i="4"/>
  <c r="F7" i="4"/>
  <c r="E7" i="4"/>
  <c r="D7" i="4"/>
  <c r="C7" i="4"/>
  <c r="N6" i="4"/>
  <c r="M6" i="4"/>
  <c r="L6" i="4"/>
  <c r="K6" i="4"/>
  <c r="J6" i="4"/>
  <c r="I6" i="4"/>
  <c r="H6" i="4"/>
  <c r="G6" i="4"/>
  <c r="F6" i="4"/>
  <c r="E6" i="4"/>
  <c r="D6" i="4"/>
  <c r="C6" i="4"/>
  <c r="N3" i="4"/>
  <c r="M3" i="4"/>
  <c r="L3" i="4"/>
  <c r="K3" i="4"/>
  <c r="J3" i="4"/>
  <c r="I3" i="4"/>
  <c r="H3" i="4"/>
  <c r="G3" i="4"/>
  <c r="F3" i="4"/>
  <c r="E3" i="4"/>
  <c r="D3" i="4"/>
  <c r="C3" i="4"/>
  <c r="N2" i="4"/>
  <c r="M2" i="4"/>
  <c r="L2" i="4"/>
  <c r="K2" i="4"/>
  <c r="J2" i="4"/>
  <c r="I2" i="4"/>
  <c r="H2" i="4"/>
  <c r="G2" i="4"/>
  <c r="F2" i="4"/>
  <c r="E2" i="4"/>
  <c r="D2" i="4"/>
  <c r="C2" i="4"/>
  <c r="N18" i="3"/>
  <c r="M18" i="3"/>
  <c r="L18" i="3"/>
  <c r="K18" i="3"/>
  <c r="J18" i="3"/>
  <c r="I18" i="3"/>
  <c r="H18" i="3"/>
  <c r="G18" i="3"/>
  <c r="F18" i="3"/>
  <c r="E18" i="3"/>
  <c r="D18" i="3"/>
  <c r="C18" i="3"/>
  <c r="N17" i="3"/>
  <c r="M17" i="3"/>
  <c r="L17" i="3"/>
  <c r="K17" i="3"/>
  <c r="J17" i="3"/>
  <c r="I17" i="3"/>
  <c r="H17" i="3"/>
  <c r="G17" i="3"/>
  <c r="F17" i="3"/>
  <c r="E17" i="3"/>
  <c r="D17" i="3"/>
  <c r="C17" i="3"/>
  <c r="N16" i="3"/>
  <c r="M16" i="3"/>
  <c r="L16" i="3"/>
  <c r="K16" i="3"/>
  <c r="J16" i="3"/>
  <c r="I16" i="3"/>
  <c r="H16" i="3"/>
  <c r="G16" i="3"/>
  <c r="F16" i="3"/>
  <c r="E16" i="3"/>
  <c r="D16" i="3"/>
  <c r="C16" i="3"/>
  <c r="N15" i="3"/>
  <c r="M15" i="3"/>
  <c r="L15" i="3"/>
  <c r="K15" i="3"/>
  <c r="J15" i="3"/>
  <c r="I15" i="3"/>
  <c r="H15" i="3"/>
  <c r="G15" i="3"/>
  <c r="F15" i="3"/>
  <c r="E15" i="3"/>
  <c r="D15" i="3"/>
  <c r="C15" i="3"/>
  <c r="N14" i="3"/>
  <c r="M14" i="3"/>
  <c r="L14" i="3"/>
  <c r="K14" i="3"/>
  <c r="J14" i="3"/>
  <c r="I14" i="3"/>
  <c r="H14" i="3"/>
  <c r="G14" i="3"/>
  <c r="F14" i="3"/>
  <c r="E14" i="3"/>
  <c r="D14" i="3"/>
  <c r="C14" i="3"/>
  <c r="N13" i="3"/>
  <c r="M13" i="3"/>
  <c r="L13" i="3"/>
  <c r="K13" i="3"/>
  <c r="J13" i="3"/>
  <c r="I13" i="3"/>
  <c r="H13" i="3"/>
  <c r="G13" i="3"/>
  <c r="F13" i="3"/>
  <c r="E13" i="3"/>
  <c r="D13" i="3"/>
  <c r="C13" i="3"/>
  <c r="N12" i="3"/>
  <c r="M12" i="3"/>
  <c r="L12" i="3"/>
  <c r="K12" i="3"/>
  <c r="J12" i="3"/>
  <c r="I12" i="3"/>
  <c r="H12" i="3"/>
  <c r="G12" i="3"/>
  <c r="F12" i="3"/>
  <c r="E12" i="3"/>
  <c r="D12" i="3"/>
  <c r="C12" i="3"/>
  <c r="N11" i="3"/>
  <c r="M11" i="3"/>
  <c r="L11" i="3"/>
  <c r="K11" i="3"/>
  <c r="J11" i="3"/>
  <c r="I11" i="3"/>
  <c r="H11" i="3"/>
  <c r="G11" i="3"/>
  <c r="F11" i="3"/>
  <c r="E11" i="3"/>
  <c r="D11" i="3"/>
  <c r="C11" i="3"/>
  <c r="N10" i="3"/>
  <c r="M10" i="3"/>
  <c r="L10" i="3"/>
  <c r="K10" i="3"/>
  <c r="J10" i="3"/>
  <c r="I10" i="3"/>
  <c r="H10" i="3"/>
  <c r="G10" i="3"/>
  <c r="F10" i="3"/>
  <c r="E10" i="3"/>
  <c r="D10" i="3"/>
  <c r="C10" i="3"/>
  <c r="N9" i="3"/>
  <c r="M9" i="3"/>
  <c r="L9" i="3"/>
  <c r="K9" i="3"/>
  <c r="J9" i="3"/>
  <c r="I9" i="3"/>
  <c r="H9" i="3"/>
  <c r="G9" i="3"/>
  <c r="F9" i="3"/>
  <c r="E9" i="3"/>
  <c r="D9" i="3"/>
  <c r="C9" i="3"/>
  <c r="N8" i="3"/>
  <c r="M8" i="3"/>
  <c r="L8" i="3"/>
  <c r="K8" i="3"/>
  <c r="J8" i="3"/>
  <c r="I8" i="3"/>
  <c r="H8" i="3"/>
  <c r="G8" i="3"/>
  <c r="F8" i="3"/>
  <c r="E8" i="3"/>
  <c r="D8" i="3"/>
  <c r="C8" i="3"/>
  <c r="N7" i="3"/>
  <c r="M7" i="3"/>
  <c r="L7" i="3"/>
  <c r="K7" i="3"/>
  <c r="J7" i="3"/>
  <c r="I7" i="3"/>
  <c r="H7" i="3"/>
  <c r="G7" i="3"/>
  <c r="F7" i="3"/>
  <c r="E7" i="3"/>
  <c r="D7" i="3"/>
  <c r="C7" i="3"/>
  <c r="N6" i="3"/>
  <c r="M6" i="3"/>
  <c r="L6" i="3"/>
  <c r="K6" i="3"/>
  <c r="J6" i="3"/>
  <c r="I6" i="3"/>
  <c r="H6" i="3"/>
  <c r="G6" i="3"/>
  <c r="F6" i="3"/>
  <c r="E6" i="3"/>
  <c r="D6" i="3"/>
  <c r="C6" i="3"/>
  <c r="N3" i="3"/>
  <c r="M3" i="3"/>
  <c r="L3" i="3"/>
  <c r="K3" i="3"/>
  <c r="J3" i="3"/>
  <c r="I3" i="3"/>
  <c r="H3" i="3"/>
  <c r="G3" i="3"/>
  <c r="F3" i="3"/>
  <c r="E3" i="3"/>
  <c r="D3" i="3"/>
  <c r="C3" i="3"/>
  <c r="N2" i="3"/>
  <c r="M2" i="3"/>
  <c r="L2" i="3"/>
  <c r="K2" i="3"/>
  <c r="J2" i="3"/>
  <c r="I2" i="3"/>
  <c r="H2" i="3"/>
  <c r="G2" i="3"/>
  <c r="F2" i="3"/>
  <c r="E2" i="3"/>
  <c r="D2" i="3"/>
  <c r="C2" i="3"/>
  <c r="C19" i="2"/>
  <c r="I18" i="2"/>
  <c r="H18" i="2"/>
  <c r="G18" i="2"/>
  <c r="F18" i="2"/>
  <c r="E18" i="2"/>
  <c r="D18" i="2"/>
  <c r="C18" i="2"/>
  <c r="I17" i="2"/>
  <c r="H17" i="2"/>
  <c r="G17" i="2"/>
  <c r="F17" i="2"/>
  <c r="E17" i="2"/>
  <c r="D17" i="2"/>
  <c r="C17" i="2"/>
  <c r="I16" i="2"/>
  <c r="H16" i="2"/>
  <c r="G16" i="2"/>
  <c r="F16" i="2"/>
  <c r="E16" i="2"/>
  <c r="D16" i="2"/>
  <c r="C16" i="2"/>
  <c r="I15" i="2"/>
  <c r="H15" i="2"/>
  <c r="G15" i="2"/>
  <c r="F15" i="2"/>
  <c r="E15" i="2"/>
  <c r="D15" i="2"/>
  <c r="C15" i="2"/>
  <c r="I14" i="2"/>
  <c r="H14" i="2"/>
  <c r="G14" i="2"/>
  <c r="F14" i="2"/>
  <c r="E14" i="2"/>
  <c r="D14" i="2"/>
  <c r="C14" i="2"/>
  <c r="I13" i="2"/>
  <c r="H13" i="2"/>
  <c r="G13" i="2"/>
  <c r="F13" i="2"/>
  <c r="E13" i="2"/>
  <c r="D13" i="2"/>
  <c r="C13" i="2"/>
  <c r="I12" i="2"/>
  <c r="H12" i="2"/>
  <c r="G12" i="2"/>
  <c r="F12" i="2"/>
  <c r="E12" i="2"/>
  <c r="D12" i="2"/>
  <c r="C12" i="2"/>
  <c r="I11" i="2"/>
  <c r="H11" i="2"/>
  <c r="G11" i="2"/>
  <c r="F11" i="2"/>
  <c r="E11" i="2"/>
  <c r="D11" i="2"/>
  <c r="C11" i="2"/>
  <c r="I10" i="2"/>
  <c r="H10" i="2"/>
  <c r="G10" i="2"/>
  <c r="F10" i="2"/>
  <c r="E10" i="2"/>
  <c r="D10" i="2"/>
  <c r="C10" i="2"/>
  <c r="I9" i="2"/>
  <c r="H9" i="2"/>
  <c r="G9" i="2"/>
  <c r="F9" i="2"/>
  <c r="E9" i="2"/>
  <c r="D9" i="2"/>
  <c r="C9" i="2"/>
  <c r="I8" i="2"/>
  <c r="H8" i="2"/>
  <c r="G8" i="2"/>
  <c r="F8" i="2"/>
  <c r="E8" i="2"/>
  <c r="D8" i="2"/>
  <c r="C8" i="2"/>
  <c r="I7" i="2"/>
  <c r="H7" i="2"/>
  <c r="G7" i="2"/>
  <c r="F7" i="2"/>
  <c r="E7" i="2"/>
  <c r="D7" i="2"/>
  <c r="C7" i="2"/>
  <c r="I6" i="2"/>
  <c r="H6" i="2"/>
  <c r="G6" i="2"/>
  <c r="F6" i="2"/>
  <c r="E6" i="2"/>
  <c r="D6" i="2"/>
  <c r="C6" i="2"/>
  <c r="I3" i="2"/>
  <c r="H3" i="2"/>
  <c r="G3" i="2"/>
  <c r="F3" i="2"/>
  <c r="E3" i="2"/>
  <c r="D3" i="2"/>
  <c r="C3" i="2"/>
  <c r="I2" i="2"/>
  <c r="H2" i="2"/>
  <c r="G2" i="2"/>
  <c r="F2" i="2"/>
  <c r="E2" i="2"/>
  <c r="D2" i="2"/>
  <c r="C2" i="2"/>
  <c r="G17" i="1"/>
  <c r="G19" i="1" s="1"/>
  <c r="G15" i="1"/>
  <c r="D15" i="1"/>
  <c r="G7" i="5" l="1"/>
  <c r="AC5" i="9"/>
  <c r="AD5" i="9" s="1"/>
  <c r="AE5" i="9" s="1"/>
  <c r="AF5" i="9" s="1"/>
  <c r="AG5" i="9" s="1"/>
  <c r="C11" i="9" s="1"/>
  <c r="D11" i="9" s="1"/>
  <c r="E11" i="9" s="1"/>
  <c r="F11" i="9" s="1"/>
  <c r="G11" i="9" s="1"/>
  <c r="H11" i="9" s="1"/>
  <c r="I11" i="9" s="1"/>
  <c r="J11" i="9" s="1"/>
  <c r="K11" i="9" s="1"/>
  <c r="L11" i="9" s="1"/>
  <c r="M11" i="9" s="1"/>
  <c r="N11" i="9" s="1"/>
  <c r="O11" i="9" s="1"/>
  <c r="P11" i="9" s="1"/>
  <c r="Q11" i="9" s="1"/>
  <c r="R11" i="9" s="1"/>
  <c r="S11" i="9" s="1"/>
  <c r="T11" i="9" s="1"/>
  <c r="U11" i="9" s="1"/>
  <c r="V11" i="9" s="1"/>
  <c r="W11" i="9" s="1"/>
  <c r="X11" i="9" s="1"/>
  <c r="Y11" i="9" s="1"/>
  <c r="Z11" i="9" s="1"/>
  <c r="AA11" i="9" s="1"/>
  <c r="AB11" i="9" s="1"/>
  <c r="AC11" i="9" s="1"/>
  <c r="AD11" i="9" s="1"/>
  <c r="AE11" i="9" s="1"/>
  <c r="AF11" i="9" s="1"/>
  <c r="AG11" i="9" s="1"/>
  <c r="C17" i="9" s="1"/>
  <c r="D17" i="9" s="1"/>
  <c r="E17" i="9" s="1"/>
  <c r="F17" i="9" s="1"/>
  <c r="G17" i="9" s="1"/>
  <c r="H17" i="9" s="1"/>
  <c r="I17" i="9" s="1"/>
  <c r="J17" i="9" s="1"/>
  <c r="K17" i="9" s="1"/>
  <c r="L17" i="9" s="1"/>
  <c r="M17" i="9" s="1"/>
  <c r="N17" i="9" s="1"/>
  <c r="O17" i="9" s="1"/>
  <c r="P17" i="9" s="1"/>
  <c r="Q17" i="9" s="1"/>
  <c r="R17" i="9" s="1"/>
  <c r="S17" i="9" s="1"/>
  <c r="T17" i="9" s="1"/>
  <c r="U17" i="9" s="1"/>
  <c r="V17" i="9" s="1"/>
  <c r="W17" i="9" s="1"/>
  <c r="X17" i="9" s="1"/>
  <c r="Y17" i="9" s="1"/>
  <c r="Z17" i="9" s="1"/>
  <c r="AA17" i="9" s="1"/>
  <c r="AB17" i="9" s="1"/>
  <c r="AC17" i="9" s="1"/>
  <c r="AD17" i="9" s="1"/>
  <c r="AE17" i="9" s="1"/>
  <c r="AF17" i="9" s="1"/>
  <c r="C23" i="9" s="1"/>
  <c r="D23" i="9" s="1"/>
  <c r="E23" i="9" s="1"/>
  <c r="F23" i="9" s="1"/>
  <c r="G23" i="9" s="1"/>
  <c r="H23" i="9" s="1"/>
  <c r="I23" i="9" s="1"/>
  <c r="J23" i="9" s="1"/>
  <c r="K23" i="9" s="1"/>
  <c r="L23" i="9" s="1"/>
  <c r="M23" i="9" s="1"/>
  <c r="N23" i="9" s="1"/>
  <c r="O23" i="9" s="1"/>
  <c r="P23" i="9" s="1"/>
  <c r="Q23" i="9" s="1"/>
  <c r="R23" i="9" s="1"/>
  <c r="S23" i="9" s="1"/>
  <c r="T23" i="9" s="1"/>
  <c r="U23" i="9" s="1"/>
  <c r="V23" i="9" s="1"/>
  <c r="W23" i="9" s="1"/>
  <c r="X23" i="9" s="1"/>
  <c r="Y23" i="9" s="1"/>
  <c r="Z23" i="9" s="1"/>
  <c r="AA23" i="9" s="1"/>
  <c r="AB23" i="9" s="1"/>
  <c r="AC23" i="9" s="1"/>
  <c r="AD23" i="9" s="1"/>
  <c r="AE23" i="9" s="1"/>
  <c r="AF23" i="9" s="1"/>
  <c r="AG23" i="9" s="1"/>
  <c r="C29" i="9" s="1"/>
  <c r="D29" i="9" s="1"/>
  <c r="E29" i="9" s="1"/>
  <c r="F29" i="9" s="1"/>
  <c r="G29" i="9" s="1"/>
  <c r="H29" i="9" s="1"/>
  <c r="I29" i="9" s="1"/>
  <c r="J29" i="9" s="1"/>
  <c r="K29" i="9" s="1"/>
  <c r="L29" i="9" s="1"/>
  <c r="M29" i="9" s="1"/>
  <c r="N29" i="9" s="1"/>
  <c r="O29" i="9" s="1"/>
  <c r="P29" i="9" s="1"/>
  <c r="Q29" i="9" s="1"/>
  <c r="R29" i="9" s="1"/>
  <c r="S29" i="9" s="1"/>
  <c r="T29" i="9" s="1"/>
  <c r="U29" i="9" s="1"/>
  <c r="V29" i="9" s="1"/>
  <c r="W29" i="9" s="1"/>
  <c r="X29" i="9" s="1"/>
  <c r="Y29" i="9" s="1"/>
  <c r="Z29" i="9" s="1"/>
  <c r="AA29" i="9" s="1"/>
  <c r="AB29" i="9" s="1"/>
  <c r="AC29" i="9" s="1"/>
  <c r="AD29" i="9" s="1"/>
  <c r="AE29" i="9" s="1"/>
  <c r="AF29" i="9" s="1"/>
  <c r="C35" i="9" s="1"/>
  <c r="D35" i="9" s="1"/>
  <c r="E35" i="9" s="1"/>
  <c r="F35" i="9" s="1"/>
  <c r="G35" i="9" s="1"/>
  <c r="H35" i="9" s="1"/>
  <c r="I35" i="9" s="1"/>
  <c r="J35" i="9" s="1"/>
  <c r="K35" i="9" s="1"/>
  <c r="L35" i="9" s="1"/>
  <c r="M35" i="9" s="1"/>
  <c r="N35" i="9" s="1"/>
  <c r="O35" i="9" s="1"/>
  <c r="P35" i="9" s="1"/>
  <c r="Q35" i="9" s="1"/>
  <c r="R35" i="9" s="1"/>
  <c r="S35" i="9" s="1"/>
  <c r="T35" i="9" s="1"/>
  <c r="U35" i="9" s="1"/>
  <c r="V35" i="9" s="1"/>
  <c r="W35" i="9" s="1"/>
  <c r="X35" i="9" s="1"/>
  <c r="Y35" i="9" s="1"/>
  <c r="Z35" i="9" s="1"/>
  <c r="AA35" i="9" s="1"/>
  <c r="AB35" i="9" s="1"/>
  <c r="AC35" i="9" s="1"/>
  <c r="AD35" i="9" s="1"/>
  <c r="AE35" i="9" s="1"/>
  <c r="AF35" i="9" s="1"/>
  <c r="AG35" i="9" s="1"/>
  <c r="C5" i="6" s="1"/>
  <c r="D5" i="6" s="1"/>
  <c r="E5" i="6" s="1"/>
  <c r="F5" i="6" s="1"/>
  <c r="G5" i="6" s="1"/>
  <c r="H5" i="6" s="1"/>
  <c r="I5" i="6" s="1"/>
  <c r="J5" i="6" s="1"/>
  <c r="K5" i="6" s="1"/>
  <c r="L5" i="6" s="1"/>
  <c r="M5" i="6" s="1"/>
  <c r="N5" i="6" s="1"/>
  <c r="O5" i="6" s="1"/>
  <c r="P5" i="6" s="1"/>
  <c r="Q5" i="6" s="1"/>
  <c r="R5" i="6" s="1"/>
  <c r="S5" i="6" s="1"/>
  <c r="T5" i="6" s="1"/>
  <c r="U5" i="6" s="1"/>
  <c r="V5" i="6" s="1"/>
  <c r="W5" i="6" s="1"/>
  <c r="X5" i="6" s="1"/>
  <c r="Y5" i="6" s="1"/>
  <c r="Z5" i="6" s="1"/>
  <c r="AA5" i="6" s="1"/>
  <c r="AB5" i="6" s="1"/>
  <c r="AC5" i="6" s="1"/>
  <c r="AD5" i="6" s="1"/>
  <c r="AE5" i="6" s="1"/>
  <c r="AF5" i="6" s="1"/>
  <c r="AG5" i="6" s="1"/>
  <c r="C11" i="6" s="1"/>
  <c r="D11" i="6" s="1"/>
  <c r="E11" i="6" s="1"/>
  <c r="F11" i="6" s="1"/>
  <c r="G11" i="6" s="1"/>
  <c r="H11" i="6" s="1"/>
  <c r="I11" i="6" s="1"/>
  <c r="J11" i="6" s="1"/>
  <c r="K11" i="6" s="1"/>
  <c r="L11" i="6" s="1"/>
  <c r="M11" i="6" s="1"/>
  <c r="N11" i="6" s="1"/>
  <c r="O11" i="6" s="1"/>
  <c r="P11" i="6" s="1"/>
  <c r="Q11" i="6" s="1"/>
  <c r="R11" i="6" s="1"/>
  <c r="S11" i="6" s="1"/>
  <c r="T11" i="6" s="1"/>
  <c r="U11" i="6" s="1"/>
  <c r="V11" i="6" s="1"/>
  <c r="W11" i="6" s="1"/>
  <c r="X11" i="6" s="1"/>
  <c r="Y11" i="6" s="1"/>
  <c r="Z11" i="6" s="1"/>
  <c r="AA11" i="6" s="1"/>
  <c r="AB11" i="6" s="1"/>
  <c r="AC11" i="6" s="1"/>
  <c r="AD11" i="6" s="1"/>
  <c r="AE11" i="6" s="1"/>
  <c r="C17" i="6" s="1"/>
  <c r="D17" i="6" s="1"/>
  <c r="E17" i="6" s="1"/>
  <c r="F17" i="6" s="1"/>
  <c r="G17" i="6" s="1"/>
  <c r="H17" i="6" s="1"/>
  <c r="I17" i="6" s="1"/>
  <c r="J17" i="6" s="1"/>
  <c r="K17" i="6" s="1"/>
  <c r="L17" i="6" s="1"/>
  <c r="M17" i="6" s="1"/>
  <c r="N17" i="6" s="1"/>
  <c r="O17" i="6" s="1"/>
  <c r="P17" i="6" s="1"/>
  <c r="Q17" i="6" s="1"/>
  <c r="R17" i="6" s="1"/>
  <c r="S17" i="6" s="1"/>
  <c r="T17" i="6" s="1"/>
  <c r="U17" i="6" s="1"/>
  <c r="V17" i="6" s="1"/>
  <c r="W17" i="6" s="1"/>
  <c r="X17" i="6" s="1"/>
  <c r="Y17" i="6" s="1"/>
  <c r="Z17" i="6" s="1"/>
  <c r="AA17" i="6" s="1"/>
  <c r="AB17" i="6" s="1"/>
  <c r="AC17" i="6" s="1"/>
  <c r="AD17" i="6" s="1"/>
  <c r="AE17" i="6" s="1"/>
  <c r="AF17" i="6" s="1"/>
  <c r="AG17" i="6" s="1"/>
  <c r="C23" i="6" s="1"/>
  <c r="D23" i="6" s="1"/>
  <c r="E23" i="6" s="1"/>
  <c r="F23" i="6" s="1"/>
  <c r="G23" i="6" s="1"/>
  <c r="H23" i="6" s="1"/>
  <c r="I23" i="6" s="1"/>
  <c r="J23" i="6" s="1"/>
  <c r="K23" i="6" s="1"/>
  <c r="L23" i="6" s="1"/>
  <c r="M23" i="6" s="1"/>
  <c r="N23" i="6" s="1"/>
  <c r="O23" i="6" s="1"/>
  <c r="P23" i="6" s="1"/>
  <c r="Q23" i="6" s="1"/>
  <c r="R23" i="6" s="1"/>
  <c r="S23" i="6" s="1"/>
  <c r="T23" i="6" s="1"/>
  <c r="U23" i="6" s="1"/>
  <c r="V23" i="6" s="1"/>
  <c r="W23" i="6" s="1"/>
  <c r="X23" i="6" s="1"/>
  <c r="Y23" i="6" s="1"/>
  <c r="Z23" i="6" s="1"/>
  <c r="AA23" i="6" s="1"/>
  <c r="AB23" i="6" s="1"/>
  <c r="AC23" i="6" s="1"/>
  <c r="AD23" i="6" s="1"/>
  <c r="AE23" i="6" s="1"/>
  <c r="AF23" i="6" s="1"/>
  <c r="C29" i="6" s="1"/>
  <c r="D29" i="6" s="1"/>
  <c r="E29" i="6" s="1"/>
  <c r="F29" i="6" s="1"/>
  <c r="G29" i="6" s="1"/>
  <c r="H29" i="6" s="1"/>
  <c r="I29" i="6" s="1"/>
  <c r="J29" i="6" s="1"/>
  <c r="K29" i="6" s="1"/>
  <c r="L29" i="6" s="1"/>
  <c r="M29" i="6" s="1"/>
  <c r="N29" i="6" s="1"/>
  <c r="O29" i="6" s="1"/>
  <c r="P29" i="6" s="1"/>
  <c r="Q29" i="6" s="1"/>
  <c r="R29" i="6" s="1"/>
  <c r="S29" i="6" s="1"/>
  <c r="T29" i="6" s="1"/>
  <c r="U29" i="6" s="1"/>
  <c r="V29" i="6" s="1"/>
  <c r="W29" i="6" s="1"/>
  <c r="X29" i="6" s="1"/>
  <c r="Y29" i="6" s="1"/>
  <c r="Z29" i="6" s="1"/>
  <c r="AA29" i="6" s="1"/>
  <c r="AB29" i="6" s="1"/>
  <c r="AC29" i="6" s="1"/>
  <c r="AD29" i="6" s="1"/>
  <c r="AE29" i="6" s="1"/>
  <c r="AF29" i="6" s="1"/>
  <c r="AG29" i="6" s="1"/>
  <c r="C35" i="6" s="1"/>
  <c r="D35" i="6" s="1"/>
  <c r="E35" i="6" s="1"/>
  <c r="F35" i="6" s="1"/>
  <c r="G35" i="6" s="1"/>
  <c r="H35" i="6" s="1"/>
  <c r="I35" i="6" s="1"/>
  <c r="J35" i="6" s="1"/>
  <c r="K35" i="6" s="1"/>
  <c r="L35" i="6" s="1"/>
  <c r="M35" i="6" s="1"/>
  <c r="N35" i="6" s="1"/>
  <c r="O35" i="6" s="1"/>
  <c r="P35" i="6" s="1"/>
  <c r="Q35" i="6" s="1"/>
  <c r="R35" i="6" s="1"/>
  <c r="S35" i="6" s="1"/>
  <c r="T35" i="6" s="1"/>
  <c r="U35" i="6" s="1"/>
  <c r="V35" i="6" s="1"/>
  <c r="W35" i="6" s="1"/>
  <c r="X35" i="6" s="1"/>
  <c r="Y35" i="6" s="1"/>
  <c r="Z35" i="6" s="1"/>
  <c r="AA35" i="6" s="1"/>
  <c r="AB35" i="6" s="1"/>
  <c r="AC35" i="6" s="1"/>
  <c r="AD35" i="6" s="1"/>
  <c r="AE35" i="6" s="1"/>
  <c r="AF35" i="6" s="1"/>
  <c r="C41" i="6" s="1"/>
  <c r="D41" i="6" s="1"/>
  <c r="E41" i="6" s="1"/>
  <c r="F41" i="6" s="1"/>
  <c r="G41" i="6" s="1"/>
  <c r="H41" i="6" s="1"/>
  <c r="I41" i="6" s="1"/>
  <c r="J41" i="6" s="1"/>
  <c r="K41" i="6" s="1"/>
  <c r="L41" i="6" s="1"/>
  <c r="M41" i="6" s="1"/>
  <c r="N41" i="6" s="1"/>
  <c r="O41" i="6" s="1"/>
  <c r="P41" i="6" s="1"/>
  <c r="Q41" i="6" s="1"/>
  <c r="R41" i="6" s="1"/>
  <c r="S41" i="6" s="1"/>
  <c r="T41" i="6" s="1"/>
  <c r="U41" i="6" s="1"/>
  <c r="V41" i="6" s="1"/>
  <c r="W41" i="6" s="1"/>
  <c r="X41" i="6" s="1"/>
  <c r="Y41" i="6" s="1"/>
  <c r="Z41" i="6" s="1"/>
  <c r="AA41" i="6" s="1"/>
  <c r="AB41" i="6" s="1"/>
  <c r="AC41" i="6" s="1"/>
  <c r="AD41" i="6" s="1"/>
  <c r="AE41" i="6" s="1"/>
  <c r="AF41" i="6" s="1"/>
  <c r="AG41" i="6" s="1"/>
  <c r="C47" i="6" s="1"/>
  <c r="D47" i="6" s="1"/>
  <c r="E47" i="6" s="1"/>
  <c r="F47" i="6" s="1"/>
  <c r="G47" i="6" s="1"/>
  <c r="H47" i="6" s="1"/>
  <c r="I47" i="6" s="1"/>
  <c r="J47" i="6" s="1"/>
  <c r="K47" i="6" s="1"/>
  <c r="L47" i="6" s="1"/>
  <c r="M47" i="6" s="1"/>
  <c r="N47" i="6" s="1"/>
  <c r="O47" i="6" s="1"/>
  <c r="P47" i="6" s="1"/>
  <c r="Q47" i="6" s="1"/>
  <c r="R47" i="6" s="1"/>
  <c r="S47" i="6" s="1"/>
  <c r="T47" i="6" s="1"/>
  <c r="U47" i="6" s="1"/>
  <c r="V47" i="6" s="1"/>
  <c r="W47" i="6" s="1"/>
  <c r="X47" i="6" s="1"/>
  <c r="Y47" i="6" s="1"/>
  <c r="Z47" i="6" s="1"/>
  <c r="AA47" i="6" s="1"/>
  <c r="AB47" i="6" s="1"/>
  <c r="AC47" i="6" s="1"/>
  <c r="AD47" i="6" s="1"/>
  <c r="AE47" i="6" s="1"/>
  <c r="AF47" i="6" s="1"/>
  <c r="AG47" i="6" s="1"/>
  <c r="C53" i="6" s="1"/>
  <c r="D53" i="6" s="1"/>
  <c r="E53" i="6" s="1"/>
  <c r="F53" i="6" s="1"/>
  <c r="G53" i="6" s="1"/>
  <c r="H53" i="6" s="1"/>
  <c r="I53" i="6" s="1"/>
  <c r="J53" i="6" s="1"/>
  <c r="K53" i="6" s="1"/>
  <c r="L53" i="6" s="1"/>
  <c r="M53" i="6" s="1"/>
  <c r="N53" i="6" s="1"/>
  <c r="O53" i="6" s="1"/>
  <c r="P53" i="6" s="1"/>
  <c r="Q53" i="6" s="1"/>
  <c r="R53" i="6" s="1"/>
  <c r="S53" i="6" s="1"/>
  <c r="T53" i="6" s="1"/>
  <c r="U53" i="6" s="1"/>
  <c r="V53" i="6" s="1"/>
  <c r="W53" i="6" s="1"/>
  <c r="X53" i="6" s="1"/>
  <c r="Y53" i="6" s="1"/>
  <c r="Z53" i="6" s="1"/>
  <c r="AA53" i="6" s="1"/>
  <c r="AB53" i="6" s="1"/>
  <c r="AC53" i="6" s="1"/>
  <c r="AD53" i="6" s="1"/>
  <c r="AE53" i="6" s="1"/>
  <c r="AF53" i="6" s="1"/>
  <c r="C59" i="6" s="1"/>
  <c r="D59" i="6" s="1"/>
  <c r="E59" i="6" s="1"/>
  <c r="F59" i="6" s="1"/>
  <c r="G59" i="6" s="1"/>
  <c r="H59" i="6" s="1"/>
  <c r="I59" i="6" s="1"/>
  <c r="J59" i="6" s="1"/>
  <c r="K59" i="6" s="1"/>
  <c r="L59" i="6" s="1"/>
  <c r="M59" i="6" s="1"/>
  <c r="N59" i="6" s="1"/>
  <c r="O59" i="6" s="1"/>
  <c r="P59" i="6" s="1"/>
  <c r="Q59" i="6" s="1"/>
  <c r="R59" i="6" s="1"/>
  <c r="S59" i="6" s="1"/>
  <c r="T59" i="6" s="1"/>
  <c r="U59" i="6" s="1"/>
  <c r="V59" i="6" s="1"/>
  <c r="W59" i="6" s="1"/>
  <c r="X59" i="6" s="1"/>
  <c r="Y59" i="6" s="1"/>
  <c r="Z59" i="6" s="1"/>
  <c r="AA59" i="6" s="1"/>
  <c r="AB59" i="6" s="1"/>
  <c r="AC59" i="6" s="1"/>
  <c r="AD59" i="6" s="1"/>
  <c r="AE59" i="6" s="1"/>
  <c r="AF59" i="6" s="1"/>
  <c r="AG59" i="6" s="1"/>
  <c r="C65" i="6" s="1"/>
  <c r="D65" i="6" s="1"/>
  <c r="E65" i="6" s="1"/>
  <c r="F65" i="6" s="1"/>
  <c r="G65" i="6" s="1"/>
  <c r="H65" i="6" s="1"/>
  <c r="I65" i="6" s="1"/>
  <c r="J65" i="6" s="1"/>
  <c r="K65" i="6" s="1"/>
  <c r="L65" i="6" s="1"/>
  <c r="M65" i="6" s="1"/>
  <c r="N65" i="6" s="1"/>
  <c r="O65" i="6" s="1"/>
  <c r="P65" i="6" s="1"/>
  <c r="Q65" i="6" s="1"/>
  <c r="R65" i="6" s="1"/>
  <c r="S65" i="6" s="1"/>
  <c r="T65" i="6" s="1"/>
  <c r="U65" i="6" s="1"/>
  <c r="V65" i="6" s="1"/>
  <c r="W65" i="6" s="1"/>
  <c r="X65" i="6" s="1"/>
  <c r="Y65" i="6" s="1"/>
  <c r="Z65" i="6" s="1"/>
  <c r="AA65" i="6" s="1"/>
  <c r="AB65" i="6" s="1"/>
  <c r="AC65" i="6" s="1"/>
  <c r="AD65" i="6" s="1"/>
  <c r="AE65" i="6" s="1"/>
  <c r="AF65" i="6" s="1"/>
  <c r="C71" i="6" s="1"/>
  <c r="D71" i="6" s="1"/>
  <c r="E71" i="6" s="1"/>
  <c r="F71" i="6" s="1"/>
  <c r="G71" i="6" s="1"/>
  <c r="H71" i="6" s="1"/>
  <c r="I71" i="6" s="1"/>
  <c r="J71" i="6" s="1"/>
  <c r="K71" i="6" s="1"/>
  <c r="L71" i="6" s="1"/>
  <c r="M71" i="6" s="1"/>
  <c r="N71" i="6" s="1"/>
  <c r="O71" i="6" s="1"/>
  <c r="P71" i="6" s="1"/>
  <c r="Q71" i="6" s="1"/>
  <c r="R71" i="6" s="1"/>
  <c r="S71" i="6" s="1"/>
  <c r="T71" i="6" s="1"/>
  <c r="U71" i="6" s="1"/>
  <c r="V71" i="6" s="1"/>
  <c r="W71" i="6" s="1"/>
  <c r="X71" i="6" s="1"/>
  <c r="Y71" i="6" s="1"/>
  <c r="Z71" i="6" s="1"/>
  <c r="AA71" i="6" s="1"/>
  <c r="AB71" i="6" s="1"/>
  <c r="AC71" i="6" s="1"/>
  <c r="AD71" i="6" s="1"/>
  <c r="AE71" i="6" s="1"/>
  <c r="AF71" i="6" s="1"/>
  <c r="AG71" i="6" s="1"/>
  <c r="C5" i="7" s="1"/>
  <c r="D5" i="7" s="1"/>
  <c r="E5" i="7" s="1"/>
  <c r="F5" i="7" s="1"/>
  <c r="G5" i="7" s="1"/>
  <c r="H5" i="7" s="1"/>
  <c r="I5" i="7" s="1"/>
  <c r="J5" i="7" s="1"/>
  <c r="K5" i="7" s="1"/>
  <c r="L5" i="7" s="1"/>
  <c r="M5" i="7" s="1"/>
  <c r="N5" i="7" s="1"/>
  <c r="O5" i="7" s="1"/>
  <c r="P5" i="7" s="1"/>
  <c r="Q5" i="7" s="1"/>
  <c r="R5" i="7" s="1"/>
  <c r="S5" i="7" s="1"/>
  <c r="T5" i="7" s="1"/>
  <c r="U5" i="7" s="1"/>
  <c r="V5" i="7" s="1"/>
  <c r="W5" i="7" s="1"/>
  <c r="X5" i="7" s="1"/>
  <c r="Y5" i="7" s="1"/>
  <c r="Z5" i="7" s="1"/>
  <c r="AA5" i="7" s="1"/>
  <c r="AB5" i="7" s="1"/>
  <c r="AC5" i="7" s="1"/>
  <c r="AD5" i="7" s="1"/>
  <c r="AE5" i="7" s="1"/>
  <c r="AF5" i="7" s="1"/>
  <c r="AG5" i="7" s="1"/>
  <c r="C11" i="7" s="1"/>
  <c r="D11" i="7" s="1"/>
  <c r="E11" i="7" s="1"/>
  <c r="F11" i="7" s="1"/>
  <c r="G11" i="7" s="1"/>
  <c r="H11" i="7" s="1"/>
  <c r="I11" i="7" s="1"/>
  <c r="J11" i="7" s="1"/>
  <c r="K11" i="7" s="1"/>
  <c r="L11" i="7" s="1"/>
  <c r="M11" i="7" s="1"/>
  <c r="N11" i="7" s="1"/>
  <c r="O11" i="7" s="1"/>
  <c r="P11" i="7" s="1"/>
  <c r="Q11" i="7" s="1"/>
  <c r="R11" i="7" s="1"/>
  <c r="S11" i="7" s="1"/>
  <c r="T11" i="7" s="1"/>
  <c r="U11" i="7" s="1"/>
  <c r="V11" i="7" s="1"/>
  <c r="W11" i="7" s="1"/>
  <c r="X11" i="7" s="1"/>
  <c r="Y11" i="7" s="1"/>
  <c r="Z11" i="7" s="1"/>
  <c r="AA11" i="7" s="1"/>
  <c r="AB11" i="7" s="1"/>
  <c r="AC11" i="7" s="1"/>
  <c r="AD11" i="7" s="1"/>
  <c r="C17" i="7" s="1"/>
  <c r="D17" i="7" s="1"/>
  <c r="E17" i="7" s="1"/>
  <c r="F17" i="7" s="1"/>
  <c r="G17" i="7" s="1"/>
  <c r="H17" i="7" s="1"/>
  <c r="I17" i="7" s="1"/>
  <c r="J17" i="7" s="1"/>
  <c r="K17" i="7" s="1"/>
  <c r="L17" i="7" s="1"/>
  <c r="M17" i="7" s="1"/>
  <c r="N17" i="7" s="1"/>
  <c r="O17" i="7" s="1"/>
  <c r="P17" i="7" s="1"/>
  <c r="Q17" i="7" s="1"/>
  <c r="R17" i="7" s="1"/>
  <c r="S17" i="7" s="1"/>
  <c r="T17" i="7" s="1"/>
  <c r="U17" i="7" s="1"/>
  <c r="V17" i="7" s="1"/>
  <c r="W17" i="7" s="1"/>
  <c r="X17" i="7" s="1"/>
  <c r="Y17" i="7" s="1"/>
  <c r="Z17" i="7" s="1"/>
  <c r="AA17" i="7" s="1"/>
  <c r="AB17" i="7" s="1"/>
  <c r="AC17" i="7" s="1"/>
  <c r="AD17" i="7" s="1"/>
  <c r="AE17" i="7" s="1"/>
  <c r="AF17" i="7" s="1"/>
  <c r="AG17" i="7" s="1"/>
  <c r="C23" i="7" s="1"/>
  <c r="D23" i="7" s="1"/>
  <c r="E23" i="7" s="1"/>
  <c r="F23" i="7" s="1"/>
  <c r="G23" i="7" s="1"/>
  <c r="H23" i="7" s="1"/>
  <c r="I23" i="7" s="1"/>
  <c r="J23" i="7" s="1"/>
  <c r="K23" i="7" s="1"/>
  <c r="L23" i="7" s="1"/>
  <c r="M23" i="7" s="1"/>
  <c r="N23" i="7" s="1"/>
  <c r="O23" i="7" s="1"/>
  <c r="P23" i="7" s="1"/>
  <c r="Q23" i="7" s="1"/>
  <c r="R23" i="7" s="1"/>
  <c r="S23" i="7" s="1"/>
  <c r="T23" i="7" s="1"/>
  <c r="U23" i="7" s="1"/>
  <c r="V23" i="7" s="1"/>
  <c r="W23" i="7" s="1"/>
  <c r="X23" i="7" s="1"/>
  <c r="Y23" i="7" s="1"/>
  <c r="Z23" i="7" s="1"/>
  <c r="AA23" i="7" s="1"/>
  <c r="AB23" i="7" s="1"/>
  <c r="AC23" i="7" s="1"/>
  <c r="AD23" i="7" s="1"/>
  <c r="AE23" i="7" s="1"/>
  <c r="AF23" i="7" s="1"/>
  <c r="C29" i="7" s="1"/>
  <c r="D29" i="7" s="1"/>
  <c r="E29" i="7" s="1"/>
  <c r="F29" i="7" s="1"/>
  <c r="G29" i="7" s="1"/>
  <c r="H29" i="7" s="1"/>
  <c r="I29" i="7" s="1"/>
  <c r="J29" i="7" s="1"/>
  <c r="K29" i="7" s="1"/>
  <c r="L29" i="7" s="1"/>
  <c r="M29" i="7" s="1"/>
  <c r="N29" i="7" s="1"/>
  <c r="O29" i="7" s="1"/>
  <c r="P29" i="7" s="1"/>
  <c r="Q29" i="7" s="1"/>
  <c r="R29" i="7" s="1"/>
  <c r="S29" i="7" s="1"/>
  <c r="T29" i="7" s="1"/>
  <c r="U29" i="7" s="1"/>
  <c r="V29" i="7" s="1"/>
  <c r="W29" i="7" s="1"/>
  <c r="X29" i="7" s="1"/>
  <c r="Y29" i="7" s="1"/>
  <c r="Z29" i="7" s="1"/>
  <c r="AA29" i="7" s="1"/>
  <c r="AB29" i="7" s="1"/>
  <c r="AC29" i="7" s="1"/>
  <c r="AD29" i="7" s="1"/>
  <c r="AE29" i="7" s="1"/>
  <c r="AF29" i="7" s="1"/>
  <c r="AG29" i="7" s="1"/>
  <c r="C35" i="7" s="1"/>
  <c r="D35" i="7" s="1"/>
  <c r="E35" i="7" s="1"/>
  <c r="F35" i="7" s="1"/>
  <c r="G35" i="7" s="1"/>
  <c r="H35" i="7" s="1"/>
  <c r="I35" i="7" s="1"/>
  <c r="J35" i="7" s="1"/>
  <c r="K35" i="7" s="1"/>
  <c r="L35" i="7" s="1"/>
  <c r="M35" i="7" s="1"/>
  <c r="N35" i="7" s="1"/>
  <c r="O35" i="7" s="1"/>
  <c r="P35" i="7" s="1"/>
  <c r="Q35" i="7" s="1"/>
  <c r="R35" i="7" s="1"/>
  <c r="S35" i="7" s="1"/>
  <c r="T35" i="7" s="1"/>
  <c r="U35" i="7" s="1"/>
  <c r="V35" i="7" s="1"/>
  <c r="W35" i="7" s="1"/>
  <c r="X35" i="7" s="1"/>
  <c r="Y35" i="7" s="1"/>
  <c r="Z35" i="7" s="1"/>
  <c r="AA35" i="7" s="1"/>
  <c r="AB35" i="7" s="1"/>
  <c r="AC35" i="7" s="1"/>
  <c r="AD35" i="7" s="1"/>
  <c r="AE35" i="7" s="1"/>
  <c r="AF35" i="7" s="1"/>
  <c r="C41" i="7" s="1"/>
  <c r="D41" i="7" s="1"/>
  <c r="E41" i="7" s="1"/>
  <c r="F41" i="7" s="1"/>
  <c r="G41" i="7" s="1"/>
  <c r="H41" i="7" s="1"/>
  <c r="I41" i="7" s="1"/>
  <c r="J41" i="7" s="1"/>
  <c r="K41" i="7" s="1"/>
  <c r="L41" i="7" s="1"/>
  <c r="M41" i="7" s="1"/>
  <c r="N41" i="7" s="1"/>
  <c r="O41" i="7" s="1"/>
  <c r="P41" i="7" s="1"/>
  <c r="Q41" i="7" s="1"/>
  <c r="R41" i="7" s="1"/>
  <c r="S41" i="7" s="1"/>
  <c r="T41" i="7" s="1"/>
  <c r="U41" i="7" s="1"/>
  <c r="V41" i="7" s="1"/>
  <c r="W41" i="7" s="1"/>
  <c r="X41" i="7" s="1"/>
  <c r="Y41" i="7" s="1"/>
  <c r="Z41" i="7" s="1"/>
  <c r="AA41" i="7" s="1"/>
  <c r="AB41" i="7" s="1"/>
  <c r="AC41" i="7" s="1"/>
  <c r="AD41" i="7" s="1"/>
  <c r="AE41" i="7" s="1"/>
  <c r="AF41" i="7" s="1"/>
  <c r="AG41" i="7" s="1"/>
  <c r="C47" i="7" s="1"/>
  <c r="D47" i="7" s="1"/>
  <c r="E47" i="7" s="1"/>
  <c r="F47" i="7" s="1"/>
  <c r="G47" i="7" s="1"/>
  <c r="H47" i="7" s="1"/>
  <c r="I47" i="7" s="1"/>
  <c r="J47" i="7" s="1"/>
  <c r="K47" i="7" s="1"/>
  <c r="L47" i="7" s="1"/>
  <c r="M47" i="7" s="1"/>
  <c r="N47" i="7" s="1"/>
  <c r="O47" i="7" s="1"/>
  <c r="P47" i="7" s="1"/>
  <c r="Q47" i="7" s="1"/>
  <c r="R47" i="7" s="1"/>
  <c r="S47" i="7" s="1"/>
  <c r="T47" i="7" s="1"/>
  <c r="U47" i="7" s="1"/>
  <c r="V47" i="7" s="1"/>
  <c r="W47" i="7" s="1"/>
  <c r="X47" i="7" s="1"/>
  <c r="Y47" i="7" s="1"/>
  <c r="Z47" i="7" s="1"/>
  <c r="AA47" i="7" s="1"/>
  <c r="AB47" i="7" s="1"/>
  <c r="AC47" i="7" s="1"/>
  <c r="AD47" i="7" s="1"/>
  <c r="AE47" i="7" s="1"/>
  <c r="AF47" i="7" s="1"/>
  <c r="AG47" i="7" s="1"/>
  <c r="C53" i="7" s="1"/>
  <c r="D53" i="7" s="1"/>
  <c r="E53" i="7" s="1"/>
  <c r="F53" i="7" s="1"/>
  <c r="G53" i="7" s="1"/>
  <c r="H53" i="7" s="1"/>
  <c r="I53" i="7" s="1"/>
  <c r="J53" i="7" s="1"/>
  <c r="K53" i="7" s="1"/>
  <c r="L53" i="7" s="1"/>
  <c r="M53" i="7" s="1"/>
  <c r="N53" i="7" s="1"/>
  <c r="O53" i="7" s="1"/>
  <c r="P53" i="7" s="1"/>
  <c r="Q53" i="7" s="1"/>
  <c r="R53" i="7" s="1"/>
  <c r="S53" i="7" s="1"/>
  <c r="T53" i="7" s="1"/>
  <c r="U53" i="7" s="1"/>
  <c r="V53" i="7" s="1"/>
  <c r="W53" i="7" s="1"/>
  <c r="X53" i="7" s="1"/>
  <c r="Y53" i="7" s="1"/>
  <c r="Z53" i="7" s="1"/>
  <c r="AA53" i="7" s="1"/>
  <c r="AB53" i="7" s="1"/>
  <c r="AC53" i="7" s="1"/>
  <c r="AD53" i="7" s="1"/>
  <c r="AE53" i="7" s="1"/>
  <c r="AF53" i="7" s="1"/>
  <c r="C59" i="7" s="1"/>
  <c r="D59" i="7" s="1"/>
  <c r="E59" i="7" s="1"/>
  <c r="F59" i="7" s="1"/>
  <c r="G59" i="7" s="1"/>
  <c r="H59" i="7" s="1"/>
  <c r="I59" i="7" s="1"/>
  <c r="J59" i="7" s="1"/>
  <c r="K59" i="7" s="1"/>
  <c r="L59" i="7" s="1"/>
  <c r="M59" i="7" s="1"/>
  <c r="N59" i="7" s="1"/>
  <c r="O59" i="7" s="1"/>
  <c r="P59" i="7" s="1"/>
  <c r="Q59" i="7" s="1"/>
  <c r="R59" i="7" s="1"/>
  <c r="S59" i="7" s="1"/>
  <c r="T59" i="7" s="1"/>
  <c r="U59" i="7" s="1"/>
  <c r="V59" i="7" s="1"/>
  <c r="W59" i="7" s="1"/>
  <c r="X59" i="7" s="1"/>
  <c r="Y59" i="7" s="1"/>
  <c r="Z59" i="7" s="1"/>
  <c r="AA59" i="7" s="1"/>
  <c r="AB59" i="7" s="1"/>
  <c r="AC59" i="7" s="1"/>
  <c r="AD59" i="7" s="1"/>
  <c r="AE59" i="7" s="1"/>
  <c r="AF59" i="7" s="1"/>
  <c r="AG59" i="7" s="1"/>
  <c r="C65" i="7" s="1"/>
  <c r="D65" i="7" s="1"/>
  <c r="E65" i="7" s="1"/>
  <c r="F65" i="7" s="1"/>
  <c r="G65" i="7" s="1"/>
  <c r="H65" i="7" s="1"/>
  <c r="I65" i="7" s="1"/>
  <c r="J65" i="7" s="1"/>
  <c r="K65" i="7" s="1"/>
  <c r="L65" i="7" s="1"/>
  <c r="M65" i="7" s="1"/>
  <c r="N65" i="7" s="1"/>
  <c r="O65" i="7" s="1"/>
  <c r="P65" i="7" s="1"/>
  <c r="Q65" i="7" s="1"/>
  <c r="R65" i="7" s="1"/>
  <c r="S65" i="7" s="1"/>
  <c r="T65" i="7" s="1"/>
  <c r="U65" i="7" s="1"/>
  <c r="V65" i="7" s="1"/>
  <c r="W65" i="7" s="1"/>
  <c r="X65" i="7" s="1"/>
  <c r="Y65" i="7" s="1"/>
  <c r="Z65" i="7" s="1"/>
  <c r="AA65" i="7" s="1"/>
  <c r="AB65" i="7" s="1"/>
  <c r="AC65" i="7" s="1"/>
  <c r="AD65" i="7" s="1"/>
  <c r="AE65" i="7" s="1"/>
  <c r="AF65" i="7" s="1"/>
  <c r="C71" i="7" s="1"/>
  <c r="D71" i="7" s="1"/>
  <c r="E71" i="7" s="1"/>
  <c r="F71" i="7" s="1"/>
  <c r="G71" i="7" s="1"/>
  <c r="H71" i="7" s="1"/>
  <c r="I71" i="7" s="1"/>
  <c r="J71" i="7" s="1"/>
  <c r="K71" i="7" s="1"/>
  <c r="L71" i="7" s="1"/>
  <c r="M71" i="7" s="1"/>
  <c r="N71" i="7" s="1"/>
  <c r="O71" i="7" s="1"/>
  <c r="P71" i="7" s="1"/>
  <c r="Q71" i="7" s="1"/>
  <c r="R71" i="7" s="1"/>
  <c r="S71" i="7" s="1"/>
  <c r="T71" i="7" s="1"/>
  <c r="U71" i="7" s="1"/>
  <c r="V71" i="7" s="1"/>
  <c r="W71" i="7" s="1"/>
  <c r="X71" i="7" s="1"/>
  <c r="Y71" i="7" s="1"/>
  <c r="Z71" i="7" s="1"/>
  <c r="AA71" i="7" s="1"/>
  <c r="AB71" i="7" s="1"/>
  <c r="AC71" i="7" s="1"/>
  <c r="AD71" i="7" s="1"/>
  <c r="AE71" i="7" s="1"/>
  <c r="AF71" i="7" s="1"/>
  <c r="AG71" i="7" s="1"/>
  <c r="C5" i="8" s="1"/>
  <c r="D5" i="8" s="1"/>
  <c r="E5" i="8" s="1"/>
  <c r="F5" i="8" s="1"/>
  <c r="G5" i="8" s="1"/>
  <c r="H5" i="8" s="1"/>
  <c r="I5" i="8" s="1"/>
  <c r="J5" i="8" s="1"/>
  <c r="K5" i="8" s="1"/>
  <c r="L5" i="8" s="1"/>
  <c r="M5" i="8" s="1"/>
  <c r="N5" i="8" s="1"/>
  <c r="O5" i="8" s="1"/>
  <c r="P5" i="8" s="1"/>
  <c r="Q5" i="8" s="1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C11" i="8" s="1"/>
  <c r="D11" i="8" s="1"/>
  <c r="E11" i="8" s="1"/>
  <c r="F11" i="8" s="1"/>
  <c r="G11" i="8" s="1"/>
  <c r="H11" i="8" s="1"/>
  <c r="I11" i="8" s="1"/>
  <c r="J11" i="8" s="1"/>
  <c r="K11" i="8" s="1"/>
  <c r="L11" i="8" s="1"/>
  <c r="M11" i="8" s="1"/>
  <c r="N11" i="8" s="1"/>
  <c r="O11" i="8" s="1"/>
  <c r="P11" i="8" s="1"/>
  <c r="Q11" i="8" s="1"/>
  <c r="R11" i="8" s="1"/>
  <c r="S11" i="8" s="1"/>
  <c r="T11" i="8" s="1"/>
  <c r="U11" i="8" s="1"/>
  <c r="V11" i="8" s="1"/>
  <c r="W11" i="8" s="1"/>
  <c r="X11" i="8" s="1"/>
  <c r="Y11" i="8" s="1"/>
  <c r="Z11" i="8" s="1"/>
  <c r="AA11" i="8" s="1"/>
  <c r="AB11" i="8" s="1"/>
  <c r="AC11" i="8" s="1"/>
  <c r="AD11" i="8" s="1"/>
  <c r="C17" i="8" s="1"/>
  <c r="D17" i="8" s="1"/>
  <c r="E17" i="8" s="1"/>
  <c r="F17" i="8" s="1"/>
  <c r="G17" i="8" s="1"/>
  <c r="H17" i="8" s="1"/>
  <c r="I17" i="8" s="1"/>
  <c r="J17" i="8" s="1"/>
  <c r="K17" i="8" s="1"/>
  <c r="L17" i="8" s="1"/>
  <c r="M17" i="8" s="1"/>
  <c r="N17" i="8" s="1"/>
  <c r="O17" i="8" s="1"/>
  <c r="P17" i="8" s="1"/>
  <c r="Q17" i="8" s="1"/>
  <c r="R17" i="8" s="1"/>
  <c r="S17" i="8" s="1"/>
  <c r="T17" i="8" s="1"/>
  <c r="U17" i="8" s="1"/>
  <c r="V17" i="8" s="1"/>
  <c r="W17" i="8" s="1"/>
  <c r="X17" i="8" s="1"/>
  <c r="Y17" i="8" s="1"/>
  <c r="Z17" i="8" s="1"/>
  <c r="AA17" i="8" s="1"/>
  <c r="AB17" i="8" s="1"/>
  <c r="AC17" i="8" s="1"/>
  <c r="AD17" i="8" s="1"/>
  <c r="AE17" i="8" s="1"/>
  <c r="AF17" i="8" s="1"/>
  <c r="AG17" i="8" s="1"/>
  <c r="C23" i="8" s="1"/>
  <c r="D23" i="8" s="1"/>
  <c r="E23" i="8" s="1"/>
  <c r="F23" i="8" s="1"/>
  <c r="G23" i="8" s="1"/>
  <c r="H23" i="8" s="1"/>
  <c r="I23" i="8" s="1"/>
  <c r="J23" i="8" s="1"/>
  <c r="K23" i="8" s="1"/>
  <c r="L23" i="8" s="1"/>
  <c r="M23" i="8" s="1"/>
  <c r="N23" i="8" s="1"/>
  <c r="O23" i="8" s="1"/>
  <c r="P23" i="8" s="1"/>
  <c r="Q23" i="8" s="1"/>
  <c r="R23" i="8" s="1"/>
  <c r="S23" i="8" s="1"/>
  <c r="T23" i="8" s="1"/>
  <c r="U23" i="8" s="1"/>
  <c r="V23" i="8" s="1"/>
  <c r="W23" i="8" s="1"/>
  <c r="X23" i="8" s="1"/>
  <c r="Y23" i="8" s="1"/>
  <c r="Z23" i="8" s="1"/>
  <c r="AA23" i="8" s="1"/>
  <c r="AB23" i="8" s="1"/>
  <c r="AC23" i="8" s="1"/>
  <c r="AD23" i="8" s="1"/>
  <c r="AE23" i="8" s="1"/>
  <c r="AF23" i="8" s="1"/>
  <c r="C29" i="8" s="1"/>
  <c r="D29" i="8" s="1"/>
  <c r="E29" i="8" s="1"/>
  <c r="F29" i="8" s="1"/>
  <c r="G29" i="8" s="1"/>
  <c r="H29" i="8" s="1"/>
  <c r="I29" i="8" s="1"/>
  <c r="J29" i="8" s="1"/>
  <c r="K29" i="8" s="1"/>
  <c r="L29" i="8" s="1"/>
  <c r="M29" i="8" s="1"/>
  <c r="N29" i="8" s="1"/>
  <c r="O29" i="8" s="1"/>
  <c r="P29" i="8" s="1"/>
  <c r="Q29" i="8" s="1"/>
  <c r="R29" i="8" s="1"/>
  <c r="S29" i="8" s="1"/>
  <c r="T29" i="8" s="1"/>
  <c r="U29" i="8" s="1"/>
  <c r="V29" i="8" s="1"/>
  <c r="W29" i="8" s="1"/>
  <c r="X29" i="8" s="1"/>
  <c r="Y29" i="8" s="1"/>
  <c r="Z29" i="8" s="1"/>
  <c r="AA29" i="8" s="1"/>
  <c r="AB29" i="8" s="1"/>
  <c r="AC29" i="8" s="1"/>
  <c r="AD29" i="8" s="1"/>
  <c r="AE29" i="8" s="1"/>
  <c r="AF29" i="8" s="1"/>
  <c r="AG29" i="8" s="1"/>
  <c r="C35" i="8" s="1"/>
  <c r="D35" i="8" s="1"/>
  <c r="E35" i="8" s="1"/>
  <c r="F35" i="8" s="1"/>
  <c r="G35" i="8" s="1"/>
  <c r="H35" i="8" s="1"/>
  <c r="I35" i="8" s="1"/>
  <c r="J35" i="8" s="1"/>
  <c r="K35" i="8" s="1"/>
  <c r="L35" i="8" s="1"/>
  <c r="M35" i="8" s="1"/>
  <c r="N35" i="8" s="1"/>
  <c r="O35" i="8" s="1"/>
  <c r="P35" i="8" s="1"/>
  <c r="Q35" i="8" s="1"/>
  <c r="R35" i="8" s="1"/>
  <c r="S35" i="8" s="1"/>
  <c r="T35" i="8" s="1"/>
  <c r="U35" i="8" s="1"/>
  <c r="V35" i="8" s="1"/>
  <c r="W35" i="8" s="1"/>
  <c r="X35" i="8" s="1"/>
  <c r="Y35" i="8" s="1"/>
  <c r="Z35" i="8" s="1"/>
  <c r="AA35" i="8" s="1"/>
  <c r="AB35" i="8" s="1"/>
  <c r="AC35" i="8" s="1"/>
  <c r="AD35" i="8" s="1"/>
  <c r="AE35" i="8" s="1"/>
  <c r="AF35" i="8" s="1"/>
  <c r="C41" i="8" s="1"/>
  <c r="D41" i="8" s="1"/>
  <c r="E41" i="8" s="1"/>
  <c r="F41" i="8" s="1"/>
  <c r="G41" i="8" s="1"/>
  <c r="H41" i="8" s="1"/>
  <c r="I41" i="8" s="1"/>
  <c r="J41" i="8" s="1"/>
  <c r="K41" i="8" s="1"/>
  <c r="L41" i="8" s="1"/>
  <c r="M41" i="8" s="1"/>
  <c r="N41" i="8" s="1"/>
  <c r="O41" i="8" s="1"/>
  <c r="P41" i="8" s="1"/>
  <c r="Q41" i="8" s="1"/>
  <c r="R41" i="8" s="1"/>
  <c r="S41" i="8" s="1"/>
  <c r="T41" i="8" s="1"/>
  <c r="U41" i="8" s="1"/>
  <c r="V41" i="8" s="1"/>
  <c r="W41" i="8" s="1"/>
  <c r="X41" i="8" s="1"/>
  <c r="Y41" i="8" s="1"/>
  <c r="Z41" i="8" s="1"/>
  <c r="AA41" i="8" s="1"/>
  <c r="AB41" i="8" s="1"/>
  <c r="AC41" i="8" s="1"/>
  <c r="AD41" i="8" s="1"/>
  <c r="AE41" i="8" s="1"/>
  <c r="AF41" i="8" s="1"/>
  <c r="AG41" i="8" s="1"/>
  <c r="C47" i="8" s="1"/>
  <c r="D47" i="8" s="1"/>
  <c r="E47" i="8" s="1"/>
  <c r="F47" i="8" s="1"/>
  <c r="G47" i="8" s="1"/>
  <c r="H47" i="8" s="1"/>
  <c r="I47" i="8" s="1"/>
  <c r="J47" i="8" s="1"/>
  <c r="K47" i="8" s="1"/>
  <c r="L47" i="8" s="1"/>
  <c r="M47" i="8" s="1"/>
  <c r="N47" i="8" s="1"/>
  <c r="O47" i="8" s="1"/>
  <c r="P47" i="8" s="1"/>
  <c r="Q47" i="8" s="1"/>
  <c r="R47" i="8" s="1"/>
  <c r="S47" i="8" s="1"/>
  <c r="T47" i="8" s="1"/>
  <c r="U47" i="8" s="1"/>
  <c r="V47" i="8" s="1"/>
  <c r="W47" i="8" s="1"/>
  <c r="X47" i="8" s="1"/>
  <c r="Y47" i="8" s="1"/>
  <c r="Z47" i="8" s="1"/>
  <c r="AA47" i="8" s="1"/>
  <c r="AB47" i="8" s="1"/>
  <c r="AC47" i="8" s="1"/>
  <c r="AD47" i="8" s="1"/>
  <c r="AE47" i="8" s="1"/>
  <c r="AF47" i="8" s="1"/>
  <c r="AG47" i="8" s="1"/>
  <c r="C53" i="8" s="1"/>
  <c r="D53" i="8" s="1"/>
  <c r="E53" i="8" s="1"/>
  <c r="F53" i="8" s="1"/>
  <c r="G53" i="8" s="1"/>
  <c r="H53" i="8" s="1"/>
  <c r="I53" i="8" s="1"/>
  <c r="J53" i="8" s="1"/>
  <c r="K53" i="8" s="1"/>
  <c r="L53" i="8" s="1"/>
  <c r="M53" i="8" s="1"/>
  <c r="N53" i="8" s="1"/>
  <c r="O53" i="8" s="1"/>
  <c r="P53" i="8" s="1"/>
  <c r="Q53" i="8" s="1"/>
  <c r="R53" i="8" s="1"/>
  <c r="S53" i="8" s="1"/>
  <c r="T53" i="8" s="1"/>
  <c r="U53" i="8" s="1"/>
  <c r="V53" i="8" s="1"/>
  <c r="W53" i="8" s="1"/>
  <c r="X53" i="8" s="1"/>
  <c r="Y53" i="8" s="1"/>
  <c r="Z53" i="8" s="1"/>
  <c r="AA53" i="8" s="1"/>
  <c r="AB53" i="8" s="1"/>
  <c r="AC53" i="8" s="1"/>
  <c r="AD53" i="8" s="1"/>
  <c r="AE53" i="8" s="1"/>
  <c r="AF53" i="8" s="1"/>
  <c r="C59" i="8" s="1"/>
  <c r="D59" i="8" s="1"/>
  <c r="E59" i="8" s="1"/>
  <c r="F59" i="8" s="1"/>
  <c r="G59" i="8" s="1"/>
  <c r="H59" i="8" s="1"/>
  <c r="I59" i="8" s="1"/>
  <c r="J59" i="8" s="1"/>
  <c r="K59" i="8" s="1"/>
  <c r="L59" i="8" s="1"/>
  <c r="M59" i="8" s="1"/>
  <c r="N59" i="8" s="1"/>
  <c r="O59" i="8" s="1"/>
  <c r="P59" i="8" s="1"/>
  <c r="Q59" i="8" s="1"/>
  <c r="R59" i="8" s="1"/>
  <c r="S59" i="8" s="1"/>
  <c r="T59" i="8" s="1"/>
  <c r="U59" i="8" s="1"/>
  <c r="V59" i="8" s="1"/>
  <c r="W59" i="8" s="1"/>
  <c r="X59" i="8" s="1"/>
  <c r="Y59" i="8" s="1"/>
  <c r="Z59" i="8" s="1"/>
  <c r="AA59" i="8" s="1"/>
  <c r="AB59" i="8" s="1"/>
  <c r="AC59" i="8" s="1"/>
  <c r="AD59" i="8" s="1"/>
  <c r="AE59" i="8" s="1"/>
  <c r="AF59" i="8" s="1"/>
  <c r="AG59" i="8" s="1"/>
  <c r="C65" i="8" s="1"/>
  <c r="D65" i="8" s="1"/>
  <c r="E65" i="8" s="1"/>
  <c r="F65" i="8" s="1"/>
  <c r="G65" i="8" s="1"/>
  <c r="H65" i="8" s="1"/>
  <c r="I65" i="8" s="1"/>
  <c r="J65" i="8" s="1"/>
  <c r="K65" i="8" s="1"/>
  <c r="L65" i="8" s="1"/>
  <c r="M65" i="8" s="1"/>
  <c r="N65" i="8" s="1"/>
  <c r="O65" i="8" s="1"/>
  <c r="P65" i="8" s="1"/>
  <c r="Q65" i="8" s="1"/>
  <c r="R65" i="8" s="1"/>
  <c r="S65" i="8" s="1"/>
  <c r="T65" i="8" s="1"/>
  <c r="U65" i="8" s="1"/>
  <c r="V65" i="8" s="1"/>
  <c r="W65" i="8" s="1"/>
  <c r="X65" i="8" s="1"/>
  <c r="Y65" i="8" s="1"/>
  <c r="Z65" i="8" s="1"/>
  <c r="AA65" i="8" s="1"/>
  <c r="AB65" i="8" s="1"/>
  <c r="AC65" i="8" s="1"/>
  <c r="AD65" i="8" s="1"/>
  <c r="AE65" i="8" s="1"/>
  <c r="AF65" i="8" s="1"/>
  <c r="C71" i="8" s="1"/>
  <c r="D71" i="8" s="1"/>
  <c r="E71" i="8" s="1"/>
  <c r="F71" i="8" s="1"/>
  <c r="G71" i="8" s="1"/>
  <c r="H71" i="8" s="1"/>
  <c r="I71" i="8" s="1"/>
  <c r="J71" i="8" s="1"/>
  <c r="K71" i="8" s="1"/>
  <c r="L71" i="8" s="1"/>
  <c r="M71" i="8" s="1"/>
  <c r="N71" i="8" s="1"/>
  <c r="O71" i="8" s="1"/>
  <c r="P71" i="8" s="1"/>
  <c r="Q71" i="8" s="1"/>
  <c r="R71" i="8" s="1"/>
  <c r="S71" i="8" s="1"/>
  <c r="T71" i="8" s="1"/>
  <c r="U71" i="8" s="1"/>
  <c r="V71" i="8" s="1"/>
  <c r="W71" i="8" s="1"/>
  <c r="X71" i="8" s="1"/>
  <c r="Y71" i="8" s="1"/>
  <c r="Z71" i="8" s="1"/>
  <c r="AA71" i="8" s="1"/>
  <c r="AB71" i="8" s="1"/>
  <c r="AC71" i="8" s="1"/>
  <c r="AD71" i="8" s="1"/>
  <c r="AE71" i="8" s="1"/>
  <c r="AF71" i="8" s="1"/>
  <c r="AG71" i="8" s="1"/>
  <c r="C4" i="2"/>
  <c r="K7" i="5"/>
  <c r="B2" i="3"/>
  <c r="E9" i="5"/>
  <c r="M9" i="5"/>
  <c r="D4" i="4"/>
  <c r="L4" i="4"/>
  <c r="J4" i="3"/>
  <c r="I4" i="5"/>
  <c r="N4" i="3"/>
  <c r="J4" i="4"/>
  <c r="G4" i="3"/>
  <c r="K4" i="3"/>
  <c r="H9" i="5"/>
  <c r="B13" i="4"/>
  <c r="B69" i="8"/>
  <c r="H4" i="2"/>
  <c r="H4" i="3"/>
  <c r="B13" i="5"/>
  <c r="B16" i="8"/>
  <c r="B52" i="8"/>
  <c r="B3" i="5"/>
  <c r="B33" i="8"/>
  <c r="B10" i="3"/>
  <c r="O10" i="3" s="1"/>
  <c r="F4" i="4"/>
  <c r="B6" i="4"/>
  <c r="B40" i="7"/>
  <c r="B45" i="7"/>
  <c r="B14" i="3"/>
  <c r="O14" i="3" s="1"/>
  <c r="B18" i="3"/>
  <c r="O18" i="3" s="1"/>
  <c r="J9" i="5"/>
  <c r="B39" i="7"/>
  <c r="B70" i="8"/>
  <c r="H4" i="4"/>
  <c r="C4" i="5"/>
  <c r="B52" i="6"/>
  <c r="B15" i="2"/>
  <c r="F4" i="3"/>
  <c r="I4" i="4"/>
  <c r="E4" i="4"/>
  <c r="M4" i="4"/>
  <c r="B51" i="6"/>
  <c r="I4" i="2"/>
  <c r="B6" i="2"/>
  <c r="B14" i="2"/>
  <c r="B6" i="3"/>
  <c r="O6" i="3" s="1"/>
  <c r="B8" i="3"/>
  <c r="O8" i="3" s="1"/>
  <c r="B12" i="3"/>
  <c r="O12" i="3" s="1"/>
  <c r="B8" i="4"/>
  <c r="B10" i="4"/>
  <c r="F4" i="5"/>
  <c r="N4" i="5"/>
  <c r="B6" i="5"/>
  <c r="H7" i="5"/>
  <c r="B11" i="5"/>
  <c r="B33" i="6"/>
  <c r="B4" i="7"/>
  <c r="B21" i="7"/>
  <c r="B51" i="7"/>
  <c r="B58" i="7"/>
  <c r="B10" i="8"/>
  <c r="B33" i="7"/>
  <c r="B3" i="2"/>
  <c r="B13" i="2"/>
  <c r="B16" i="3"/>
  <c r="O16" i="3" s="1"/>
  <c r="B12" i="4"/>
  <c r="B16" i="4"/>
  <c r="B18" i="4"/>
  <c r="G9" i="5"/>
  <c r="M7" i="5"/>
  <c r="F9" i="5"/>
  <c r="B17" i="5"/>
  <c r="B19" i="5"/>
  <c r="B64" i="6"/>
  <c r="B9" i="7"/>
  <c r="B16" i="7"/>
  <c r="B57" i="7"/>
  <c r="B28" i="8"/>
  <c r="B8" i="5"/>
  <c r="B27" i="6"/>
  <c r="B63" i="6"/>
  <c r="B70" i="6"/>
  <c r="B64" i="7"/>
  <c r="B27" i="8"/>
  <c r="B45" i="8"/>
  <c r="B57" i="8"/>
  <c r="B63" i="8"/>
  <c r="B4" i="9"/>
  <c r="B22" i="9"/>
  <c r="B27" i="9"/>
  <c r="D4" i="2"/>
  <c r="B11" i="2"/>
  <c r="I4" i="3"/>
  <c r="E4" i="3"/>
  <c r="M4" i="3"/>
  <c r="B3" i="4"/>
  <c r="B14" i="4"/>
  <c r="I9" i="5"/>
  <c r="E4" i="5"/>
  <c r="M4" i="5"/>
  <c r="N9" i="5"/>
  <c r="B15" i="5"/>
  <c r="B9" i="6"/>
  <c r="B22" i="6"/>
  <c r="B40" i="6"/>
  <c r="B45" i="6"/>
  <c r="B52" i="7"/>
  <c r="B63" i="7"/>
  <c r="B39" i="8"/>
  <c r="B3" i="9"/>
  <c r="B10" i="9"/>
  <c r="B21" i="9"/>
  <c r="B9" i="3"/>
  <c r="O9" i="3" s="1"/>
  <c r="B11" i="3"/>
  <c r="O11" i="3" s="1"/>
  <c r="B13" i="3"/>
  <c r="O13" i="3" s="1"/>
  <c r="B7" i="4"/>
  <c r="B9" i="4"/>
  <c r="B11" i="4"/>
  <c r="B10" i="5"/>
  <c r="B12" i="5"/>
  <c r="B3" i="6"/>
  <c r="B39" i="6"/>
  <c r="B3" i="7"/>
  <c r="B9" i="9"/>
  <c r="E4" i="2"/>
  <c r="B9" i="2"/>
  <c r="B17" i="2"/>
  <c r="C4" i="3"/>
  <c r="B7" i="3"/>
  <c r="O7" i="3" s="1"/>
  <c r="B15" i="3"/>
  <c r="O15" i="3" s="1"/>
  <c r="B17" i="3"/>
  <c r="O17" i="3" s="1"/>
  <c r="N4" i="4"/>
  <c r="B15" i="4"/>
  <c r="B17" i="4"/>
  <c r="G4" i="5"/>
  <c r="B16" i="5"/>
  <c r="B18" i="5"/>
  <c r="B20" i="5"/>
  <c r="B10" i="6"/>
  <c r="B15" i="6"/>
  <c r="B16" i="6"/>
  <c r="B21" i="6"/>
  <c r="B46" i="6"/>
  <c r="B12" i="2"/>
  <c r="B10" i="2"/>
  <c r="B18" i="2"/>
  <c r="F4" i="2"/>
  <c r="G4" i="2"/>
  <c r="B8" i="2"/>
  <c r="B16" i="2"/>
  <c r="D4" i="3"/>
  <c r="L4" i="3"/>
  <c r="C4" i="4"/>
  <c r="K4" i="4"/>
  <c r="G4" i="4"/>
  <c r="D4" i="5"/>
  <c r="L7" i="5"/>
  <c r="J4" i="5"/>
  <c r="B14" i="5"/>
  <c r="B4" i="6"/>
  <c r="B69" i="6"/>
  <c r="B46" i="7"/>
  <c r="B21" i="8"/>
  <c r="B7" i="2"/>
  <c r="B34" i="6"/>
  <c r="B28" i="6"/>
  <c r="B3" i="3"/>
  <c r="K9" i="5"/>
  <c r="B10" i="7"/>
  <c r="B27" i="7"/>
  <c r="B2" i="4"/>
  <c r="B2" i="5"/>
  <c r="H4" i="5"/>
  <c r="N7" i="5"/>
  <c r="L9" i="5"/>
  <c r="B2" i="2"/>
  <c r="B57" i="6"/>
  <c r="K4" i="5"/>
  <c r="I7" i="5"/>
  <c r="L4" i="5"/>
  <c r="J7" i="5"/>
  <c r="B15" i="7"/>
  <c r="B22" i="7"/>
  <c r="B28" i="7"/>
  <c r="B34" i="7"/>
  <c r="B58" i="6"/>
  <c r="B46" i="8"/>
  <c r="B51" i="8"/>
  <c r="B70" i="7"/>
  <c r="B40" i="8"/>
  <c r="B34" i="9"/>
  <c r="B58" i="8"/>
  <c r="B34" i="8"/>
  <c r="B69" i="7"/>
  <c r="B33" i="9"/>
  <c r="B9" i="8"/>
  <c r="B15" i="8"/>
  <c r="B22" i="8"/>
  <c r="B16" i="9"/>
  <c r="B28" i="9"/>
  <c r="B3" i="8"/>
  <c r="B4" i="8"/>
  <c r="B64" i="8"/>
  <c r="B15" i="9"/>
  <c r="B7" i="5" l="1"/>
  <c r="Q6" i="3"/>
  <c r="B4" i="2"/>
  <c r="B4" i="4"/>
  <c r="B4" i="3"/>
  <c r="B9" i="5"/>
  <c r="B4" i="5"/>
</calcChain>
</file>

<file path=xl/sharedStrings.xml><?xml version="1.0" encoding="utf-8"?>
<sst xmlns="http://schemas.openxmlformats.org/spreadsheetml/2006/main" count="18535" uniqueCount="1464">
  <si>
    <t>口座引き落とし</t>
  </si>
  <si>
    <t>引き落とし日</t>
  </si>
  <si>
    <t>金額</t>
  </si>
  <si>
    <t>カード払い</t>
  </si>
  <si>
    <t>支払日</t>
  </si>
  <si>
    <t>家賃</t>
  </si>
  <si>
    <t>毎月27日</t>
  </si>
  <si>
    <t>視点・Off Topic（note）</t>
  </si>
  <si>
    <t>毎月1日</t>
  </si>
  <si>
    <t>大学奨学金</t>
  </si>
  <si>
    <t>アイカサ</t>
  </si>
  <si>
    <t>みいちゃんへの返済</t>
  </si>
  <si>
    <t>ディズニープラス</t>
  </si>
  <si>
    <t>毎月8日</t>
  </si>
  <si>
    <t>カードローンへの返済</t>
  </si>
  <si>
    <t>postalk</t>
  </si>
  <si>
    <t>毎月9日</t>
  </si>
  <si>
    <t>ジム代</t>
  </si>
  <si>
    <t>Wi-Fi</t>
  </si>
  <si>
    <t>毎月11日</t>
  </si>
  <si>
    <t>Netflix</t>
  </si>
  <si>
    <t>毎月16日</t>
  </si>
  <si>
    <t>chapters</t>
  </si>
  <si>
    <t>毎月19日</t>
  </si>
  <si>
    <t>コテンラジオ</t>
  </si>
  <si>
    <t>毎月20日</t>
  </si>
  <si>
    <t>電気代</t>
  </si>
  <si>
    <t>つみたてNISA</t>
  </si>
  <si>
    <t>毎月28日</t>
  </si>
  <si>
    <t>合計金額</t>
  </si>
  <si>
    <t>毎月固定費合計</t>
  </si>
  <si>
    <t>給与</t>
  </si>
  <si>
    <t>残高</t>
  </si>
  <si>
    <t xml:space="preserve"> 合計金額</t>
  </si>
  <si>
    <t>収入</t>
  </si>
  <si>
    <t>支出</t>
  </si>
  <si>
    <t>差額</t>
  </si>
  <si>
    <t>内訳</t>
  </si>
  <si>
    <t>食費</t>
  </si>
  <si>
    <t>接待交際費</t>
  </si>
  <si>
    <t>交通費</t>
  </si>
  <si>
    <t>光熱費</t>
  </si>
  <si>
    <t>スマホ代</t>
  </si>
  <si>
    <t>医療費</t>
  </si>
  <si>
    <t>服</t>
  </si>
  <si>
    <t>生活品</t>
  </si>
  <si>
    <t>書籍代</t>
  </si>
  <si>
    <t>奨学金・ローン返済</t>
  </si>
  <si>
    <t>ツール</t>
  </si>
  <si>
    <t>勉強費</t>
  </si>
  <si>
    <t>クレジット引き落とし</t>
  </si>
  <si>
    <t>平均</t>
  </si>
  <si>
    <t>外食費</t>
  </si>
  <si>
    <t>娯楽費</t>
  </si>
  <si>
    <t>1月</t>
  </si>
  <si>
    <t>1月クレジット引き落とし</t>
  </si>
  <si>
    <t>2月</t>
  </si>
  <si>
    <t>2月クレジット引き落とし</t>
  </si>
  <si>
    <t>3月</t>
  </si>
  <si>
    <t>3月クレジット引き落とし</t>
  </si>
  <si>
    <t>4月</t>
  </si>
  <si>
    <t>4月クレジット引き落とし</t>
  </si>
  <si>
    <t>5月</t>
  </si>
  <si>
    <t>5月クレジット引き落とし</t>
  </si>
  <si>
    <t>6月</t>
  </si>
  <si>
    <t>6月クレジット引き落とし</t>
  </si>
  <si>
    <t>7月</t>
  </si>
  <si>
    <t>7月クレジット引き落とし</t>
  </si>
  <si>
    <t>8月</t>
  </si>
  <si>
    <t>8月クレジット引き落とし</t>
  </si>
  <si>
    <t>9月</t>
  </si>
  <si>
    <t>9月クレジット引き落とし</t>
  </si>
  <si>
    <t>10月</t>
  </si>
  <si>
    <t>10月クレジット引き落とし</t>
  </si>
  <si>
    <t>11月</t>
  </si>
  <si>
    <t>11月クレジット引き落とし</t>
  </si>
  <si>
    <t>12月</t>
  </si>
  <si>
    <t>12月クレジット引き落とし</t>
  </si>
  <si>
    <t>ローン追加</t>
  </si>
  <si>
    <t>エポスカード</t>
  </si>
  <si>
    <t>三井住友VISAカード</t>
  </si>
  <si>
    <t>8月給与（仮）</t>
  </si>
  <si>
    <t>9月給与（仮）</t>
  </si>
  <si>
    <t>エポス8月分（利用分）</t>
  </si>
  <si>
    <t>エポス8月分（請求分）</t>
  </si>
  <si>
    <t>経費精算（予定）</t>
  </si>
  <si>
    <t>10月引き落とし</t>
  </si>
  <si>
    <t>ローン</t>
  </si>
  <si>
    <t>11月引き落とし</t>
  </si>
  <si>
    <t>12月引き落とし</t>
  </si>
  <si>
    <t>タイムスタンプ</t>
  </si>
  <si>
    <t>日付</t>
  </si>
  <si>
    <t>内容</t>
  </si>
  <si>
    <t>カテゴリ</t>
  </si>
  <si>
    <t>Credit/Cash</t>
  </si>
  <si>
    <t>店舗</t>
  </si>
  <si>
    <t>収支別</t>
  </si>
  <si>
    <t/>
  </si>
  <si>
    <t xml:space="preserve"> 経費精算</t>
  </si>
  <si>
    <t>suicaチャージ</t>
  </si>
  <si>
    <t>Credit</t>
  </si>
  <si>
    <t>ウコン、ラムネ</t>
  </si>
  <si>
    <t>Cash</t>
  </si>
  <si>
    <t>セブンイレブン</t>
  </si>
  <si>
    <t>シャンプーなど</t>
  </si>
  <si>
    <t>タクシー</t>
  </si>
  <si>
    <t>ランチ</t>
  </si>
  <si>
    <t>ローソン</t>
  </si>
  <si>
    <t>東京駅へのバス</t>
  </si>
  <si>
    <t>お弁当</t>
  </si>
  <si>
    <t>朝食</t>
  </si>
  <si>
    <t>カレー</t>
  </si>
  <si>
    <t>コーヒー</t>
  </si>
  <si>
    <t>ドトール</t>
  </si>
  <si>
    <t>パン</t>
  </si>
  <si>
    <t>ハンドソープ、ティッシュ</t>
  </si>
  <si>
    <t>食材購入</t>
  </si>
  <si>
    <t>サニー</t>
  </si>
  <si>
    <t>成田空港へのバス</t>
  </si>
  <si>
    <t>デザート購入</t>
  </si>
  <si>
    <t>ゆみさんご飯</t>
  </si>
  <si>
    <t>チョコ</t>
  </si>
  <si>
    <t>若松ランチ</t>
  </si>
  <si>
    <t>おにぎり、パン、お茶</t>
  </si>
  <si>
    <t>ゴミ袋</t>
  </si>
  <si>
    <t>ひらお</t>
  </si>
  <si>
    <t>モスバーガー</t>
  </si>
  <si>
    <t>配達</t>
  </si>
  <si>
    <t xml:space="preserve">  生ごみ用ゴミネット</t>
  </si>
  <si>
    <t>Amazon</t>
  </si>
  <si>
    <t>HDMIケーブル</t>
  </si>
  <si>
    <t>Tシャツ、パンツ</t>
  </si>
  <si>
    <t>ユニクロ</t>
  </si>
  <si>
    <t>カードローン返済</t>
  </si>
  <si>
    <t>ブリタ浄水器</t>
  </si>
  <si>
    <t>１００均商品</t>
  </si>
  <si>
    <t>ダイソー</t>
  </si>
  <si>
    <t>100均商品</t>
  </si>
  <si>
    <t>7月家賃</t>
  </si>
  <si>
    <t>お茶</t>
  </si>
  <si>
    <t>キューバサンド、クラフトビール</t>
  </si>
  <si>
    <t>クレジットカード引き落とし</t>
  </si>
  <si>
    <t>ジム</t>
  </si>
  <si>
    <t>スイカチャージ</t>
  </si>
  <si>
    <t>デザート、朝食</t>
  </si>
  <si>
    <t>サミットストア</t>
  </si>
  <si>
    <t>高校奨学金</t>
  </si>
  <si>
    <t>三井住友VISAカード引き落とし</t>
  </si>
  <si>
    <t>鹿児島空港カフェ</t>
  </si>
  <si>
    <t>包丁、まな板、スリッパ</t>
  </si>
  <si>
    <t>ニトリ</t>
  </si>
  <si>
    <t>預け荷物超過分</t>
  </si>
  <si>
    <t>その他</t>
  </si>
  <si>
    <t>お母さんに送金</t>
  </si>
  <si>
    <t>ケバブ</t>
  </si>
  <si>
    <t>コンテンツ</t>
  </si>
  <si>
    <t>ダイソー商品</t>
  </si>
  <si>
    <t>メルカリ売上</t>
  </si>
  <si>
    <t>英会話</t>
  </si>
  <si>
    <t>Rarejob</t>
  </si>
  <si>
    <t>泡立て、鼻うがいなど</t>
  </si>
  <si>
    <t>ツルハ</t>
  </si>
  <si>
    <t>インドカレー</t>
  </si>
  <si>
    <t>コーヒー豆</t>
  </si>
  <si>
    <t>GLOBE COFFEE</t>
  </si>
  <si>
    <t>スマートウォッチ</t>
  </si>
  <si>
    <t>リュック、カーテン</t>
  </si>
  <si>
    <t>枕、枕カバー</t>
  </si>
  <si>
    <t>１００均</t>
  </si>
  <si>
    <t>キャンドゥ</t>
  </si>
  <si>
    <t>ゴミ箱</t>
  </si>
  <si>
    <t>fastgym24</t>
  </si>
  <si>
    <t>あやのとご飯</t>
  </si>
  <si>
    <t>ガス代返金</t>
  </si>
  <si>
    <t>コンテンツ購入</t>
  </si>
  <si>
    <t>トイレブラシなど</t>
  </si>
  <si>
    <t>水道代</t>
  </si>
  <si>
    <t>福岡市</t>
  </si>
  <si>
    <t xml:space="preserve"> 視点</t>
  </si>
  <si>
    <t>note</t>
  </si>
  <si>
    <t>Suicaチャージ</t>
  </si>
  <si>
    <t>チャリチャリ</t>
  </si>
  <si>
    <t>パスタ</t>
  </si>
  <si>
    <t>書籍購入</t>
  </si>
  <si>
    <t>焼肉</t>
  </si>
  <si>
    <t>烏森珈琲店</t>
  </si>
  <si>
    <t>烏森珈琲</t>
  </si>
  <si>
    <t>食器など</t>
  </si>
  <si>
    <t>セリア</t>
  </si>
  <si>
    <t>まっすーさんたち飲み会</t>
  </si>
  <si>
    <t>焼肉ランチ</t>
  </si>
  <si>
    <t>焼肉苑</t>
  </si>
  <si>
    <t>PC画面フィルタ</t>
  </si>
  <si>
    <t>みんなの銀行</t>
  </si>
  <si>
    <t>新香飯店</t>
  </si>
  <si>
    <t>お寿司ランチ</t>
  </si>
  <si>
    <t>コーヒー、チョコレート</t>
  </si>
  <si>
    <t>ポストーク</t>
  </si>
  <si>
    <t>Amazon年会費</t>
  </si>
  <si>
    <t>松屋</t>
  </si>
  <si>
    <t>一番館</t>
  </si>
  <si>
    <t>au電話料金</t>
  </si>
  <si>
    <t>UQモバイル</t>
  </si>
  <si>
    <t>コンドーム</t>
  </si>
  <si>
    <t>美容室</t>
  </si>
  <si>
    <t>100均</t>
  </si>
  <si>
    <t>Wi-Fi解約費</t>
  </si>
  <si>
    <t>お土産</t>
  </si>
  <si>
    <t>中華ランチ</t>
  </si>
  <si>
    <t>povoチャージ</t>
  </si>
  <si>
    <t>１００均製品</t>
  </si>
  <si>
    <t>suica チャージ</t>
  </si>
  <si>
    <t>お土産代</t>
  </si>
  <si>
    <t>蒸気屋</t>
  </si>
  <si>
    <t>ケンタッキー</t>
  </si>
  <si>
    <t>靴下</t>
  </si>
  <si>
    <t>コスモス</t>
  </si>
  <si>
    <t>カレーライス</t>
  </si>
  <si>
    <t>ネットフリックス</t>
  </si>
  <si>
    <t>シャツ購入</t>
  </si>
  <si>
    <t>照明購入</t>
  </si>
  <si>
    <t>動画</t>
  </si>
  <si>
    <t>本2冊</t>
  </si>
  <si>
    <t>ノ・ミカタ、ブリタ</t>
  </si>
  <si>
    <t>スマホアクセサリー購入</t>
  </si>
  <si>
    <t>パンとワイン</t>
  </si>
  <si>
    <t>割り勘分</t>
  </si>
  <si>
    <t>三六</t>
  </si>
  <si>
    <t>うどんランチ</t>
  </si>
  <si>
    <t>コーヒー、ラムネ</t>
  </si>
  <si>
    <t>アーキタイプ給料</t>
  </si>
  <si>
    <t>dmm</t>
  </si>
  <si>
    <t>pasmoチャージ</t>
  </si>
  <si>
    <t>飲み会</t>
  </si>
  <si>
    <t>中華</t>
  </si>
  <si>
    <t>脱毛</t>
  </si>
  <si>
    <t>目薬</t>
  </si>
  <si>
    <t>9月分家賃</t>
  </si>
  <si>
    <t>レアジョブ英会話</t>
  </si>
  <si>
    <t>ローン返済</t>
  </si>
  <si>
    <t>povo</t>
  </si>
  <si>
    <t>おにぎり</t>
  </si>
  <si>
    <t>どら焼き</t>
  </si>
  <si>
    <t>汗拭きシート</t>
  </si>
  <si>
    <t>原状回復費</t>
  </si>
  <si>
    <t>カフェラテ</t>
  </si>
  <si>
    <t>冷やし中華</t>
  </si>
  <si>
    <t>with</t>
  </si>
  <si>
    <t>視点</t>
  </si>
  <si>
    <t>洋食ランチ</t>
  </si>
  <si>
    <t>コンサル　本</t>
  </si>
  <si>
    <t>なーちゃん飲み会</t>
  </si>
  <si>
    <t>なあちゃん飲み会</t>
  </si>
  <si>
    <t>なあちゃん飲み会割り勘分</t>
  </si>
  <si>
    <t>定期購入</t>
  </si>
  <si>
    <t>ルーローハン</t>
  </si>
  <si>
    <t>福林</t>
  </si>
  <si>
    <t>夕食牛丼</t>
  </si>
  <si>
    <t>経費精算</t>
  </si>
  <si>
    <t>パスタランチ</t>
  </si>
  <si>
    <t>es</t>
  </si>
  <si>
    <t>文庫本</t>
  </si>
  <si>
    <t>チキン南蛮定食</t>
  </si>
  <si>
    <t>やきとん</t>
  </si>
  <si>
    <t>三鶴</t>
  </si>
  <si>
    <t>amazon</t>
  </si>
  <si>
    <t>kindle</t>
  </si>
  <si>
    <t>ザル</t>
  </si>
  <si>
    <t>シューズ</t>
  </si>
  <si>
    <t>リヨンメルシー</t>
  </si>
  <si>
    <t>au,uqmobile</t>
  </si>
  <si>
    <t>みんなの銀行返済</t>
  </si>
  <si>
    <t>五目そば</t>
  </si>
  <si>
    <t>三井住友カード年会費</t>
  </si>
  <si>
    <t>コーヒー購入</t>
  </si>
  <si>
    <t>au</t>
  </si>
  <si>
    <t>三六ランチ</t>
  </si>
  <si>
    <t>書籍</t>
  </si>
  <si>
    <t>中ちゃんたち飲み会</t>
  </si>
  <si>
    <t>四季報</t>
  </si>
  <si>
    <t>漫画</t>
  </si>
  <si>
    <t>fiesta</t>
  </si>
  <si>
    <t>withチャージ</t>
  </si>
  <si>
    <t>お好み焼き</t>
  </si>
  <si>
    <t>口内炎薬</t>
  </si>
  <si>
    <t>マツモトキヨシ</t>
  </si>
  <si>
    <t>コーヒー、チョコ</t>
  </si>
  <si>
    <t>牛丼</t>
  </si>
  <si>
    <t>洗濯用ネット</t>
  </si>
  <si>
    <t>Goアプリ</t>
  </si>
  <si>
    <t>Uber Eats</t>
  </si>
  <si>
    <t>口内炎薬購入</t>
  </si>
  <si>
    <t>9月給与</t>
  </si>
  <si>
    <t>三六定食</t>
  </si>
  <si>
    <t>ラーメン</t>
  </si>
  <si>
    <t>10月分家賃</t>
  </si>
  <si>
    <t>クラフトビール</t>
  </si>
  <si>
    <t>東京浴場</t>
  </si>
  <si>
    <t>レアジョブ</t>
  </si>
  <si>
    <t>入浴代</t>
  </si>
  <si>
    <t>蔦屋書店</t>
  </si>
  <si>
    <t>洗面所ラック</t>
  </si>
  <si>
    <t>本棚</t>
  </si>
  <si>
    <t>chaptersイベント</t>
  </si>
  <si>
    <t>東京-福岡飛行機</t>
  </si>
  <si>
    <t>サクラトラベル</t>
  </si>
  <si>
    <t>ブックオフ</t>
  </si>
  <si>
    <t>目黒-西小山タクシー</t>
  </si>
  <si>
    <t>定期券</t>
  </si>
  <si>
    <t>9月分経費精算</t>
  </si>
  <si>
    <t>ヨーグルト</t>
  </si>
  <si>
    <t>諫山さん飲み</t>
  </si>
  <si>
    <t>Another8</t>
  </si>
  <si>
    <t>諫山さん飲み会</t>
  </si>
  <si>
    <t>GLOVE COFFEE</t>
  </si>
  <si>
    <t>メロンパン</t>
  </si>
  <si>
    <t>Tシャツ</t>
  </si>
  <si>
    <t>男肌</t>
  </si>
  <si>
    <t>キッチン用品</t>
  </si>
  <si>
    <t>リオンメルシー</t>
  </si>
  <si>
    <t>WiFi</t>
  </si>
  <si>
    <t>せいたたち飲み会</t>
  </si>
  <si>
    <t>大越</t>
  </si>
  <si>
    <t>ランチパスタ</t>
  </si>
  <si>
    <t>NEMO</t>
  </si>
  <si>
    <t>Neolive</t>
  </si>
  <si>
    <t>スナック</t>
  </si>
  <si>
    <t>netflix</t>
  </si>
  <si>
    <t>BrewDog</t>
  </si>
  <si>
    <t>あん梅</t>
  </si>
  <si>
    <t>みいちゃんへ返済</t>
  </si>
  <si>
    <t>ワイン</t>
  </si>
  <si>
    <t>カルディ</t>
  </si>
  <si>
    <t>夜ご飯</t>
  </si>
  <si>
    <t>10月給料</t>
  </si>
  <si>
    <t>タイ料理ランチ</t>
  </si>
  <si>
    <t>鹿児島-東京航空券</t>
  </si>
  <si>
    <t>鹿児島-東京フライト</t>
  </si>
  <si>
    <t>スカイマーク</t>
  </si>
  <si>
    <t>薬膳カレー</t>
  </si>
  <si>
    <t>11月分家賃</t>
  </si>
  <si>
    <t>食材・生活品</t>
  </si>
  <si>
    <t>胃腸薬</t>
  </si>
  <si>
    <t>フタバ薬局</t>
  </si>
  <si>
    <t>生活雑貨</t>
  </si>
  <si>
    <t>チョコ、コーヒー</t>
  </si>
  <si>
    <t>ツルハドラッグ</t>
  </si>
  <si>
    <t>ハンバーガーランチ</t>
  </si>
  <si>
    <t>THE BURGER SHOP</t>
  </si>
  <si>
    <t>スターバックス</t>
  </si>
  <si>
    <t>PASMOチャージ</t>
  </si>
  <si>
    <t>魚ランチ</t>
  </si>
  <si>
    <t>スウェット</t>
  </si>
  <si>
    <t>コート</t>
  </si>
  <si>
    <t>GU</t>
  </si>
  <si>
    <t>ラーメンランチ</t>
  </si>
  <si>
    <t>ファミリーマート</t>
  </si>
  <si>
    <t>弁当</t>
  </si>
  <si>
    <t>永新</t>
  </si>
  <si>
    <t>佐野さん飲み会</t>
  </si>
  <si>
    <t>ビール</t>
  </si>
  <si>
    <t>ラーメン3人分</t>
  </si>
  <si>
    <t>11月給料、交通費込み</t>
  </si>
  <si>
    <t>12月分家賃</t>
  </si>
  <si>
    <t>ガスト</t>
  </si>
  <si>
    <t>毛布</t>
  </si>
  <si>
    <t>のど飴、目薬</t>
  </si>
  <si>
    <t>魚定食</t>
  </si>
  <si>
    <t>Amazon music</t>
  </si>
  <si>
    <t>コーヒー、ティッシュ</t>
  </si>
  <si>
    <t>リトルナガサキ</t>
  </si>
  <si>
    <t>Chapters</t>
  </si>
  <si>
    <t>ワンタンメン</t>
  </si>
  <si>
    <t>キャッシング</t>
  </si>
  <si>
    <t>キャリーバッグ</t>
  </si>
  <si>
    <t>リトルフクオカ</t>
  </si>
  <si>
    <t>ロバーツコーヒー</t>
  </si>
  <si>
    <t>カツカレー</t>
  </si>
  <si>
    <t>頭痛薬</t>
  </si>
  <si>
    <t>低温調理器</t>
  </si>
  <si>
    <t>PC画面フィルム</t>
  </si>
  <si>
    <t>バー</t>
  </si>
  <si>
    <t>カレーパン</t>
  </si>
  <si>
    <t>タリーズコーヒー</t>
  </si>
  <si>
    <t>Howlt Coffee</t>
  </si>
  <si>
    <t>磯飯倶楽部</t>
  </si>
  <si>
    <t>アイス、水</t>
  </si>
  <si>
    <t>福岡ホテル</t>
  </si>
  <si>
    <t>関口軍団一次会</t>
  </si>
  <si>
    <t>天ぷら</t>
  </si>
  <si>
    <t>たかお</t>
  </si>
  <si>
    <t>関口軍団二次会</t>
  </si>
  <si>
    <t>3SPOON</t>
  </si>
  <si>
    <t>SHIROUZU COFFEE</t>
  </si>
  <si>
    <t>デザート、パン</t>
  </si>
  <si>
    <t>コワーキング利用</t>
  </si>
  <si>
    <t>FGN</t>
  </si>
  <si>
    <t>ブリタカートリッジ</t>
  </si>
  <si>
    <t>水</t>
  </si>
  <si>
    <t>スポンジ</t>
  </si>
  <si>
    <t>ケーキ</t>
  </si>
  <si>
    <t>ENTIER</t>
  </si>
  <si>
    <t>アイテム</t>
  </si>
  <si>
    <t>12月給与</t>
  </si>
  <si>
    <t>UDON BUZEN</t>
  </si>
  <si>
    <t>1月分家賃</t>
  </si>
  <si>
    <t>高校奨学金返済</t>
  </si>
  <si>
    <t>たぬ吉</t>
  </si>
  <si>
    <t>積立NISA</t>
  </si>
  <si>
    <t>航空券</t>
  </si>
  <si>
    <t>アゴダ</t>
  </si>
  <si>
    <t>１００均アイテム</t>
  </si>
  <si>
    <t>ホットアイマスク</t>
  </si>
  <si>
    <t>モニター</t>
  </si>
  <si>
    <t>アダプター</t>
  </si>
  <si>
    <t>Povo</t>
  </si>
  <si>
    <t>お酒、アイス</t>
  </si>
  <si>
    <t>トライアル</t>
  </si>
  <si>
    <t>ホテル</t>
  </si>
  <si>
    <t>ホテルプルミエ</t>
  </si>
  <si>
    <t>下着、ヒートテック</t>
  </si>
  <si>
    <t>お賽銭</t>
  </si>
  <si>
    <t>帳尻合わせ</t>
  </si>
  <si>
    <t>スタバチケット</t>
  </si>
  <si>
    <t>giftee</t>
  </si>
  <si>
    <t>会社お土産</t>
  </si>
  <si>
    <t>パン、飲み物</t>
  </si>
  <si>
    <t>ファミリマート</t>
  </si>
  <si>
    <t>ワックス</t>
  </si>
  <si>
    <t>ドラッグイレブン</t>
  </si>
  <si>
    <t>宿泊税</t>
  </si>
  <si>
    <t>さやさん飲み</t>
  </si>
  <si>
    <t>エルボラーチョ</t>
  </si>
  <si>
    <t>御御御</t>
  </si>
  <si>
    <t>パン、水</t>
  </si>
  <si>
    <t>コネクトコーヒー</t>
  </si>
  <si>
    <t>アイス</t>
  </si>
  <si>
    <t>サーティーワン</t>
  </si>
  <si>
    <t>神薗さん飲み</t>
  </si>
  <si>
    <t>ひるとよる</t>
  </si>
  <si>
    <t>シュークリーム</t>
  </si>
  <si>
    <t>ベローチェ</t>
  </si>
  <si>
    <t>クラフトビール、ハイボール</t>
  </si>
  <si>
    <t>Fiesta</t>
  </si>
  <si>
    <t>パフェ</t>
  </si>
  <si>
    <t>Disney+</t>
  </si>
  <si>
    <t xml:space="preserve"> Postalk</t>
  </si>
  <si>
    <t>エポスカード払い戻し分</t>
  </si>
  <si>
    <t>五目タンメン</t>
  </si>
  <si>
    <t>書籍3冊</t>
  </si>
  <si>
    <t>珪藻土マット</t>
  </si>
  <si>
    <t>焼きさば定食</t>
  </si>
  <si>
    <t>なあちゃん飲み</t>
  </si>
  <si>
    <t>キャッシング返済</t>
  </si>
  <si>
    <t>コーヒーフィルター</t>
  </si>
  <si>
    <t>パン、コーヒー、水</t>
  </si>
  <si>
    <t>サトーの人たちとの懇親会</t>
  </si>
  <si>
    <t>サプリメント</t>
  </si>
  <si>
    <t>1月給料</t>
  </si>
  <si>
    <t>おにぎり2つ</t>
  </si>
  <si>
    <t>一柳さん飲み</t>
  </si>
  <si>
    <t>シャンプー、洗顔クリームなど</t>
  </si>
  <si>
    <t>2月分家賃</t>
  </si>
  <si>
    <t>ジェットスター</t>
  </si>
  <si>
    <t>チャーハンランチ</t>
  </si>
  <si>
    <t>メトロマーケット</t>
  </si>
  <si>
    <t>翔平さんたち飲み</t>
  </si>
  <si>
    <t> 漫画</t>
  </si>
  <si>
    <t>ハイボール2杯</t>
  </si>
  <si>
    <t>新幹線</t>
  </si>
  <si>
    <t>トンカツ定食</t>
  </si>
  <si>
    <t xml:space="preserve"> 食材購入</t>
  </si>
  <si>
    <t>マスク</t>
  </si>
  <si>
    <t>銭湯</t>
  </si>
  <si>
    <t>コーヒー牛乳</t>
  </si>
  <si>
    <t>JAL</t>
  </si>
  <si>
    <t>ミンティア</t>
  </si>
  <si>
    <t>かむくら</t>
  </si>
  <si>
    <t>ポカリスエット</t>
  </si>
  <si>
    <t>ドリア</t>
  </si>
  <si>
    <t>鼻うがい薬</t>
  </si>
  <si>
    <t>chaptersクラファン</t>
  </si>
  <si>
    <t>コーヒー、プリン</t>
  </si>
  <si>
    <t>pasmo</t>
  </si>
  <si>
    <t>こうたさん飲み</t>
  </si>
  <si>
    <t>マンガ</t>
  </si>
  <si>
    <t>サンドウィッチ　ランチ</t>
  </si>
  <si>
    <t>アソビバー</t>
  </si>
  <si>
    <t>イヤホン</t>
  </si>
  <si>
    <t>Apple</t>
  </si>
  <si>
    <t>えいしん</t>
  </si>
  <si>
    <t>コンディショナー</t>
  </si>
  <si>
    <t>2月分給料</t>
  </si>
  <si>
    <t>交通費支給</t>
  </si>
  <si>
    <t>赤のれん</t>
  </si>
  <si>
    <t>スリッパ</t>
  </si>
  <si>
    <t>パン、ファミチキ</t>
  </si>
  <si>
    <t>3月分家賃</t>
  </si>
  <si>
    <t>クリーニング</t>
  </si>
  <si>
    <t>プロテイン</t>
  </si>
  <si>
    <t>漫画、小説</t>
  </si>
  <si>
    <t>一馬さん</t>
  </si>
  <si>
    <t>タイ料理</t>
  </si>
  <si>
    <t>コーヒー、お菓子</t>
  </si>
  <si>
    <t>ネクタイ</t>
  </si>
  <si>
    <t>リトルフクオカ若手会</t>
  </si>
  <si>
    <t>リンガーハット</t>
  </si>
  <si>
    <t>まいさんタクシー代振替</t>
  </si>
  <si>
    <t>相席屋立て替え</t>
  </si>
  <si>
    <t>ハイボール</t>
  </si>
  <si>
    <t>お祝儀</t>
  </si>
  <si>
    <t>お車代</t>
  </si>
  <si>
    <t>一馬さん結婚式三次会</t>
  </si>
  <si>
    <t>オリエンタルラウンジ</t>
  </si>
  <si>
    <t>朝ごはん</t>
  </si>
  <si>
    <t>けいた立て替え分</t>
  </si>
  <si>
    <t>おにぎり、豚汁</t>
  </si>
  <si>
    <t>谷脇さん飲み</t>
  </si>
  <si>
    <t>お菓子</t>
  </si>
  <si>
    <t>下着、靴下</t>
  </si>
  <si>
    <t>酒場のシャトル</t>
  </si>
  <si>
    <t>けいた立て替え</t>
  </si>
  <si>
    <t>ノミカタ</t>
  </si>
  <si>
    <t>ちほ飲み</t>
  </si>
  <si>
    <t>デザート</t>
  </si>
  <si>
    <t xml:space="preserve"> 眉毛サロン</t>
  </si>
  <si>
    <t>パスモチャージ</t>
  </si>
  <si>
    <t>3月給料</t>
  </si>
  <si>
    <t>ふくりん</t>
  </si>
  <si>
    <t>4月家賃</t>
  </si>
  <si>
    <t>みいちゃん返済</t>
  </si>
  <si>
    <t>昇降式デスク</t>
  </si>
  <si>
    <t>塩谷舞イベント</t>
  </si>
  <si>
    <t>本</t>
  </si>
  <si>
    <t>サプリ</t>
  </si>
  <si>
    <t>LINEサブスク</t>
  </si>
  <si>
    <t>延長コード</t>
  </si>
  <si>
    <t>バスケ用靴下</t>
  </si>
  <si>
    <t>Disney +</t>
  </si>
  <si>
    <t>アップル</t>
  </si>
  <si>
    <t>夕食</t>
  </si>
  <si>
    <t>ランチビリヤニ</t>
  </si>
  <si>
    <t>バスケコート代</t>
  </si>
  <si>
    <t>バスケ飲み</t>
  </si>
  <si>
    <t>お茶碗</t>
  </si>
  <si>
    <t>ランチインドカレー</t>
  </si>
  <si>
    <t>浄水カートリッジ</t>
  </si>
  <si>
    <t>眉毛サロン</t>
  </si>
  <si>
    <t>4月分給料</t>
  </si>
  <si>
    <t>かずまさんたち飲み</t>
  </si>
  <si>
    <t>相席屋</t>
  </si>
  <si>
    <t>割り勘（初音さん）</t>
  </si>
  <si>
    <t>アンドゥ飲み</t>
  </si>
  <si>
    <t>シーシャ</t>
  </si>
  <si>
    <t>焼酎</t>
  </si>
  <si>
    <t>amazon music</t>
  </si>
  <si>
    <t>カラオケ</t>
  </si>
  <si>
    <t>タクシー代</t>
  </si>
  <si>
    <t>割り勘（一馬さん）</t>
  </si>
  <si>
    <t>チャイ</t>
  </si>
  <si>
    <t>一馬さんプレゼント</t>
  </si>
  <si>
    <t>5月家賃</t>
  </si>
  <si>
    <t>のど飴、ドリンク</t>
  </si>
  <si>
    <t>カレーランチ</t>
  </si>
  <si>
    <t>サウナ</t>
  </si>
  <si>
    <t>オロポ</t>
  </si>
  <si>
    <t>カレー、バナナケーキ</t>
  </si>
  <si>
    <t>展示会</t>
  </si>
  <si>
    <t>東京都立現代美術館</t>
  </si>
  <si>
    <t>お菓子、鼻うがいぐすり</t>
  </si>
  <si>
    <t>オムライス</t>
  </si>
  <si>
    <t>ピクニック用パン</t>
  </si>
  <si>
    <t>橋本さん飲み</t>
  </si>
  <si>
    <t>つけ麺</t>
  </si>
  <si>
    <t>Postalk</t>
  </si>
  <si>
    <t>けいた割り勘</t>
  </si>
  <si>
    <t>飲み代</t>
  </si>
  <si>
    <t>ナニワヤ</t>
  </si>
  <si>
    <t>一馬さん割り勘</t>
  </si>
  <si>
    <t>アイマスク</t>
  </si>
  <si>
    <t>たから食堂</t>
  </si>
  <si>
    <t>chatgpt</t>
  </si>
  <si>
    <t>chapters裏チャイ</t>
  </si>
  <si>
    <t>お好み焼きランチ</t>
  </si>
  <si>
    <t>おつまみ、お酒</t>
  </si>
  <si>
    <t>ビニール手袋</t>
  </si>
  <si>
    <t>Featured Project</t>
  </si>
  <si>
    <t>八十港</t>
  </si>
  <si>
    <t>はるかさん割り勘</t>
  </si>
  <si>
    <t>はるかさんピザ</t>
  </si>
  <si>
    <t>5月分給与+交通費</t>
  </si>
  <si>
    <t>磯丸水産</t>
  </si>
  <si>
    <t>橋本さん支払い</t>
  </si>
  <si>
    <t>マクドナルド</t>
  </si>
  <si>
    <t>洋平さん飲み</t>
  </si>
  <si>
    <t>ちひろさんランチ</t>
  </si>
  <si>
    <t>AirPods</t>
  </si>
  <si>
    <t>Appleストア</t>
  </si>
  <si>
    <t>6月家賃</t>
  </si>
  <si>
    <t>海南鶏飯食堂</t>
  </si>
  <si>
    <t>AirPodsケース</t>
  </si>
  <si>
    <t>ポカリ</t>
  </si>
  <si>
    <t>イベントチケット</t>
  </si>
  <si>
    <t>百均</t>
  </si>
  <si>
    <t>スマートウォッチバンド</t>
  </si>
  <si>
    <t>チョコレート</t>
  </si>
  <si>
    <t>とんとん</t>
  </si>
  <si>
    <t>はるかさん飲み</t>
  </si>
  <si>
    <t>掃除機</t>
  </si>
  <si>
    <t>帽子</t>
  </si>
  <si>
    <t>H&amp;M</t>
  </si>
  <si>
    <t>メモ帳2冊</t>
  </si>
  <si>
    <t>はるかさんご飯</t>
  </si>
  <si>
    <t>バスケットボール</t>
  </si>
  <si>
    <t>楽天市場</t>
  </si>
  <si>
    <t>ファミチキ</t>
  </si>
  <si>
    <t>くっぽさん飲み</t>
  </si>
  <si>
    <t>BIGLOBE特典</t>
  </si>
  <si>
    <t>一馬さん・啓太飲み</t>
  </si>
  <si>
    <t>炭酸水</t>
  </si>
  <si>
    <t>青山ブックセンター</t>
  </si>
  <si>
    <t>デオドラント</t>
  </si>
  <si>
    <t>毛抜き</t>
  </si>
  <si>
    <t>ポカリスウェット</t>
  </si>
  <si>
    <t>バスケチーム飲み（2人分）</t>
  </si>
  <si>
    <t>カマンベールチーズ</t>
  </si>
  <si>
    <t>イオン</t>
  </si>
  <si>
    <t>袋、容器</t>
  </si>
  <si>
    <t>chaptersチケット</t>
  </si>
  <si>
    <t>家保険料</t>
  </si>
  <si>
    <t>Amazonプライム会費</t>
  </si>
  <si>
    <t>一馬さん飲み</t>
  </si>
  <si>
    <t>鹿児島ー東京航空券</t>
  </si>
  <si>
    <t>東京-鹿児島航空券</t>
  </si>
  <si>
    <t>医薬品など</t>
  </si>
  <si>
    <t>合コン</t>
  </si>
  <si>
    <t>レオくん飲み</t>
  </si>
  <si>
    <t>６月給料</t>
  </si>
  <si>
    <t>シャツ</t>
  </si>
  <si>
    <t>もえさん飲み</t>
  </si>
  <si>
    <t>ラテグラフィック</t>
  </si>
  <si>
    <t>もえさん割り勘</t>
  </si>
  <si>
    <t>ともみさん飲み</t>
  </si>
  <si>
    <t>ともみさん割り勘</t>
  </si>
  <si>
    <t>映画</t>
  </si>
  <si>
    <t>withポイント</t>
  </si>
  <si>
    <t>デニーズ</t>
  </si>
  <si>
    <t>KINGミートアップ</t>
  </si>
  <si>
    <t>歯ブラシ、オキシクリーン</t>
  </si>
  <si>
    <t>ストラスブール飲み会</t>
  </si>
  <si>
    <t>朝マック</t>
  </si>
  <si>
    <t>一馬さんたち飲み</t>
  </si>
  <si>
    <t>業務スーパー</t>
  </si>
  <si>
    <t>アントニー送別会</t>
  </si>
  <si>
    <t>iCloud</t>
  </si>
  <si>
    <t>マツキヨ</t>
  </si>
  <si>
    <t>まみこさんご飯</t>
  </si>
  <si>
    <t>WELLK</t>
  </si>
  <si>
    <t>まみこさん割り勘</t>
  </si>
  <si>
    <t>まあやご飯</t>
  </si>
  <si>
    <t>TSUTAYA</t>
  </si>
  <si>
    <t>東急ストア</t>
  </si>
  <si>
    <t>chatGPT</t>
  </si>
  <si>
    <t>おにぎり、ファミチキ</t>
  </si>
  <si>
    <t>お菓子、炭酸水</t>
  </si>
  <si>
    <t>カード年会費</t>
  </si>
  <si>
    <t>チャイ、ホットサンド</t>
  </si>
  <si>
    <t>チャイと選書</t>
  </si>
  <si>
    <t>お菓子など</t>
  </si>
  <si>
    <t>なあちゃん割り勘</t>
  </si>
  <si>
    <t>歯磨き粉、お菓子、アイマスクなど</t>
  </si>
  <si>
    <t>調整</t>
  </si>
  <si>
    <t>ピザ</t>
  </si>
  <si>
    <t>ベルト</t>
  </si>
  <si>
    <t>裏チャイ</t>
  </si>
  <si>
    <t>ポカリなど</t>
  </si>
  <si>
    <t>パン、ヨーグルト</t>
  </si>
  <si>
    <t>デスク用コード収納</t>
  </si>
  <si>
    <t>７月給与</t>
  </si>
  <si>
    <t>８月家賃</t>
  </si>
  <si>
    <t>パンランチ</t>
  </si>
  <si>
    <t>フレンチトースト</t>
  </si>
  <si>
    <t>洗剤など</t>
  </si>
  <si>
    <t>書籍購入費</t>
  </si>
  <si>
    <t>あやさんコーヒー</t>
  </si>
  <si>
    <t>GESHARY COFFEE</t>
  </si>
  <si>
    <t>映画ホットドッグセット</t>
  </si>
  <si>
    <t>映画デッドプール</t>
  </si>
  <si>
    <t>ゆきこさんランチ</t>
  </si>
  <si>
    <t>buik</t>
  </si>
  <si>
    <t>そば</t>
  </si>
  <si>
    <t>どん兵衛</t>
  </si>
  <si>
    <t>REM</t>
  </si>
  <si>
    <t>工具</t>
  </si>
  <si>
    <t>汗拭きシートなど</t>
  </si>
  <si>
    <t>乳液</t>
  </si>
  <si>
    <t>無印良品</t>
  </si>
  <si>
    <t>ポカリ、スイーツ</t>
  </si>
  <si>
    <t>スイーツ、ポカリ</t>
  </si>
  <si>
    <t>21_21DESIGN SIGHT</t>
  </si>
  <si>
    <t>お菓子、アイス</t>
  </si>
  <si>
    <t>まみこさんランチ</t>
  </si>
  <si>
    <t>ともみさんご飯</t>
  </si>
  <si>
    <t>ワックスなど</t>
  </si>
  <si>
    <t>おっくん飲み</t>
  </si>
  <si>
    <t>テレビ東京</t>
  </si>
  <si>
    <t>一馬さん、諫山さん飲み</t>
  </si>
  <si>
    <t>ホットサンド</t>
  </si>
  <si>
    <t>おつまみなど</t>
  </si>
  <si>
    <t>漫画、アイス</t>
  </si>
  <si>
    <t>シェイバーなど</t>
  </si>
  <si>
    <t>8月給料</t>
  </si>
  <si>
    <t>中ちゃん飲み</t>
  </si>
  <si>
    <t>おにぎりなど</t>
  </si>
  <si>
    <t>9月家賃</t>
  </si>
  <si>
    <t>目薬など</t>
  </si>
  <si>
    <t>コーヒー、羊羹</t>
  </si>
  <si>
    <t>アイス、お菓子</t>
  </si>
  <si>
    <t>体重計、靴</t>
  </si>
  <si>
    <t>歯ブラシなど</t>
  </si>
  <si>
    <t>おみちゃん飲み</t>
  </si>
  <si>
    <t>日経BP</t>
  </si>
  <si>
    <t>ペチャクチャアペロ</t>
  </si>
  <si>
    <t>橋本さん出産祝い</t>
  </si>
  <si>
    <t>スマホフィルム</t>
  </si>
  <si>
    <t>初音さん飲み</t>
  </si>
  <si>
    <t>三幸園</t>
  </si>
  <si>
    <t>柔軟剤など</t>
  </si>
  <si>
    <t>タッパーなど</t>
  </si>
  <si>
    <t>大戸屋</t>
  </si>
  <si>
    <t>リュック</t>
  </si>
  <si>
    <t>ほっけ定食</t>
  </si>
  <si>
    <t>和可奈</t>
  </si>
  <si>
    <t>岡本さんたち飲み</t>
  </si>
  <si>
    <t>チーズ月見バーガー</t>
  </si>
  <si>
    <t>十番スタンド</t>
  </si>
  <si>
    <t>チャプターズ</t>
  </si>
  <si>
    <t>PASSAFGE COFFEE</t>
  </si>
  <si>
    <t>Chapters読書会</t>
  </si>
  <si>
    <t>大衆食堂安べゑ</t>
  </si>
  <si>
    <t>With</t>
  </si>
  <si>
    <t>新幹線（東京→名古屋）</t>
  </si>
  <si>
    <t>ChatGPT</t>
  </si>
  <si>
    <t>マクロファクター</t>
  </si>
  <si>
    <t>マルエツ</t>
  </si>
  <si>
    <t>新幹線（名古屋→品川）</t>
  </si>
  <si>
    <t>本購入</t>
  </si>
  <si>
    <t>コンディショナーなど</t>
  </si>
  <si>
    <t>福岡県人会</t>
  </si>
  <si>
    <t>９月給与</t>
  </si>
  <si>
    <t>キュレートレモン</t>
  </si>
  <si>
    <t>三井住友カード</t>
  </si>
  <si>
    <t>納豆ラーメン</t>
  </si>
  <si>
    <t>10月家賃</t>
  </si>
  <si>
    <t>頭痛薬、目薬</t>
  </si>
  <si>
    <t>コーヒーハウスかこ</t>
  </si>
  <si>
    <t>プリン、カフェラテ</t>
  </si>
  <si>
    <t>喫茶ゾウメシ</t>
  </si>
  <si>
    <t>水、お菓子</t>
  </si>
  <si>
    <t>ビアバー</t>
  </si>
  <si>
    <t>ひつまぶし</t>
  </si>
  <si>
    <t>味噌カツ丼</t>
  </si>
  <si>
    <t>名古屋旅行</t>
  </si>
  <si>
    <t>福岡県人会飲食代</t>
  </si>
  <si>
    <t>航空券（福岡→東京）</t>
  </si>
  <si>
    <t>写真集</t>
  </si>
  <si>
    <t>チャイソーダ</t>
  </si>
  <si>
    <t>ハイボール3杯</t>
  </si>
  <si>
    <t>DADA</t>
  </si>
  <si>
    <t>xiamiバンド</t>
  </si>
  <si>
    <t>バスケチケット</t>
  </si>
  <si>
    <t>アーキタイプ飲み</t>
  </si>
  <si>
    <t>あべちゃん</t>
  </si>
  <si>
    <t>上海好吃</t>
  </si>
  <si>
    <t>しんさん飲み</t>
  </si>
  <si>
    <t>ホットドッグ、ハイボール</t>
  </si>
  <si>
    <t>有明アリーナ</t>
  </si>
  <si>
    <t>トイレ用洗剤など</t>
  </si>
  <si>
    <t>OpenAI</t>
  </si>
  <si>
    <t>歯磨き粉など</t>
  </si>
  <si>
    <t>ポカリ、おにぎり</t>
  </si>
  <si>
    <t>ゴミ袋など</t>
  </si>
  <si>
    <t>アイスチャイ</t>
  </si>
  <si>
    <t>アイスカフェラテ</t>
  </si>
  <si>
    <t>REC  COFFEE</t>
  </si>
  <si>
    <t>百合子さん飲み</t>
  </si>
  <si>
    <t>百合子さん割り勘分</t>
  </si>
  <si>
    <t>生活品購入</t>
  </si>
  <si>
    <t>枕カバー</t>
  </si>
  <si>
    <t>バスタオル</t>
  </si>
  <si>
    <t>10月給与</t>
  </si>
  <si>
    <t>ライトニングケーブル</t>
  </si>
  <si>
    <t>電池など</t>
  </si>
  <si>
    <t>絆創膏など</t>
  </si>
  <si>
    <t>百合子さんカフェ</t>
  </si>
  <si>
    <t>百合子さん割り勘</t>
  </si>
  <si>
    <t>プリン、バウムクーヘン</t>
  </si>
  <si>
    <t>治一郎</t>
  </si>
  <si>
    <t>SAUNAS</t>
  </si>
  <si>
    <t>名刺（経費）</t>
  </si>
  <si>
    <t>ラクスル</t>
  </si>
  <si>
    <t>バスケ飲み代</t>
  </si>
  <si>
    <t>カレー・チャイ</t>
  </si>
  <si>
    <t>導入美容液など</t>
  </si>
  <si>
    <t>しおりさん割り勘</t>
  </si>
  <si>
    <t>しおりさんご飯</t>
  </si>
  <si>
    <t>ゼロワン</t>
  </si>
  <si>
    <t>名刺</t>
  </si>
  <si>
    <t>コーヒー、カヌレ</t>
  </si>
  <si>
    <t>R.Smile</t>
  </si>
  <si>
    <t>ジーユー</t>
  </si>
  <si>
    <t>入浴剤</t>
  </si>
  <si>
    <t>風邪薬など</t>
  </si>
  <si>
    <t>Cielo di Tokio</t>
  </si>
  <si>
    <t>航空券（東京→鹿児島）</t>
  </si>
  <si>
    <t>ランチうどん</t>
  </si>
  <si>
    <t>ホットアイマスクなど</t>
  </si>
  <si>
    <t>ココカラファイン</t>
  </si>
  <si>
    <t>航空券（鹿児島→東京）</t>
  </si>
  <si>
    <t>コーヒー、ポッキー</t>
  </si>
  <si>
    <t>AHMフード（コロッケ・メンチカツ）</t>
  </si>
  <si>
    <t>AHMフード（いなり寿司）</t>
  </si>
  <si>
    <t>洗剤</t>
  </si>
  <si>
    <t>じゅんき飲み</t>
  </si>
  <si>
    <t>HUB</t>
  </si>
  <si>
    <t>おでん　俺のだし</t>
  </si>
  <si>
    <t>卵、お菓子</t>
  </si>
  <si>
    <t>靴下、ulka</t>
  </si>
  <si>
    <t>コーヒー、水</t>
  </si>
  <si>
    <t>卵、食パン</t>
  </si>
  <si>
    <t>チャイラテ</t>
  </si>
  <si>
    <t>11月給与</t>
  </si>
  <si>
    <t>けいた飲み</t>
  </si>
  <si>
    <t>プロテイン餃子</t>
  </si>
  <si>
    <t>豆腐バー</t>
  </si>
  <si>
    <t>ボディソープなど</t>
  </si>
  <si>
    <t>のど飴など</t>
  </si>
  <si>
    <t>アナザーエイト</t>
  </si>
  <si>
    <t>薬、ティッシュなど</t>
  </si>
  <si>
    <t>クリスマスマーケット</t>
  </si>
  <si>
    <t>六本木ヒルズ</t>
  </si>
  <si>
    <t>チャイ、スポンジケーキ</t>
  </si>
  <si>
    <t>福岡忘年会</t>
  </si>
  <si>
    <t>カーペット</t>
  </si>
  <si>
    <t>ドーナツ</t>
  </si>
  <si>
    <t>ケバブサンド</t>
  </si>
  <si>
    <t>ステーキ丼</t>
  </si>
  <si>
    <t>ヒートテック</t>
  </si>
  <si>
    <t>朝次郎</t>
  </si>
  <si>
    <t>サンドウィッチ、水</t>
  </si>
  <si>
    <t>さえ、金丸くんランチ</t>
  </si>
  <si>
    <t>awabar</t>
  </si>
  <si>
    <t>関口軍団飲み</t>
  </si>
  <si>
    <t>元長</t>
  </si>
  <si>
    <t>カフェラテ、コーヒー豆</t>
  </si>
  <si>
    <t>connect coffee</t>
  </si>
  <si>
    <t>水、おにぎり</t>
  </si>
  <si>
    <t>パン、卵など</t>
  </si>
  <si>
    <t>福岡飲み会</t>
  </si>
  <si>
    <t>コーヒー、プリン、ドリップパック</t>
  </si>
  <si>
    <t>焼き鳥丼、餃子</t>
  </si>
  <si>
    <t>日高屋</t>
  </si>
  <si>
    <t>ハンバーガーなど</t>
  </si>
  <si>
    <t>ニュースピックス</t>
  </si>
  <si>
    <t>浄水器カートリッジなど</t>
  </si>
  <si>
    <t>パン、プリン</t>
  </si>
  <si>
    <t>Entier</t>
  </si>
  <si>
    <t>トースター</t>
  </si>
  <si>
    <t>本買取</t>
  </si>
  <si>
    <t>スポンジなど</t>
  </si>
  <si>
    <t>パン、アイス</t>
  </si>
  <si>
    <t>雑誌</t>
  </si>
  <si>
    <t>ハンバーガー</t>
  </si>
  <si>
    <t>J.S.Burgers</t>
  </si>
  <si>
    <t>COVERT</t>
  </si>
  <si>
    <t>ピザ、ワイン</t>
  </si>
  <si>
    <t>重曹</t>
  </si>
  <si>
    <t>ケーキ、そば</t>
  </si>
  <si>
    <t>水、パン</t>
  </si>
  <si>
    <t>コーヒー、ホットドッグ</t>
  </si>
  <si>
    <t>タリーズ</t>
  </si>
  <si>
    <t>松のや</t>
  </si>
  <si>
    <t>コアラマットレス</t>
  </si>
  <si>
    <t>天天有</t>
  </si>
  <si>
    <t>飲み物</t>
  </si>
  <si>
    <t>お賽銭、おみくじ</t>
  </si>
  <si>
    <t>シャトレーゼ</t>
  </si>
  <si>
    <t>カナン</t>
  </si>
  <si>
    <t>やよい軒</t>
  </si>
  <si>
    <t>母へ送金</t>
  </si>
  <si>
    <t>コーヒー、パン</t>
  </si>
  <si>
    <t>こうさく飲み</t>
  </si>
  <si>
    <t>ベッドフレーム</t>
  </si>
  <si>
    <t>食材</t>
  </si>
  <si>
    <t>メガネ</t>
  </si>
  <si>
    <t>こにょんさん飲み</t>
  </si>
  <si>
    <t>あんさん飲み</t>
  </si>
  <si>
    <t>あんさん割り勘</t>
  </si>
  <si>
    <t>カップ麺など</t>
  </si>
  <si>
    <t>あんさんカフェ</t>
  </si>
  <si>
    <t>ひろきさんたち飲み</t>
  </si>
  <si>
    <t>焼肉丼</t>
  </si>
  <si>
    <t>コーヒー、プロテインバー</t>
  </si>
  <si>
    <t>ガス缶</t>
  </si>
  <si>
    <t>1月給与</t>
  </si>
  <si>
    <t>マック</t>
  </si>
  <si>
    <t>牛めし</t>
  </si>
  <si>
    <t>Amazonプライム年会費</t>
  </si>
  <si>
    <t>2月家賃</t>
  </si>
  <si>
    <t>カートリッジなど</t>
  </si>
  <si>
    <t>シュクメルリ</t>
  </si>
  <si>
    <t>モニターアーム</t>
  </si>
  <si>
    <t>パンなど</t>
  </si>
  <si>
    <t>恵方巻き</t>
  </si>
  <si>
    <t>Bリーグチケット</t>
  </si>
  <si>
    <t>静音ボール</t>
  </si>
  <si>
    <t>ストラスブール留学同窓会</t>
  </si>
  <si>
    <t>琴音さんランチ</t>
  </si>
  <si>
    <t>琴音さん割り勘</t>
  </si>
  <si>
    <t>バームクーヘン</t>
  </si>
  <si>
    <t>ドライヤー</t>
  </si>
  <si>
    <t>免許更新</t>
  </si>
  <si>
    <t>バスケチケット割り勘</t>
  </si>
  <si>
    <t>かなちゃん飲み</t>
  </si>
  <si>
    <t>紀伊国屋書店</t>
  </si>
  <si>
    <t>小さかった女</t>
  </si>
  <si>
    <t>カナちゃんご飯</t>
  </si>
  <si>
    <t>健康と美容の会</t>
  </si>
  <si>
    <t>かなちゃんご飯</t>
  </si>
  <si>
    <t>食パン、ファミチキ</t>
  </si>
  <si>
    <t>焼き芋ブリュレ</t>
  </si>
  <si>
    <t>ナンディニ</t>
  </si>
  <si>
    <t>icloud</t>
  </si>
  <si>
    <t>パッタイランチ</t>
  </si>
  <si>
    <t>たくみ飲み</t>
  </si>
  <si>
    <t>たくみ割り勘</t>
  </si>
  <si>
    <t>ランチカツカレー</t>
  </si>
  <si>
    <t>食パン</t>
  </si>
  <si>
    <t>キーマカレー、ホットチャイ</t>
  </si>
  <si>
    <t>お菓子、お茶</t>
  </si>
  <si>
    <t>食事</t>
  </si>
  <si>
    <t>かなちゃんランチ</t>
  </si>
  <si>
    <t>かなちゃんコーヒー</t>
  </si>
  <si>
    <t>かなちゃん割り勘</t>
  </si>
  <si>
    <t>フェイスパックなど</t>
  </si>
  <si>
    <t>卵、パン</t>
  </si>
  <si>
    <t>2月給与</t>
  </si>
  <si>
    <t>お母さんへ送金</t>
  </si>
  <si>
    <t>ペットカメラ</t>
  </si>
  <si>
    <t>味仙</t>
  </si>
  <si>
    <t>3月家賃</t>
  </si>
  <si>
    <t>源</t>
  </si>
  <si>
    <t>あじひろ</t>
  </si>
  <si>
    <t>変換器</t>
  </si>
  <si>
    <t>消臭剤など</t>
  </si>
  <si>
    <t>フェイスクリームなど</t>
  </si>
  <si>
    <t>サンドラ</t>
  </si>
  <si>
    <t>南インドキッチン</t>
  </si>
  <si>
    <t>とらのもん</t>
  </si>
  <si>
    <t>バスケグッズ</t>
  </si>
  <si>
    <t>フェイスクリーム</t>
  </si>
  <si>
    <t>サンドラッグ</t>
  </si>
  <si>
    <t>ディズニー+</t>
  </si>
  <si>
    <t>変換アダプタ</t>
  </si>
  <si>
    <t>DRMメディア</t>
  </si>
  <si>
    <t>ハングリータイガー</t>
  </si>
  <si>
    <t>ホワイトデーチョコレート</t>
  </si>
  <si>
    <t xml:space="preserve">La maison du chocolat </t>
  </si>
  <si>
    <t>アクエリなど</t>
  </si>
  <si>
    <t>西友</t>
  </si>
  <si>
    <t>すき家</t>
  </si>
  <si>
    <t>Chat GPT</t>
  </si>
  <si>
    <t>コニョンさん韓国会</t>
  </si>
  <si>
    <t>お酒</t>
  </si>
  <si>
    <t>アイマスクなど</t>
  </si>
  <si>
    <t>肉塊UNO</t>
  </si>
  <si>
    <t>サムギョプサル</t>
  </si>
  <si>
    <t>ノミカタなど</t>
  </si>
  <si>
    <t>ららぽーと</t>
  </si>
  <si>
    <t>かなちゃん珈琲</t>
  </si>
  <si>
    <t>星乃珈琲店</t>
  </si>
  <si>
    <t>3月給与</t>
  </si>
  <si>
    <t>かなちゃんご飯代</t>
  </si>
  <si>
    <t>うがい薬など</t>
  </si>
  <si>
    <t>皿うどん</t>
  </si>
  <si>
    <t>ケーブル</t>
  </si>
  <si>
    <t>DIGIDAY</t>
  </si>
  <si>
    <t>アイスなど</t>
  </si>
  <si>
    <t>カナちゃん書籍代</t>
  </si>
  <si>
    <t>アクエリアス</t>
  </si>
  <si>
    <t>ポヴォ</t>
  </si>
  <si>
    <t>大根</t>
  </si>
  <si>
    <t>LINEギフト</t>
  </si>
  <si>
    <t>フェイスパック</t>
  </si>
  <si>
    <t>ハンドミル</t>
  </si>
  <si>
    <t>視点、オフトピック</t>
  </si>
  <si>
    <t>ソフィーナIP</t>
  </si>
  <si>
    <t>ランチチャーハン</t>
  </si>
  <si>
    <t>カナちゃん花見</t>
  </si>
  <si>
    <t>カナちゃんカルボナリ党</t>
  </si>
  <si>
    <t>カナちゃん割り勘</t>
  </si>
  <si>
    <t>こにょんさんたち割り勘</t>
  </si>
  <si>
    <t>こにょんさん花見</t>
  </si>
  <si>
    <t>こにょんさんたち飲み</t>
  </si>
  <si>
    <t>水、キレートレモン</t>
  </si>
  <si>
    <t>ハンドソープなど</t>
  </si>
  <si>
    <t>オイスターソース</t>
  </si>
  <si>
    <t>錦</t>
  </si>
  <si>
    <t>粗大ゴミ回収</t>
  </si>
  <si>
    <t>DRM</t>
  </si>
  <si>
    <t>カナちゃん送金</t>
  </si>
  <si>
    <t>ファミリーマーケット</t>
  </si>
  <si>
    <t>料理本</t>
  </si>
  <si>
    <t>ビブス代</t>
  </si>
  <si>
    <t>たこ焼き</t>
  </si>
  <si>
    <t>ベッドシーツ</t>
  </si>
  <si>
    <t>バス代</t>
  </si>
  <si>
    <t>かなちゃんバス代割り勘</t>
  </si>
  <si>
    <t>阿部さんビブス代</t>
  </si>
  <si>
    <t>4月給与</t>
  </si>
  <si>
    <t>しおりのなんとなく日常イベント</t>
  </si>
  <si>
    <t>こにょんさんパーティ</t>
  </si>
  <si>
    <t>家系ラーメン</t>
  </si>
  <si>
    <t>チーズバーガー丼</t>
  </si>
  <si>
    <t>Amazonミュージック</t>
  </si>
  <si>
    <t>デイジデイ日本版</t>
  </si>
  <si>
    <t>タイラヤ</t>
  </si>
  <si>
    <t>キュレートレモンむくみ</t>
  </si>
  <si>
    <t>お風呂の王様</t>
  </si>
  <si>
    <t>オフトピック</t>
  </si>
  <si>
    <t>スマホカバー</t>
  </si>
  <si>
    <t>安永さんたち飲み会</t>
  </si>
  <si>
    <t>ドンキホーテ</t>
  </si>
  <si>
    <t>コーヒー、唐揚げ棒</t>
  </si>
  <si>
    <t>薬など</t>
  </si>
  <si>
    <t>ウェルシア</t>
  </si>
  <si>
    <t>こうさくランチ</t>
  </si>
  <si>
    <t>ご飯</t>
  </si>
  <si>
    <t>すかいらーく</t>
  </si>
  <si>
    <t>あおてん</t>
  </si>
  <si>
    <t>スイーツ</t>
  </si>
  <si>
    <t>コメダ珈琲店</t>
  </si>
  <si>
    <t>かなちゃんチャイラテ</t>
  </si>
  <si>
    <t>ショーグンバーガー</t>
  </si>
  <si>
    <t>マスクなど</t>
  </si>
  <si>
    <t>カロリーメイト</t>
  </si>
  <si>
    <t>チャーハンセット</t>
  </si>
  <si>
    <t>長崎飯店</t>
  </si>
  <si>
    <t>ケトル</t>
  </si>
  <si>
    <t>鯨の胃袋</t>
  </si>
  <si>
    <t>お弁当、アイス</t>
  </si>
  <si>
    <t>啓太飲み</t>
  </si>
  <si>
    <t>チキンケバブ丼</t>
  </si>
  <si>
    <t>ポカリ、パン</t>
  </si>
  <si>
    <t>福岡ホテル代</t>
  </si>
  <si>
    <t>5月給与</t>
  </si>
  <si>
    <t>水など</t>
  </si>
  <si>
    <t>飲むヨーグルトなど</t>
  </si>
  <si>
    <t>かなちゃんご飯、野球観戦チケットなど</t>
  </si>
  <si>
    <t>ポテコたん</t>
  </si>
  <si>
    <t>おかず、パン</t>
  </si>
  <si>
    <t>賃貸更新料</t>
  </si>
  <si>
    <t>アレルギー検査費用</t>
  </si>
  <si>
    <t>LINEギフト券</t>
  </si>
  <si>
    <t>お惣菜</t>
  </si>
  <si>
    <t>かなちゃんカフェ</t>
  </si>
  <si>
    <t>かなちゃん食費</t>
  </si>
  <si>
    <t>offtopic</t>
  </si>
  <si>
    <t>化粧水</t>
  </si>
  <si>
    <t>ヘアワックス</t>
  </si>
  <si>
    <t>ロールケーキ</t>
  </si>
  <si>
    <t>コーラ</t>
  </si>
  <si>
    <t>ラーメン、焼酎</t>
  </si>
  <si>
    <t>もぐ俺</t>
  </si>
  <si>
    <t>ジンソーダ</t>
  </si>
  <si>
    <t>LUREE</t>
  </si>
  <si>
    <t>BREAD&amp;CAFE</t>
  </si>
  <si>
    <t>豆香洞コーヒー</t>
  </si>
  <si>
    <t>ゆっちゃん用お土産</t>
  </si>
  <si>
    <t>P2</t>
  </si>
  <si>
    <t>かなちゃんお土産</t>
  </si>
  <si>
    <t>バスケットボールLIVE</t>
  </si>
  <si>
    <t>パンツ</t>
  </si>
  <si>
    <t>コーヒー、どら焼き</t>
  </si>
  <si>
    <t>TAIRAYA</t>
  </si>
  <si>
    <t>ドーナツ、コーヒー</t>
  </si>
  <si>
    <t>ゴム</t>
  </si>
  <si>
    <t>ポップコーン、コーラ</t>
  </si>
  <si>
    <t>ゆっちゃん誕生日セット</t>
  </si>
  <si>
    <t>ペットショップコジマ</t>
  </si>
  <si>
    <t>かなちゃん誕生日プレゼント</t>
  </si>
  <si>
    <t>かなちゃんケーキ</t>
  </si>
  <si>
    <t>アマゾン</t>
  </si>
  <si>
    <t>Bizgram</t>
  </si>
  <si>
    <t>担々麺</t>
  </si>
  <si>
    <t>楼蘭</t>
  </si>
  <si>
    <t>ファミチキ、おにぎり</t>
  </si>
  <si>
    <t>アイス、ファミチキなど</t>
  </si>
  <si>
    <t>ゲームソフト</t>
  </si>
  <si>
    <t>ゲオ</t>
  </si>
  <si>
    <t>ジュース</t>
  </si>
  <si>
    <t>テレフォンブース</t>
  </si>
  <si>
    <t>ゲーム</t>
  </si>
  <si>
    <t>池園さんたち飲み</t>
  </si>
  <si>
    <t>6月分給料</t>
  </si>
  <si>
    <t>唐揚げ、ビール</t>
  </si>
  <si>
    <t>東京ドーム</t>
  </si>
  <si>
    <t>カップ麺</t>
  </si>
  <si>
    <t>口内炎薬など</t>
  </si>
  <si>
    <t>東京ドーム、ビールなど</t>
  </si>
  <si>
    <t>PCスタンド</t>
  </si>
  <si>
    <t>off topic</t>
  </si>
  <si>
    <t>トローチ</t>
  </si>
  <si>
    <t>半ズボン</t>
  </si>
  <si>
    <t>NewDays</t>
  </si>
  <si>
    <t>カゴなど</t>
  </si>
  <si>
    <t>飲み物など</t>
  </si>
  <si>
    <t>ランチそば</t>
  </si>
  <si>
    <t>かなちゃん6月分精算</t>
  </si>
  <si>
    <t>図書カード</t>
  </si>
  <si>
    <t>ハローサイクリング</t>
  </si>
  <si>
    <t>コーヒー豆、チキンライスの素</t>
  </si>
  <si>
    <t>東京→福岡航空券</t>
  </si>
  <si>
    <t>福岡→東京航空券</t>
  </si>
  <si>
    <t>とんてき定食</t>
  </si>
  <si>
    <t>basket Live</t>
  </si>
  <si>
    <t>ニューデイズ</t>
  </si>
  <si>
    <t>フォーンブース</t>
  </si>
  <si>
    <t>スクラッチ5枚</t>
  </si>
  <si>
    <t>スクラッチ当選金</t>
  </si>
  <si>
    <t>水、タブレット</t>
  </si>
  <si>
    <t>梅山鉄平食堂</t>
  </si>
  <si>
    <t>まあやカフェ</t>
  </si>
  <si>
    <t>NOOICE</t>
  </si>
  <si>
    <t>ホテル朝食</t>
  </si>
  <si>
    <t>スイーツなど</t>
  </si>
  <si>
    <t>まあや割り勘</t>
  </si>
  <si>
    <t>カフェラテ、コーヒーゼリー</t>
  </si>
  <si>
    <t>Connect Coffee</t>
  </si>
  <si>
    <t>ゆっちゃんお土産</t>
  </si>
  <si>
    <t>岩田屋</t>
  </si>
  <si>
    <t>パルコ</t>
  </si>
  <si>
    <t>一幸舎</t>
  </si>
  <si>
    <t>マルチビタミン</t>
  </si>
  <si>
    <t>Fusic精算</t>
  </si>
  <si>
    <t>豚肉、お酒</t>
  </si>
  <si>
    <t>朝食など</t>
  </si>
  <si>
    <t>宝屋</t>
  </si>
  <si>
    <t>入浴剤など</t>
  </si>
  <si>
    <t>東京→鹿児島航空券</t>
  </si>
  <si>
    <t>シャモア</t>
  </si>
  <si>
    <t>鬼滅の刃</t>
  </si>
  <si>
    <t>かなちゃん映画割り勘</t>
  </si>
  <si>
    <t>とんかつかつ花</t>
  </si>
  <si>
    <t>ペンシルシャープナー</t>
  </si>
  <si>
    <t>ナマステ</t>
  </si>
  <si>
    <t>鹿児島→東京航空券</t>
  </si>
  <si>
    <t>タクシー代割り勘</t>
  </si>
  <si>
    <t>プロテインバー</t>
  </si>
  <si>
    <t>イッシーさんパーティ</t>
  </si>
  <si>
    <t>7月給与</t>
  </si>
  <si>
    <t>歯ブラシ</t>
  </si>
  <si>
    <t>映画ポップコーンセット</t>
  </si>
  <si>
    <t>映画チケット</t>
  </si>
  <si>
    <t>8月家賃</t>
  </si>
  <si>
    <t>パン、ポカリ</t>
  </si>
  <si>
    <t>あんどう飲み</t>
  </si>
  <si>
    <t>ケバブランチ</t>
  </si>
  <si>
    <t>シェアサイクル</t>
  </si>
  <si>
    <t>野球観戦食事</t>
  </si>
  <si>
    <t>体育館代</t>
  </si>
  <si>
    <t>こにょんさんクラファン</t>
  </si>
  <si>
    <t>スパークリングワイン</t>
  </si>
  <si>
    <t>一風堂</t>
  </si>
  <si>
    <t>チョコ羊羹</t>
  </si>
  <si>
    <t>スターウォーズグッズ</t>
  </si>
  <si>
    <t>ベーグル</t>
  </si>
  <si>
    <t>CCレモン</t>
  </si>
  <si>
    <t>かなちゃん精算</t>
  </si>
  <si>
    <t>ボックスなど</t>
  </si>
  <si>
    <t>フィナンシェ</t>
  </si>
  <si>
    <t>ユウベルホテル</t>
  </si>
  <si>
    <t>特急チケット</t>
  </si>
  <si>
    <t>チャットGPT</t>
  </si>
  <si>
    <t>パン、おにぎり</t>
  </si>
  <si>
    <t>ポカリ、アイス</t>
  </si>
  <si>
    <t>pop mart</t>
  </si>
  <si>
    <t>ランチカレー</t>
  </si>
  <si>
    <t>洗濯用ネットなど</t>
  </si>
  <si>
    <t>ルーズリーフなど</t>
  </si>
  <si>
    <t>お母さんランチ</t>
  </si>
  <si>
    <t>そば茶屋</t>
  </si>
  <si>
    <t>朝定食</t>
  </si>
  <si>
    <t>タイヨー</t>
  </si>
  <si>
    <t>8月給与</t>
  </si>
  <si>
    <t>うがい薬</t>
  </si>
  <si>
    <t>下着</t>
  </si>
  <si>
    <t>バスケ飲み会</t>
  </si>
  <si>
    <t>ミルクティー</t>
  </si>
  <si>
    <t>ティッシュ</t>
  </si>
  <si>
    <t>カフェオレ</t>
  </si>
  <si>
    <t>キャンドルナイト補充</t>
  </si>
  <si>
    <t>ポップマート</t>
  </si>
  <si>
    <t>キャンドルナイト手伝い</t>
  </si>
  <si>
    <t>ティラミスなど</t>
  </si>
  <si>
    <t>視点・オフトピック</t>
  </si>
  <si>
    <t>ハイターなど</t>
  </si>
  <si>
    <t>ガム</t>
  </si>
  <si>
    <t>カレーそばランチ</t>
  </si>
  <si>
    <t>土浦お土産</t>
  </si>
  <si>
    <t>アトレ土浦</t>
  </si>
  <si>
    <t>特急券4人分</t>
  </si>
  <si>
    <t>ファミチキ、アイスなど</t>
  </si>
  <si>
    <t>一柳さん割り勘</t>
  </si>
  <si>
    <t>初音さん割り勘</t>
  </si>
  <si>
    <t>洗濯ネット</t>
  </si>
  <si>
    <t>歯磨き粉</t>
  </si>
  <si>
    <t>ティラミス</t>
  </si>
  <si>
    <t>レモンサワー</t>
  </si>
  <si>
    <t>クイックルワイパー</t>
  </si>
  <si>
    <t>玉井さん割り勘</t>
  </si>
  <si>
    <t>浄水フィルター</t>
  </si>
  <si>
    <t>缶切り</t>
  </si>
  <si>
    <t>橋本さん宅手土産</t>
  </si>
  <si>
    <t>氷</t>
  </si>
  <si>
    <t>コニーさんスナック</t>
  </si>
  <si>
    <t>せいたカラオケ</t>
  </si>
  <si>
    <t>油そば</t>
  </si>
  <si>
    <t>かなちゃん栄養剤</t>
  </si>
  <si>
    <t>チャーハン・餃子</t>
  </si>
  <si>
    <t>ラーメン村</t>
  </si>
  <si>
    <t>天ぷら定食</t>
  </si>
  <si>
    <t>天ぷらひらお</t>
  </si>
  <si>
    <t>すだっち割り勘</t>
  </si>
  <si>
    <t>すだっち弍ノ弍</t>
  </si>
  <si>
    <t>すだっち、はしもんカフェ</t>
  </si>
  <si>
    <t>スタバ</t>
  </si>
  <si>
    <t>シロウズコーヒー</t>
  </si>
  <si>
    <t>浅山カフェ</t>
  </si>
  <si>
    <t>ハローコーヒー</t>
  </si>
  <si>
    <t>うどん</t>
  </si>
  <si>
    <t>カプセルホテル</t>
  </si>
  <si>
    <t>一番くじ</t>
  </si>
  <si>
    <t>かなちゃんとそばランチ</t>
  </si>
  <si>
    <t>八起</t>
  </si>
  <si>
    <t>かなちゃん団子</t>
  </si>
  <si>
    <t>インドカレーランチ</t>
  </si>
  <si>
    <t>深宇宙展</t>
  </si>
  <si>
    <t>PASMO</t>
  </si>
  <si>
    <t>ウタマロなど</t>
  </si>
  <si>
    <t>かなちゃん9月分精算</t>
  </si>
  <si>
    <t>一人飲み</t>
  </si>
  <si>
    <t>もつ焼きでん</t>
  </si>
  <si>
    <t>視点・off topic</t>
  </si>
  <si>
    <t>まいばすけっと</t>
  </si>
  <si>
    <t>ホテル代</t>
  </si>
  <si>
    <t>化粧水など</t>
  </si>
  <si>
    <t>洗濯用洗剤</t>
  </si>
  <si>
    <t>おにぎり、水</t>
  </si>
  <si>
    <t>新幹線チケット</t>
  </si>
  <si>
    <t>ビール、たこ焼き</t>
  </si>
  <si>
    <t>整髪剤</t>
  </si>
  <si>
    <t>パンケーキ</t>
  </si>
  <si>
    <t>スマート珈琲店</t>
  </si>
  <si>
    <t>立ち飲み</t>
  </si>
  <si>
    <t>お茶、お菓子</t>
  </si>
  <si>
    <t xml:space="preserve"> Netflix</t>
  </si>
  <si>
    <t>カードローン</t>
  </si>
  <si>
    <t>チャイ、カレー</t>
  </si>
  <si>
    <t>ダンボールなど</t>
  </si>
  <si>
    <t>ココス</t>
  </si>
  <si>
    <t>シェアサイクリング</t>
  </si>
  <si>
    <t>メルカリ利益</t>
  </si>
  <si>
    <t>シャンプー</t>
  </si>
  <si>
    <t>折り畳み傘</t>
  </si>
  <si>
    <t>ノート</t>
  </si>
  <si>
    <t>ピザなど</t>
  </si>
  <si>
    <t>スポーツ用Tシャツ</t>
  </si>
  <si>
    <t>ゼビオ</t>
  </si>
  <si>
    <t>マルゼン</t>
  </si>
  <si>
    <t>11月家賃</t>
  </si>
  <si>
    <t>ジャンボラーメン</t>
  </si>
  <si>
    <t>ジュンク堂</t>
  </si>
  <si>
    <t>啓太たち飲み</t>
  </si>
  <si>
    <t>袋など</t>
  </si>
  <si>
    <t>おつまみ</t>
  </si>
  <si>
    <t>かなちゃん清算</t>
  </si>
  <si>
    <t>ビックリマンチョコ</t>
  </si>
  <si>
    <t>舞</t>
  </si>
  <si>
    <t>中華まんなど</t>
  </si>
  <si>
    <t>タッパー</t>
  </si>
  <si>
    <t>パン、コーヒー</t>
  </si>
  <si>
    <t>おでん</t>
  </si>
  <si>
    <t>パン、炭酸水</t>
  </si>
  <si>
    <t>ぐいん</t>
  </si>
  <si>
    <t>ファインダーなど</t>
  </si>
  <si>
    <t>やまちゃん</t>
  </si>
  <si>
    <t>中華まん</t>
  </si>
  <si>
    <t>一番くじ、飲み物</t>
  </si>
  <si>
    <t>かなちゃん焼肉</t>
  </si>
  <si>
    <t>漫画買取</t>
  </si>
  <si>
    <t>安宅さん飲み</t>
  </si>
  <si>
    <t>三角チョコパイ、マックフルーリー</t>
  </si>
  <si>
    <t>食材など</t>
  </si>
  <si>
    <t>焼肉定食</t>
  </si>
  <si>
    <t>バスケ</t>
  </si>
  <si>
    <t>ライフ</t>
  </si>
  <si>
    <t>塩おにぎり</t>
  </si>
  <si>
    <t>おっくん飲み会</t>
  </si>
  <si>
    <t>おっくん飲み会用ワイン</t>
  </si>
  <si>
    <t>ウエハース</t>
  </si>
  <si>
    <t>ちいかわランド</t>
  </si>
  <si>
    <t>すだっち、けいた飲み</t>
  </si>
  <si>
    <t>ケーブルホルダー</t>
  </si>
  <si>
    <t>サイゼリア</t>
  </si>
  <si>
    <t>prime music</t>
  </si>
  <si>
    <t>バスケウェアなど</t>
  </si>
  <si>
    <t>12月家賃</t>
  </si>
  <si>
    <t>武さん出産祝い</t>
  </si>
  <si>
    <t>書籍トークイベント</t>
  </si>
  <si>
    <t>定食</t>
  </si>
  <si>
    <t>有隣堂</t>
  </si>
  <si>
    <t>ホッカイロ</t>
  </si>
  <si>
    <t>お茶など</t>
  </si>
  <si>
    <t>LINE ギフト</t>
  </si>
  <si>
    <t>諫山さんたち飲み</t>
  </si>
  <si>
    <t>お菓子、ジュース</t>
  </si>
  <si>
    <t>クラウドファンディング</t>
  </si>
  <si>
    <t>岩渕さんたちランチ</t>
  </si>
  <si>
    <t>坂ちゃん飲み</t>
  </si>
  <si>
    <t>たくみたちランチ</t>
  </si>
  <si>
    <t>関口忘年会</t>
  </si>
  <si>
    <t>ホットチョコレート</t>
  </si>
  <si>
    <t>万キャンセル料</t>
  </si>
  <si>
    <t>金丸くんたち飲み</t>
  </si>
  <si>
    <t>土産</t>
  </si>
  <si>
    <t>ドコモシェアチャリ</t>
  </si>
  <si>
    <t>フェイスシートなど</t>
  </si>
  <si>
    <t>スギ薬局</t>
  </si>
  <si>
    <t>radwimpsチケット</t>
  </si>
  <si>
    <t>ご飯など</t>
  </si>
  <si>
    <t>奥田さんタクシー代</t>
  </si>
  <si>
    <t>かなちゃん花</t>
  </si>
  <si>
    <t>帽子など</t>
  </si>
  <si>
    <t>am3:41</t>
  </si>
  <si>
    <t>生活品など</t>
  </si>
  <si>
    <t>薬</t>
  </si>
  <si>
    <t>病院</t>
  </si>
  <si>
    <t>ご飯、ケーキ</t>
  </si>
  <si>
    <t>ジャカランダ</t>
  </si>
  <si>
    <t>station work</t>
  </si>
  <si>
    <t>かなちゃんラーメン</t>
  </si>
  <si>
    <t>かなちゃんクリスマスプレゼント</t>
  </si>
  <si>
    <t>バケツなど</t>
  </si>
  <si>
    <t>ビッグエコー</t>
  </si>
  <si>
    <t>洗顔フォームなど</t>
  </si>
  <si>
    <t>1月家賃</t>
  </si>
  <si>
    <t>モバイルバッテリー</t>
  </si>
  <si>
    <t>視点 off topic</t>
  </si>
  <si>
    <t>フェスティバロ</t>
  </si>
  <si>
    <t>お母さんマック</t>
  </si>
  <si>
    <t>炊飯器</t>
  </si>
  <si>
    <t>お母さん</t>
  </si>
  <si>
    <t>プルミエ</t>
  </si>
  <si>
    <t>幸ちゃんラーメン</t>
  </si>
  <si>
    <t>ココアスティック</t>
  </si>
  <si>
    <t>WIRED</t>
  </si>
  <si>
    <t>橋本さんたち飲み</t>
  </si>
  <si>
    <t>牛乳</t>
  </si>
  <si>
    <t>コーヒーなど</t>
  </si>
  <si>
    <t>お米10キロ</t>
  </si>
  <si>
    <t>トンカツ弁当</t>
  </si>
  <si>
    <t>こねみベーカリー</t>
  </si>
  <si>
    <t>とんかつ大宝</t>
  </si>
  <si>
    <t>notion</t>
  </si>
  <si>
    <t>プルコギ定食</t>
  </si>
  <si>
    <t>1月分給料</t>
  </si>
  <si>
    <t>こにょんさん忘年会</t>
  </si>
  <si>
    <t>マックフルーリー</t>
  </si>
  <si>
    <t>COFFEE GLOBE</t>
  </si>
  <si>
    <t>URBANIX業務委託費</t>
  </si>
  <si>
    <t>ランチ焼きそば</t>
  </si>
  <si>
    <t>fujimido</t>
  </si>
  <si>
    <t>一馬さん出産祝い</t>
  </si>
  <si>
    <t>つくし</t>
  </si>
  <si>
    <t>紅茶花伝</t>
  </si>
  <si>
    <t>CICバレー部飲み</t>
  </si>
  <si>
    <t>天ぷらランチ</t>
  </si>
  <si>
    <t>まきの</t>
  </si>
  <si>
    <t>CICバレー後カラオケ</t>
  </si>
  <si>
    <t>啓太割り勘</t>
  </si>
  <si>
    <t>ななさん割り勘</t>
  </si>
  <si>
    <t>おにやんま</t>
  </si>
  <si>
    <t>まなみさん割り勘</t>
  </si>
  <si>
    <t>サプリなど</t>
  </si>
  <si>
    <t>電気・ガス代</t>
  </si>
  <si>
    <t>みさちゃん飲み</t>
  </si>
  <si>
    <t>みさちゃん割り勘</t>
  </si>
  <si>
    <t>浄水カートリッジなど</t>
  </si>
  <si>
    <t>スマイルズイベント</t>
  </si>
  <si>
    <t>peatix</t>
  </si>
  <si>
    <t>ラーメン、チャーハン</t>
  </si>
  <si>
    <t>天下一品</t>
  </si>
  <si>
    <t>耳栓</t>
  </si>
  <si>
    <t>食器用洗剤など</t>
  </si>
  <si>
    <t>たくみたち飲み</t>
  </si>
  <si>
    <t>顔パックなど</t>
  </si>
  <si>
    <t>すだっちたち飲み会</t>
  </si>
  <si>
    <t>コーヒー、ドーナツ</t>
  </si>
  <si>
    <t>たまきさんご飯</t>
  </si>
  <si>
    <t>Notion</t>
  </si>
  <si>
    <t>たまきさん割り勘</t>
  </si>
  <si>
    <t>部屋用スリッパ</t>
  </si>
  <si>
    <t>ファミチキ、サンドイッチ</t>
  </si>
  <si>
    <t>整腸剤など</t>
  </si>
  <si>
    <t>空気入れなど</t>
  </si>
  <si>
    <t>なつよさんカフェ</t>
  </si>
  <si>
    <t>クレアチン</t>
  </si>
  <si>
    <t>みさちゃんご飯</t>
  </si>
  <si>
    <t>ビックラーメン</t>
  </si>
  <si>
    <t>CICカラオケ部</t>
  </si>
  <si>
    <t>PASS THE BATTON</t>
  </si>
  <si>
    <t>電気ガス代</t>
  </si>
  <si>
    <t>コインロッカー</t>
  </si>
  <si>
    <t>バスケコート代・飲み会</t>
  </si>
  <si>
    <t>コーヒースティック</t>
  </si>
  <si>
    <t>こきょんさん飲み</t>
  </si>
  <si>
    <t>花粉症スプレー</t>
  </si>
  <si>
    <t>なあちゃんご飯</t>
  </si>
  <si>
    <t>なつよさんバーベキュー</t>
  </si>
  <si>
    <t>そのこさんランチ</t>
  </si>
  <si>
    <t>そのこさんカフェ</t>
  </si>
  <si>
    <t>こにょんさんご飯</t>
  </si>
  <si>
    <t>阿部さんたち飲み</t>
  </si>
  <si>
    <t>皿</t>
  </si>
  <si>
    <t>のどかさん割り勘</t>
  </si>
  <si>
    <t>クロッフル</t>
  </si>
  <si>
    <t>ホットサンド、コーヒー</t>
  </si>
  <si>
    <t>勝尾寺入場料</t>
  </si>
  <si>
    <t>永井さんご飯</t>
  </si>
  <si>
    <t>長田さん飲み</t>
  </si>
  <si>
    <t>お母さん送金</t>
  </si>
  <si>
    <t>園子さん飲み</t>
  </si>
  <si>
    <t>ビブス</t>
  </si>
  <si>
    <t>そのこさん飲み</t>
  </si>
  <si>
    <t>コンカフェ</t>
  </si>
  <si>
    <t>お花見</t>
  </si>
  <si>
    <t>園子さん割り勘</t>
  </si>
  <si>
    <t>コーヒーシェイク</t>
  </si>
  <si>
    <t>エクセルシオール</t>
  </si>
  <si>
    <t>なつきさんご飯</t>
  </si>
  <si>
    <t>なつきさん割り勘</t>
  </si>
  <si>
    <t>ジャガランダ</t>
  </si>
  <si>
    <t>みおさん飲み</t>
  </si>
  <si>
    <t>みおちゃん割り勘</t>
  </si>
  <si>
    <t>飲み</t>
  </si>
  <si>
    <t>すずかさんランチ</t>
  </si>
  <si>
    <t>割り勘</t>
  </si>
  <si>
    <t>電車代</t>
  </si>
  <si>
    <t>漫画など</t>
  </si>
  <si>
    <t>痛み止め</t>
  </si>
  <si>
    <t>ランチラーメン</t>
  </si>
  <si>
    <t>ビッグラーメン</t>
  </si>
  <si>
    <t>ENTIRER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</si>
</sst>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¥-411]#,##0"/>
    <numFmt numFmtId="177" formatCode="yyyy/mm/dd"/>
    <numFmt numFmtId="178" formatCode="m/d/yyyy\ h:mm:ss"/>
  </numFmts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9"/>
      <color theme="1"/>
      <name val="&quot;Google Sans Mono&quot;"/>
    </font>
    <font>
      <sz val="6"/>
      <name val="Arial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76" fontId="1" fillId="0" borderId="0" xfId="0" applyNumberFormat="1" applyFont="1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55" fontId="1" fillId="2" borderId="1" xfId="0" applyNumberFormat="1" applyFont="1" applyFill="1" applyBorder="1" applyAlignment="1">
      <alignment horizontal="center"/>
    </xf>
    <xf numFmtId="55" fontId="1" fillId="0" borderId="0" xfId="0" applyNumberFormat="1" applyFont="1" applyAlignment="1">
      <alignment horizontal="center"/>
    </xf>
    <xf numFmtId="177" fontId="1" fillId="0" borderId="0" xfId="0" applyNumberFormat="1" applyFont="1" applyAlignment="1">
      <alignment horizontal="center"/>
    </xf>
    <xf numFmtId="0" fontId="1" fillId="3" borderId="1" xfId="0" applyFont="1" applyFill="1" applyBorder="1"/>
    <xf numFmtId="176" fontId="1" fillId="0" borderId="1" xfId="0" applyNumberFormat="1" applyFont="1" applyBorder="1"/>
    <xf numFmtId="0" fontId="1" fillId="2" borderId="1" xfId="0" applyFont="1" applyFill="1" applyBorder="1"/>
    <xf numFmtId="177" fontId="1" fillId="0" borderId="0" xfId="0" applyNumberFormat="1" applyFont="1"/>
    <xf numFmtId="0" fontId="1" fillId="0" borderId="0" xfId="0" applyFont="1" applyAlignment="1">
      <alignment horizontal="center"/>
    </xf>
    <xf numFmtId="176" fontId="3" fillId="4" borderId="0" xfId="0" applyNumberFormat="1" applyFont="1" applyFill="1" applyAlignment="1">
      <alignment horizontal="right"/>
    </xf>
    <xf numFmtId="3" fontId="1" fillId="0" borderId="0" xfId="0" applyNumberFormat="1" applyFont="1"/>
    <xf numFmtId="178" fontId="1" fillId="0" borderId="0" xfId="0" applyNumberFormat="1" applyFont="1"/>
    <xf numFmtId="14" fontId="1" fillId="0" borderId="0" xfId="0" applyNumberFormat="1" applyFont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G19"/>
  <sheetViews>
    <sheetView workbookViewId="0"/>
  </sheetViews>
  <sheetFormatPr baseColWidth="10" defaultColWidth="12.6640625" defaultRowHeight="15.75" customHeight="1"/>
  <cols>
    <col min="2" max="2" width="18" customWidth="1"/>
    <col min="5" max="5" width="17" customWidth="1"/>
  </cols>
  <sheetData>
    <row r="3" spans="2:7" ht="15.75" customHeight="1">
      <c r="C3" s="1"/>
      <c r="D3" s="1"/>
    </row>
    <row r="4" spans="2:7" ht="15.75" customHeight="1">
      <c r="B4" s="2" t="s">
        <v>0</v>
      </c>
      <c r="C4" s="1" t="s">
        <v>1</v>
      </c>
      <c r="D4" s="1" t="s">
        <v>2</v>
      </c>
      <c r="E4" s="2" t="s">
        <v>3</v>
      </c>
      <c r="F4" s="2" t="s">
        <v>4</v>
      </c>
      <c r="G4" s="2" t="s">
        <v>2</v>
      </c>
    </row>
    <row r="5" spans="2:7" ht="15.75" customHeight="1">
      <c r="B5" s="2" t="s">
        <v>5</v>
      </c>
      <c r="C5" s="1" t="s">
        <v>6</v>
      </c>
      <c r="D5" s="1">
        <v>93000</v>
      </c>
      <c r="E5" s="2" t="s">
        <v>7</v>
      </c>
      <c r="F5" s="2" t="s">
        <v>8</v>
      </c>
      <c r="G5" s="1">
        <v>1200</v>
      </c>
    </row>
    <row r="6" spans="2:7" ht="15.75" customHeight="1">
      <c r="B6" s="2" t="s">
        <v>9</v>
      </c>
      <c r="C6" s="1" t="s">
        <v>6</v>
      </c>
      <c r="D6" s="1">
        <v>13600</v>
      </c>
      <c r="E6" s="2" t="s">
        <v>10</v>
      </c>
      <c r="F6" s="2" t="s">
        <v>8</v>
      </c>
      <c r="G6" s="1">
        <v>280</v>
      </c>
    </row>
    <row r="7" spans="2:7" ht="15.75" customHeight="1">
      <c r="B7" s="2" t="s">
        <v>11</v>
      </c>
      <c r="C7" s="1" t="s">
        <v>6</v>
      </c>
      <c r="D7" s="1">
        <v>40000</v>
      </c>
      <c r="E7" s="2" t="s">
        <v>12</v>
      </c>
      <c r="F7" s="2" t="s">
        <v>13</v>
      </c>
      <c r="G7" s="1">
        <v>1480</v>
      </c>
    </row>
    <row r="8" spans="2:7" ht="15.75" customHeight="1">
      <c r="B8" s="2" t="s">
        <v>14</v>
      </c>
      <c r="C8" s="1" t="s">
        <v>6</v>
      </c>
      <c r="D8" s="1">
        <v>24000</v>
      </c>
      <c r="E8" s="2" t="s">
        <v>15</v>
      </c>
      <c r="F8" s="2" t="s">
        <v>16</v>
      </c>
      <c r="G8" s="1">
        <v>880</v>
      </c>
    </row>
    <row r="9" spans="2:7" ht="15.75" customHeight="1">
      <c r="B9" s="2" t="s">
        <v>17</v>
      </c>
      <c r="C9" s="1" t="s">
        <v>6</v>
      </c>
      <c r="D9" s="1">
        <v>8140</v>
      </c>
      <c r="E9" s="2" t="s">
        <v>18</v>
      </c>
      <c r="F9" s="2" t="s">
        <v>19</v>
      </c>
      <c r="G9" s="1">
        <v>6000</v>
      </c>
    </row>
    <row r="10" spans="2:7" ht="15.75" customHeight="1">
      <c r="E10" s="2" t="s">
        <v>20</v>
      </c>
      <c r="F10" s="2" t="s">
        <v>21</v>
      </c>
      <c r="G10" s="1">
        <v>1490</v>
      </c>
    </row>
    <row r="11" spans="2:7" ht="15.75" customHeight="1">
      <c r="E11" s="2" t="s">
        <v>22</v>
      </c>
      <c r="F11" s="2" t="s">
        <v>23</v>
      </c>
      <c r="G11" s="1">
        <v>2310</v>
      </c>
    </row>
    <row r="12" spans="2:7" ht="15.75" customHeight="1">
      <c r="E12" s="2" t="s">
        <v>24</v>
      </c>
      <c r="F12" s="2" t="s">
        <v>25</v>
      </c>
      <c r="G12" s="1">
        <v>1100</v>
      </c>
    </row>
    <row r="13" spans="2:7" ht="15.75" customHeight="1">
      <c r="E13" s="2" t="s">
        <v>26</v>
      </c>
      <c r="F13" s="2" t="s">
        <v>25</v>
      </c>
      <c r="G13" s="1">
        <v>5000</v>
      </c>
    </row>
    <row r="14" spans="2:7" ht="15.75" customHeight="1">
      <c r="E14" s="2" t="s">
        <v>27</v>
      </c>
      <c r="F14" s="2" t="s">
        <v>28</v>
      </c>
      <c r="G14" s="1">
        <v>15000</v>
      </c>
    </row>
    <row r="15" spans="2:7" ht="15.75" customHeight="1">
      <c r="B15" s="2" t="s">
        <v>29</v>
      </c>
      <c r="D15" s="1">
        <f>SUM(D5:D9)</f>
        <v>178740</v>
      </c>
      <c r="E15" s="2" t="s">
        <v>29</v>
      </c>
      <c r="G15" s="1">
        <f>SUM(G5:G14)</f>
        <v>34740</v>
      </c>
    </row>
    <row r="17" spans="5:7" ht="15.75" customHeight="1">
      <c r="E17" s="2" t="s">
        <v>30</v>
      </c>
      <c r="G17" s="1">
        <f>D15+G15</f>
        <v>213480</v>
      </c>
    </row>
    <row r="18" spans="5:7" ht="15.75" customHeight="1">
      <c r="E18" s="2" t="s">
        <v>31</v>
      </c>
      <c r="G18" s="1">
        <v>370000</v>
      </c>
    </row>
    <row r="19" spans="5:7" ht="15.75" customHeight="1">
      <c r="E19" s="2" t="s">
        <v>32</v>
      </c>
      <c r="G19" s="1">
        <f>G18-G17</f>
        <v>156520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9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cols>
    <col min="1" max="1" width="20.1640625" customWidth="1"/>
  </cols>
  <sheetData>
    <row r="1" spans="1:14" ht="15.75" customHeight="1">
      <c r="A1" s="3"/>
      <c r="B1" s="4" t="s">
        <v>33</v>
      </c>
      <c r="C1" s="5">
        <v>45108</v>
      </c>
      <c r="D1" s="5">
        <v>45139</v>
      </c>
      <c r="E1" s="5">
        <v>45170</v>
      </c>
      <c r="F1" s="5">
        <v>45200</v>
      </c>
      <c r="G1" s="5">
        <v>45231</v>
      </c>
      <c r="H1" s="5">
        <v>45261</v>
      </c>
      <c r="I1" s="5">
        <v>45292</v>
      </c>
      <c r="J1" s="6"/>
      <c r="K1" s="6"/>
      <c r="L1" s="6"/>
      <c r="M1" s="7"/>
      <c r="N1" s="7"/>
    </row>
    <row r="2" spans="1:14" ht="15.75" customHeight="1">
      <c r="A2" s="8" t="s">
        <v>34</v>
      </c>
      <c r="B2" s="9">
        <f t="shared" ref="B2:B4" si="0">SUM(C2:H2)</f>
        <v>2253976</v>
      </c>
      <c r="C2" s="9">
        <f>SUMIFS('フォームの回答 1'!$E:$E,'フォームの回答 1'!$B:$B,"&gt;="&amp;C1,'フォームの回答 1'!$H:$H,"収入")-SUMIFS('フォームの回答 1'!$E:$E,'フォームの回答 1'!$B:$B,"&gt;"&amp;D1,'フォームの回答 1'!$H:$H,"収入")</f>
        <v>294581</v>
      </c>
      <c r="D2" s="9">
        <f>SUMIFS('フォームの回答 1'!$E:$E,'フォームの回答 1'!$B:$B,"&gt;="&amp;D1,'フォームの回答 1'!$H:$H,"収入")-SUMIFS('フォームの回答 1'!$E:$E,'フォームの回答 1'!$B:$B,"&gt;"&amp;E1,'フォームの回答 1'!$H:$H,"収入")</f>
        <v>386533</v>
      </c>
      <c r="E2" s="9">
        <f>SUMIFS('フォームの回答 1'!$E:$E,'フォームの回答 1'!$B:$B,"&gt;="&amp;E1,'フォームの回答 1'!$H:$H,"収入")-SUMIFS('フォームの回答 1'!$E:$E,'フォームの回答 1'!$B:$B,"&gt;"&amp;F1,'フォームの回答 1'!$H:$H,"収入")</f>
        <v>467420</v>
      </c>
      <c r="F2" s="9">
        <f>SUMIFS('フォームの回答 1'!$E:$E,'フォームの回答 1'!$B:$B,"&gt;="&amp;F1,'フォームの回答 1'!$H:$H,"収入")-SUMIFS('フォームの回答 1'!$E:$E,'フォームの回答 1'!$B:$B,"&gt;"&amp;G1,'フォームの回答 1'!$H:$H,"収入")</f>
        <v>302210</v>
      </c>
      <c r="G2" s="9">
        <f>SUMIFS('フォームの回答 1'!$E:$E,'フォームの回答 1'!$B:$B,"&gt;="&amp;G1,'フォームの回答 1'!$H:$H,"収入")-SUMIFS('フォームの回答 1'!$E:$E,'フォームの回答 1'!$B:$B,"&gt;"&amp;H1,'フォームの回答 1'!$H:$H,"収入")</f>
        <v>387723</v>
      </c>
      <c r="H2" s="9">
        <f>SUMIFS('フォームの回答 1'!$E:$E,'フォームの回答 1'!$B:$B,"&gt;="&amp;H1,'フォームの回答 1'!$H:$H,"収入")-SUMIFS('フォームの回答 1'!$E:$E,'フォームの回答 1'!$B:$B,"&gt;"&amp;I1,'フォームの回答 1'!$H:$H,"収入")</f>
        <v>415509</v>
      </c>
      <c r="I2" s="9">
        <f>SUMIFS('フォームの回答 1'!$E:$E,'フォームの回答 1'!$B:$B,"&gt;="&amp;I1,'フォームの回答 1'!$H:$H,"収入")-SUMIFS('フォームの回答 1'!$E:$E,'フォームの回答 1'!$B:$B,"&gt;"&amp;J1,'フォームの回答 1'!$H:$H,"収入")</f>
        <v>11887924</v>
      </c>
      <c r="J2" s="1"/>
      <c r="L2" s="1"/>
      <c r="M2" s="1"/>
      <c r="N2" s="1"/>
    </row>
    <row r="3" spans="1:14" ht="15.75" customHeight="1">
      <c r="A3" s="8" t="s">
        <v>35</v>
      </c>
      <c r="B3" s="9">
        <f t="shared" si="0"/>
        <v>2336539</v>
      </c>
      <c r="C3" s="9">
        <f>SUMIFS('フォームの回答 1'!$E:$E,'フォームの回答 1'!$B:$B,"&gt;="&amp;C1,'フォームの回答 1'!$H:$H,"支出")-SUMIFS('フォームの回答 1'!$E:$E,'フォームの回答 1'!$B:$B,"&gt;"&amp;D1,'フォームの回答 1'!$H:$H,"支出")</f>
        <v>349155</v>
      </c>
      <c r="D3" s="9">
        <f>SUMIFS('フォームの回答 1'!$E:$E,'フォームの回答 1'!$B:$B,"&gt;="&amp;D1,'フォームの回答 1'!$H:$H,"支出")-SUMIFS('フォームの回答 1'!$E:$E,'フォームの回答 1'!$B:$B,"&gt;"&amp;E1,'フォームの回答 1'!$H:$H,"支出")</f>
        <v>393550</v>
      </c>
      <c r="E3" s="9">
        <f>SUMIFS('フォームの回答 1'!$E:$E,'フォームの回答 1'!$B:$B,"&gt;="&amp;E1,'フォームの回答 1'!$H:$H,"支出")-SUMIFS('フォームの回答 1'!$E:$E,'フォームの回答 1'!$B:$B,"&gt;"&amp;F1,'フォームの回答 1'!$H:$H,"支出")</f>
        <v>425591</v>
      </c>
      <c r="F3" s="9">
        <f>SUMIFS('フォームの回答 1'!$E:$E,'フォームの回答 1'!$B:$B,"&gt;="&amp;F1,'フォームの回答 1'!$H:$H,"支出")-SUMIFS('フォームの回答 1'!$E:$E,'フォームの回答 1'!$B:$B,"&gt;"&amp;G1,'フォームの回答 1'!$H:$H,"支出")</f>
        <v>417000</v>
      </c>
      <c r="G3" s="9">
        <f>SUMIFS('フォームの回答 1'!$E:$E,'フォームの回答 1'!$B:$B,"&gt;="&amp;G1,'フォームの回答 1'!$H:$H,"支出")-SUMIFS('フォームの回答 1'!$E:$E,'フォームの回答 1'!$B:$B,"&gt;"&amp;H1,'フォームの回答 1'!$H:$H,"支出")</f>
        <v>321055</v>
      </c>
      <c r="H3" s="9">
        <f>SUMIFS('フォームの回答 1'!$E:$E,'フォームの回答 1'!$B:$B,"&gt;="&amp;H1,'フォームの回答 1'!$H:$H,"支出")-SUMIFS('フォームの回答 1'!$E:$E,'フォームの回答 1'!$B:$B,"&gt;"&amp;I1,'フォームの回答 1'!$H:$H,"支出")</f>
        <v>430188</v>
      </c>
      <c r="I3" s="9">
        <f>SUMIFS('フォームの回答 1'!$E:$E,'フォームの回答 1'!$B:$B,"&gt;="&amp;I1,'フォームの回答 1'!$H:$H,"支出")-SUMIFS('フォームの回答 1'!$E:$E,'フォームの回答 1'!$B:$B,"&gt;"&amp;J1,'フォームの回答 1'!$H:$H,"支出")</f>
        <v>11852954</v>
      </c>
      <c r="J3" s="1"/>
      <c r="L3" s="1"/>
      <c r="M3" s="1"/>
      <c r="N3" s="1"/>
    </row>
    <row r="4" spans="1:14" ht="15.75" customHeight="1">
      <c r="A4" s="8" t="s">
        <v>36</v>
      </c>
      <c r="B4" s="9">
        <f t="shared" si="0"/>
        <v>-82563</v>
      </c>
      <c r="C4" s="9">
        <f t="shared" ref="C4:I4" si="1">C2-C3</f>
        <v>-54574</v>
      </c>
      <c r="D4" s="9">
        <f t="shared" si="1"/>
        <v>-7017</v>
      </c>
      <c r="E4" s="9">
        <f t="shared" si="1"/>
        <v>41829</v>
      </c>
      <c r="F4" s="9">
        <f t="shared" si="1"/>
        <v>-114790</v>
      </c>
      <c r="G4" s="9">
        <f t="shared" si="1"/>
        <v>66668</v>
      </c>
      <c r="H4" s="9">
        <f t="shared" si="1"/>
        <v>-14679</v>
      </c>
      <c r="I4" s="9">
        <f t="shared" si="1"/>
        <v>34970</v>
      </c>
    </row>
    <row r="5" spans="1:14" ht="15.75" customHeight="1">
      <c r="A5" s="10"/>
      <c r="B5" s="17" t="s">
        <v>37</v>
      </c>
      <c r="C5" s="18"/>
      <c r="D5" s="18"/>
      <c r="E5" s="18"/>
      <c r="F5" s="18"/>
      <c r="G5" s="18"/>
      <c r="H5" s="18"/>
      <c r="I5" s="19"/>
    </row>
    <row r="6" spans="1:14" ht="15.75" customHeight="1">
      <c r="A6" s="8" t="s">
        <v>38</v>
      </c>
      <c r="B6" s="9">
        <f t="shared" ref="B6:B18" si="2">SUM(C6:I6)</f>
        <v>1353022</v>
      </c>
      <c r="C6" s="9">
        <f>SUMIFS('フォームの回答 1'!$E:$E,'フォームの回答 1'!$B:$B,"&gt;="&amp;C1,'フォームの回答 1'!$H:$H,"支出",'フォームの回答 1'!$D:$D,$A6)-SUMIFS('フォームの回答 1'!$E:$E,'フォームの回答 1'!$B:$B,"&gt;"&amp;D1,'フォームの回答 1'!$H:$H,"支出",'フォームの回答 1'!$D:$D,$A6)</f>
        <v>23773</v>
      </c>
      <c r="D6" s="9">
        <f>SUMIFS('フォームの回答 1'!$E:$E,'フォームの回答 1'!$B:$B,"&gt;="&amp;D1,'フォームの回答 1'!$H:$H,"支出",'フォームの回答 1'!$D:$D,$A6)-SUMIFS('フォームの回答 1'!$E:$E,'フォームの回答 1'!$B:$B,"&gt;"&amp;E1,'フォームの回答 1'!$H:$H,"支出",'フォームの回答 1'!$D:$D,$A6)</f>
        <v>46682</v>
      </c>
      <c r="E6" s="9">
        <f>SUMIFS('フォームの回答 1'!$E:$E,'フォームの回答 1'!$B:$B,"&gt;="&amp;E1,'フォームの回答 1'!$H:$H,"支出",'フォームの回答 1'!$D:$D,$A6)-SUMIFS('フォームの回答 1'!$E:$E,'フォームの回答 1'!$B:$B,"&gt;"&amp;F1,'フォームの回答 1'!$H:$H,"支出",'フォームの回答 1'!$D:$D,$A6)</f>
        <v>71320</v>
      </c>
      <c r="F6" s="9">
        <f>SUMIFS('フォームの回答 1'!$E:$E,'フォームの回答 1'!$B:$B,"&gt;="&amp;F1,'フォームの回答 1'!$H:$H,"支出",'フォームの回答 1'!$D:$D,$A6)-SUMIFS('フォームの回答 1'!$E:$E,'フォームの回答 1'!$B:$B,"&gt;"&amp;G1,'フォームの回答 1'!$H:$H,"支出",'フォームの回答 1'!$D:$D,$A6)</f>
        <v>64549</v>
      </c>
      <c r="G6" s="9">
        <f>SUMIFS('フォームの回答 1'!$E:$E,'フォームの回答 1'!$B:$B,"&gt;="&amp;G1,'フォームの回答 1'!$H:$H,"支出",'フォームの回答 1'!$D:$D,$A6)-SUMIFS('フォームの回答 1'!$E:$E,'フォームの回答 1'!$B:$B,"&gt;"&amp;H1,'フォームの回答 1'!$H:$H,"支出",'フォームの回答 1'!$D:$D,$A6)</f>
        <v>49143</v>
      </c>
      <c r="H6" s="9">
        <f>SUMIFS('フォームの回答 1'!$E:$E,'フォームの回答 1'!$B:$B,"&gt;="&amp;H1,'フォームの回答 1'!$H:$H,"支出",'フォームの回答 1'!$D:$D,$A6)-SUMIFS('フォームの回答 1'!$E:$E,'フォームの回答 1'!$B:$B,"&gt;"&amp;I1,'フォームの回答 1'!$H:$H,"支出",'フォームの回答 1'!$D:$D,$A6)</f>
        <v>43693</v>
      </c>
      <c r="I6" s="9">
        <f>SUMIFS('フォームの回答 1'!$E:$E,'フォームの回答 1'!$B:$B,"&gt;="&amp;I1,'フォームの回答 1'!$H:$H,"支出",'フォームの回答 1'!$D:$D,$A6)-SUMIFS('フォームの回答 1'!$E:$E,'フォームの回答 1'!$B:$B,"&gt;"&amp;J1,'フォームの回答 1'!$H:$H,"支出",'フォームの回答 1'!$D:$D,$A6)</f>
        <v>1053862</v>
      </c>
    </row>
    <row r="7" spans="1:14" ht="15.75" customHeight="1">
      <c r="A7" s="8" t="s">
        <v>39</v>
      </c>
      <c r="B7" s="9">
        <f t="shared" ca="1" si="2"/>
        <v>217936</v>
      </c>
      <c r="C7" s="9">
        <f>SUMIFS('フォームの回答 1'!$E:$E,'フォームの回答 1'!$B:$B,"&gt;="&amp;C1,'フォームの回答 1'!$H:$H,"支出",'フォームの回答 1'!$D:$D,$A7)-SUMIFS('フォームの回答 1'!$E:$E,'フォームの回答 1'!$B:$B,"&gt;"&amp;D1,'フォームの回答 1'!$H:$H,"支出",'フォームの回答 1'!$D:$D,$A7)</f>
        <v>10146</v>
      </c>
      <c r="D7" s="9">
        <f>SUMIFS('フォームの回答 1'!$E:$E,'フォームの回答 1'!$B:$B,"&gt;="&amp;D1,'フォームの回答 1'!$H:$H,"支出",'フォームの回答 1'!$D:$D,$A7)-SUMIFS('フォームの回答 1'!$E:$E,'フォームの回答 1'!$B:$B,"&gt;"&amp;E1,'フォームの回答 1'!$H:$H,"支出",'フォームの回答 1'!$D:$D,$A7)</f>
        <v>30222</v>
      </c>
      <c r="E7" s="9">
        <f>SUMIFS('フォームの回答 1'!$E:$E,'フォームの回答 1'!$B:$B,"&gt;="&amp;E1,'フォームの回答 1'!$H:$H,"支出",'フォームの回答 1'!$D:$D,$A7)-SUMIFS('フォームの回答 1'!$E:$E,'フォームの回答 1'!$B:$B,"&gt;"&amp;F1,'フォームの回答 1'!$H:$H,"支出",'フォームの回答 1'!$D:$D,$A7)</f>
        <v>33080</v>
      </c>
      <c r="F7" s="9">
        <f>SUMIFS('フォームの回答 1'!$E:$E,'フォームの回答 1'!$B:$B,"&gt;="&amp;F1,'フォームの回答 1'!$H:$H,"支出",'フォームの回答 1'!$D:$D,$A7)-SUMIFS('フォームの回答 1'!$E:$E,'フォームの回答 1'!$B:$B,"&gt;"&amp;G1,'フォームの回答 1'!$H:$H,"支出",'フォームの回答 1'!$D:$D,$A7)</f>
        <v>35573</v>
      </c>
      <c r="G7" s="9">
        <f>SUMIFS('フォームの回答 1'!$E:$E,'フォームの回答 1'!$B:$B,"&gt;="&amp;G1,'フォームの回答 1'!$H:$H,"支出",'フォームの回答 1'!$D:$D,$A7)-SUMIFS('フォームの回答 1'!$E:$E,'フォームの回答 1'!$B:$B,"&gt;"&amp;H1,'フォームの回答 1'!$H:$H,"支出",'フォームの回答 1'!$D:$D,$A7)</f>
        <v>27715</v>
      </c>
      <c r="H7" s="9">
        <f>SUMIFS('フォームの回答 1'!$E:$E,'フォームの回答 1'!$B:$B,"&gt;="&amp;H1,'フォームの回答 1'!$H:$H,"支出",'フォームの回答 1'!$D:$D,$A7)-SUMIFS('フォームの回答 1'!$E:$E,'フォームの回答 1'!$B:$B,"&gt;"&amp;I1,'フォームの回答 1'!$H:$H,"支出",'フォームの回答 1'!$D:$D,$A7)</f>
        <v>81200</v>
      </c>
      <c r="I7" s="9">
        <f ca="1">SUMIFS('フォームの回答 1'!J:J,'フォームの回答 1'!G:G,"&gt;="&amp;I1,'フォームの回答 1'!M:M,"支出",'フォームの回答 1'!I:I,$A7)-SUMIFS('フォームの回答 1'!J:J,'フォームの回答 1'!G:G,"&gt;"&amp;J1,'フォームの回答 1'!M:M,"支出",'フォームの回答 1'!I:I,$A7)</f>
        <v>0</v>
      </c>
    </row>
    <row r="8" spans="1:14" ht="15.75" customHeight="1">
      <c r="A8" s="8" t="s">
        <v>40</v>
      </c>
      <c r="B8" s="9">
        <f t="shared" si="2"/>
        <v>1418423</v>
      </c>
      <c r="C8" s="9">
        <f>SUMIFS('フォームの回答 1'!$E:$E,'フォームの回答 1'!$B:$B,"&gt;="&amp;C1,'フォームの回答 1'!$H:$H,"支出",'フォームの回答 1'!$D:$D,$A8)-SUMIFS('フォームの回答 1'!$E:$E,'フォームの回答 1'!$B:$B,"&gt;"&amp;D1,'フォームの回答 1'!$H:$H,"支出",'フォームの回答 1'!$D:$D,$A8)</f>
        <v>10100</v>
      </c>
      <c r="D8" s="9">
        <f>SUMIFS('フォームの回答 1'!$E:$E,'フォームの回答 1'!$B:$B,"&gt;="&amp;D1,'フォームの回答 1'!$H:$H,"支出",'フォームの回答 1'!$D:$D,$A8)-SUMIFS('フォームの回答 1'!$E:$E,'フォームの回答 1'!$B:$B,"&gt;"&amp;E1,'フォームの回答 1'!$H:$H,"支出",'フォームの回答 1'!$D:$D,$A8)</f>
        <v>14505</v>
      </c>
      <c r="E8" s="9">
        <f>SUMIFS('フォームの回答 1'!$E:$E,'フォームの回答 1'!$B:$B,"&gt;="&amp;E1,'フォームの回答 1'!$H:$H,"支出",'フォームの回答 1'!$D:$D,$A8)-SUMIFS('フォームの回答 1'!$E:$E,'フォームの回答 1'!$B:$B,"&gt;"&amp;F1,'フォームの回答 1'!$H:$H,"支出",'フォームの回答 1'!$D:$D,$A8)</f>
        <v>32720</v>
      </c>
      <c r="F8" s="9">
        <f>SUMIFS('フォームの回答 1'!$E:$E,'フォームの回答 1'!$B:$B,"&gt;="&amp;F1,'フォームの回答 1'!$H:$H,"支出",'フォームの回答 1'!$D:$D,$A8)-SUMIFS('フォームの回答 1'!$E:$E,'フォームの回答 1'!$B:$B,"&gt;"&amp;G1,'フォームの回答 1'!$H:$H,"支出",'フォームの回答 1'!$D:$D,$A8)</f>
        <v>86070</v>
      </c>
      <c r="G8" s="9">
        <f>SUMIFS('フォームの回答 1'!$E:$E,'フォームの回答 1'!$B:$B,"&gt;="&amp;G1,'フォームの回答 1'!$H:$H,"支出",'フォームの回答 1'!$D:$D,$A8)-SUMIFS('フォームの回答 1'!$E:$E,'フォームの回答 1'!$B:$B,"&gt;"&amp;H1,'フォームの回答 1'!$H:$H,"支出",'フォームの回答 1'!$D:$D,$A8)</f>
        <v>21010</v>
      </c>
      <c r="H8" s="9">
        <f>SUMIFS('フォームの回答 1'!$E:$E,'フォームの回答 1'!$B:$B,"&gt;="&amp;H1,'フォームの回答 1'!$H:$H,"支出",'フォームの回答 1'!$D:$D,$A8)-SUMIFS('フォームの回答 1'!$E:$E,'フォームの回答 1'!$B:$B,"&gt;"&amp;I1,'フォームの回答 1'!$H:$H,"支出",'フォームの回答 1'!$D:$D,$A8)</f>
        <v>52341</v>
      </c>
      <c r="I8" s="9">
        <f>SUMIFS('フォームの回答 1'!$E:$E,'フォームの回答 1'!$B:$B,"&gt;="&amp;I1,'フォームの回答 1'!$H:$H,"支出",'フォームの回答 1'!$D:$D,$A8)-SUMIFS('フォームの回答 1'!$E:$E,'フォームの回答 1'!$B:$B,"&gt;"&amp;J1,'フォームの回答 1'!$H:$H,"支出",'フォームの回答 1'!$D:$D,$A8)</f>
        <v>1201677</v>
      </c>
    </row>
    <row r="9" spans="1:14" ht="15.75" customHeight="1">
      <c r="A9" s="8" t="s">
        <v>41</v>
      </c>
      <c r="B9" s="9">
        <f t="shared" si="2"/>
        <v>339045</v>
      </c>
      <c r="C9" s="9">
        <f>SUMIFS('フォームの回答 1'!$E:$E,'フォームの回答 1'!$B:$B,"&gt;="&amp;C1,'フォームの回答 1'!$H:$H,"支出",'フォームの回答 1'!$D:$D,$A9)-SUMIFS('フォームの回答 1'!$E:$E,'フォームの回答 1'!$B:$B,"&gt;"&amp;D1,'フォームの回答 1'!$H:$H,"支出",'フォームの回答 1'!$D:$D,$A9)</f>
        <v>2704</v>
      </c>
      <c r="D9" s="9">
        <f>SUMIFS('フォームの回答 1'!$E:$E,'フォームの回答 1'!$B:$B,"&gt;="&amp;D1,'フォームの回答 1'!$H:$H,"支出",'フォームの回答 1'!$D:$D,$A9)-SUMIFS('フォームの回答 1'!$E:$E,'フォームの回答 1'!$B:$B,"&gt;"&amp;E1,'フォームの回答 1'!$H:$H,"支出",'フォームの回答 1'!$D:$D,$A9)</f>
        <v>17837</v>
      </c>
      <c r="E9" s="9">
        <f>SUMIFS('フォームの回答 1'!$E:$E,'フォームの回答 1'!$B:$B,"&gt;="&amp;E1,'フォームの回答 1'!$H:$H,"支出",'フォームの回答 1'!$D:$D,$A9)-SUMIFS('フォームの回答 1'!$E:$E,'フォームの回答 1'!$B:$B,"&gt;"&amp;F1,'フォームの回答 1'!$H:$H,"支出",'フォームの回答 1'!$D:$D,$A9)</f>
        <v>7807</v>
      </c>
      <c r="F9" s="9">
        <f>SUMIFS('フォームの回答 1'!$E:$E,'フォームの回答 1'!$B:$B,"&gt;="&amp;F1,'フォームの回答 1'!$H:$H,"支出",'フォームの回答 1'!$D:$D,$A9)-SUMIFS('フォームの回答 1'!$E:$E,'フォームの回答 1'!$B:$B,"&gt;"&amp;G1,'フォームの回答 1'!$H:$H,"支出",'フォームの回答 1'!$D:$D,$A9)</f>
        <v>7526</v>
      </c>
      <c r="G9" s="9">
        <f>SUMIFS('フォームの回答 1'!$E:$E,'フォームの回答 1'!$B:$B,"&gt;="&amp;G1,'フォームの回答 1'!$H:$H,"支出",'フォームの回答 1'!$D:$D,$A9)-SUMIFS('フォームの回答 1'!$E:$E,'フォームの回答 1'!$B:$B,"&gt;"&amp;H1,'フォームの回答 1'!$H:$H,"支出",'フォームの回答 1'!$D:$D,$A9)</f>
        <v>5318</v>
      </c>
      <c r="H9" s="9">
        <f>SUMIFS('フォームの回答 1'!$E:$E,'フォームの回答 1'!$B:$B,"&gt;="&amp;H1,'フォームの回答 1'!$H:$H,"支出",'フォームの回答 1'!$D:$D,$A9)-SUMIFS('フォームの回答 1'!$E:$E,'フォームの回答 1'!$B:$B,"&gt;"&amp;I1,'フォームの回答 1'!$H:$H,"支出",'フォームの回答 1'!$D:$D,$A9)</f>
        <v>10390</v>
      </c>
      <c r="I9" s="9">
        <f>SUMIFS('フォームの回答 1'!$E:$E,'フォームの回答 1'!$B:$B,"&gt;="&amp;I1,'フォームの回答 1'!$H:$H,"支出",'フォームの回答 1'!$D:$D,$A9)-SUMIFS('フォームの回答 1'!$E:$E,'フォームの回答 1'!$B:$B,"&gt;"&amp;J1,'フォームの回答 1'!$H:$H,"支出",'フォームの回答 1'!$D:$D,$A9)</f>
        <v>287463</v>
      </c>
    </row>
    <row r="10" spans="1:14" ht="15.75" customHeight="1">
      <c r="A10" s="8" t="s">
        <v>42</v>
      </c>
      <c r="B10" s="9">
        <f t="shared" si="2"/>
        <v>211638</v>
      </c>
      <c r="C10" s="9">
        <f>SUMIFS('フォームの回答 1'!$E:$E,'フォームの回答 1'!$B:$B,"&gt;="&amp;C1,'フォームの回答 1'!$H:$H,"支出",'フォームの回答 1'!$D:$D,$A10)-SUMIFS('フォームの回答 1'!$E:$E,'フォームの回答 1'!$B:$B,"&gt;"&amp;D1,'フォームの回答 1'!$H:$H,"支出",'フォームの回答 1'!$D:$D,$A10)</f>
        <v>0</v>
      </c>
      <c r="D10" s="9">
        <f>SUMIFS('フォームの回答 1'!$E:$E,'フォームの回答 1'!$B:$B,"&gt;="&amp;D1,'フォームの回答 1'!$H:$H,"支出",'フォームの回答 1'!$D:$D,$A10)-SUMIFS('フォームの回答 1'!$E:$E,'フォームの回答 1'!$B:$B,"&gt;"&amp;E1,'フォームの回答 1'!$H:$H,"支出",'フォームの回答 1'!$D:$D,$A10)</f>
        <v>14076</v>
      </c>
      <c r="E10" s="9">
        <f>SUMIFS('フォームの回答 1'!$E:$E,'フォームの回答 1'!$B:$B,"&gt;="&amp;E1,'フォームの回答 1'!$H:$H,"支出",'フォームの回答 1'!$D:$D,$A10)-SUMIFS('フォームの回答 1'!$E:$E,'フォームの回答 1'!$B:$B,"&gt;"&amp;F1,'フォームの回答 1'!$H:$H,"支出",'フォームの回答 1'!$D:$D,$A10)</f>
        <v>11710</v>
      </c>
      <c r="F10" s="9">
        <f>SUMIFS('フォームの回答 1'!$E:$E,'フォームの回答 1'!$B:$B,"&gt;="&amp;F1,'フォームの回答 1'!$H:$H,"支出",'フォームの回答 1'!$D:$D,$A10)-SUMIFS('フォームの回答 1'!$E:$E,'フォームの回答 1'!$B:$B,"&gt;"&amp;G1,'フォームの回答 1'!$H:$H,"支出",'フォームの回答 1'!$D:$D,$A10)</f>
        <v>9334</v>
      </c>
      <c r="G10" s="9">
        <f>SUMIFS('フォームの回答 1'!$E:$E,'フォームの回答 1'!$B:$B,"&gt;="&amp;G1,'フォームの回答 1'!$H:$H,"支出",'フォームの回答 1'!$D:$D,$A10)-SUMIFS('フォームの回答 1'!$E:$E,'フォームの回答 1'!$B:$B,"&gt;"&amp;H1,'フォームの回答 1'!$H:$H,"支出",'フォームの回答 1'!$D:$D,$A10)</f>
        <v>6760</v>
      </c>
      <c r="H10" s="9">
        <f>SUMIFS('フォームの回答 1'!$E:$E,'フォームの回答 1'!$B:$B,"&gt;="&amp;H1,'フォームの回答 1'!$H:$H,"支出",'フォームの回答 1'!$D:$D,$A10)-SUMIFS('フォームの回答 1'!$E:$E,'フォームの回答 1'!$B:$B,"&gt;"&amp;I1,'フォームの回答 1'!$H:$H,"支出",'フォームの回答 1'!$D:$D,$A10)</f>
        <v>8363</v>
      </c>
      <c r="I10" s="9">
        <f>SUMIFS('フォームの回答 1'!$E:$E,'フォームの回答 1'!$B:$B,"&gt;="&amp;I1,'フォームの回答 1'!$H:$H,"支出",'フォームの回答 1'!$D:$D,$A10)-SUMIFS('フォームの回答 1'!$E:$E,'フォームの回答 1'!$B:$B,"&gt;"&amp;J1,'フォームの回答 1'!$H:$H,"支出",'フォームの回答 1'!$D:$D,$A10)</f>
        <v>161395</v>
      </c>
    </row>
    <row r="11" spans="1:14" ht="15.75" customHeight="1">
      <c r="A11" s="8" t="s">
        <v>5</v>
      </c>
      <c r="B11" s="9">
        <f t="shared" si="2"/>
        <v>3236320</v>
      </c>
      <c r="C11" s="9">
        <f>SUMIFS('フォームの回答 1'!$E:$E,'フォームの回答 1'!$B:$B,"&gt;="&amp;C1,'フォームの回答 1'!$H:$H,"支出",'フォームの回答 1'!$D:$D,$A11)-SUMIFS('フォームの回答 1'!$E:$E,'フォームの回答 1'!$B:$B,"&gt;"&amp;D1,'フォームの回答 1'!$H:$H,"支出",'フォームの回答 1'!$D:$D,$A11)</f>
        <v>35820</v>
      </c>
      <c r="D11" s="9">
        <f>SUMIFS('フォームの回答 1'!$E:$E,'フォームの回答 1'!$B:$B,"&gt;="&amp;D1,'フォームの回答 1'!$H:$H,"支出",'フォームの回答 1'!$D:$D,$A11)-SUMIFS('フォームの回答 1'!$E:$E,'フォームの回答 1'!$B:$B,"&gt;"&amp;E1,'フォームの回答 1'!$H:$H,"支出",'フォームの回答 1'!$D:$D,$A11)</f>
        <v>93000</v>
      </c>
      <c r="E11" s="9">
        <f>SUMIFS('フォームの回答 1'!$E:$E,'フォームの回答 1'!$B:$B,"&gt;="&amp;E1,'フォームの回答 1'!$H:$H,"支出",'フォームの回答 1'!$D:$D,$A11)-SUMIFS('フォームの回答 1'!$E:$E,'フォームの回答 1'!$B:$B,"&gt;"&amp;F1,'フォームの回答 1'!$H:$H,"支出",'フォームの回答 1'!$D:$D,$A11)</f>
        <v>93000</v>
      </c>
      <c r="F11" s="9">
        <f>SUMIFS('フォームの回答 1'!$E:$E,'フォームの回答 1'!$B:$B,"&gt;="&amp;F1,'フォームの回答 1'!$H:$H,"支出",'フォームの回答 1'!$D:$D,$A11)-SUMIFS('フォームの回答 1'!$E:$E,'フォームの回答 1'!$B:$B,"&gt;"&amp;G1,'フォームの回答 1'!$H:$H,"支出",'フォームの回答 1'!$D:$D,$A11)</f>
        <v>93000</v>
      </c>
      <c r="G11" s="9">
        <f>SUMIFS('フォームの回答 1'!$E:$E,'フォームの回答 1'!$B:$B,"&gt;="&amp;G1,'フォームの回答 1'!$H:$H,"支出",'フォームの回答 1'!$D:$D,$A11)-SUMIFS('フォームの回答 1'!$E:$E,'フォームの回答 1'!$B:$B,"&gt;"&amp;H1,'フォームの回答 1'!$H:$H,"支出",'フォームの回答 1'!$D:$D,$A11)</f>
        <v>93000</v>
      </c>
      <c r="H11" s="9">
        <f>SUMIFS('フォームの回答 1'!$E:$E,'フォームの回答 1'!$B:$B,"&gt;="&amp;H1,'フォームの回答 1'!$H:$H,"支出",'フォームの回答 1'!$D:$D,$A11)-SUMIFS('フォームの回答 1'!$E:$E,'フォームの回答 1'!$B:$B,"&gt;"&amp;I1,'フォームの回答 1'!$H:$H,"支出",'フォームの回答 1'!$D:$D,$A11)</f>
        <v>93000</v>
      </c>
      <c r="I11" s="9">
        <f>SUMIFS('フォームの回答 1'!$E:$E,'フォームの回答 1'!$B:$B,"&gt;="&amp;I1,'フォームの回答 1'!$H:$H,"支出",'フォームの回答 1'!$D:$D,$A11)-SUMIFS('フォームの回答 1'!$E:$E,'フォームの回答 1'!$B:$B,"&gt;"&amp;J1,'フォームの回答 1'!$H:$H,"支出",'フォームの回答 1'!$D:$D,$A11)</f>
        <v>2735500</v>
      </c>
    </row>
    <row r="12" spans="1:14" ht="15.75" customHeight="1">
      <c r="A12" s="8" t="s">
        <v>43</v>
      </c>
      <c r="B12" s="9">
        <f t="shared" si="2"/>
        <v>65548</v>
      </c>
      <c r="C12" s="9">
        <f>SUMIFS('フォームの回答 1'!$E:$E,'フォームの回答 1'!$B:$B,"&gt;="&amp;C1,'フォームの回答 1'!$H:$H,"支出",'フォームの回答 1'!$D:$D,$A12)-SUMIFS('フォームの回答 1'!$E:$E,'フォームの回答 1'!$B:$B,"&gt;"&amp;D1,'フォームの回答 1'!$H:$H,"支出",'フォームの回答 1'!$D:$D,$A12)</f>
        <v>1980</v>
      </c>
      <c r="D12" s="9">
        <f>SUMIFS('フォームの回答 1'!$E:$E,'フォームの回答 1'!$B:$B,"&gt;="&amp;D1,'フォームの回答 1'!$H:$H,"支出",'フォームの回答 1'!$D:$D,$A12)-SUMIFS('フォームの回答 1'!$E:$E,'フォームの回答 1'!$B:$B,"&gt;"&amp;E1,'フォームの回答 1'!$H:$H,"支出",'フォームの回答 1'!$D:$D,$A12)</f>
        <v>9800</v>
      </c>
      <c r="E12" s="9">
        <f>SUMIFS('フォームの回答 1'!$E:$E,'フォームの回答 1'!$B:$B,"&gt;="&amp;E1,'フォームの回答 1'!$H:$H,"支出",'フォームの回答 1'!$D:$D,$A12)-SUMIFS('フォームの回答 1'!$E:$E,'フォームの回答 1'!$B:$B,"&gt;"&amp;F1,'フォームの回答 1'!$H:$H,"支出",'フォームの回答 1'!$D:$D,$A12)</f>
        <v>3352</v>
      </c>
      <c r="F12" s="9">
        <f>SUMIFS('フォームの回答 1'!$E:$E,'フォームの回答 1'!$B:$B,"&gt;="&amp;F1,'フォームの回答 1'!$H:$H,"支出",'フォームの回答 1'!$D:$D,$A12)-SUMIFS('フォームの回答 1'!$E:$E,'フォームの回答 1'!$B:$B,"&gt;"&amp;G1,'フォームの回答 1'!$H:$H,"支出",'フォームの回答 1'!$D:$D,$A12)</f>
        <v>23463</v>
      </c>
      <c r="G12" s="9">
        <f>SUMIFS('フォームの回答 1'!$E:$E,'フォームの回答 1'!$B:$B,"&gt;="&amp;G1,'フォームの回答 1'!$H:$H,"支出",'フォームの回答 1'!$D:$D,$A12)-SUMIFS('フォームの回答 1'!$E:$E,'フォームの回答 1'!$B:$B,"&gt;"&amp;H1,'フォームの回答 1'!$H:$H,"支出",'フォームの回答 1'!$D:$D,$A12)</f>
        <v>1799</v>
      </c>
      <c r="H12" s="9">
        <f>SUMIFS('フォームの回答 1'!$E:$E,'フォームの回答 1'!$B:$B,"&gt;="&amp;H1,'フォームの回答 1'!$H:$H,"支出",'フォームの回答 1'!$D:$D,$A12)-SUMIFS('フォームの回答 1'!$E:$E,'フォームの回答 1'!$B:$B,"&gt;"&amp;I1,'フォームの回答 1'!$H:$H,"支出",'フォームの回答 1'!$D:$D,$A12)</f>
        <v>1483</v>
      </c>
      <c r="I12" s="9">
        <f>SUMIFS('フォームの回答 1'!$E:$E,'フォームの回答 1'!$B:$B,"&gt;="&amp;I1,'フォームの回答 1'!$H:$H,"支出",'フォームの回答 1'!$D:$D,$A12)-SUMIFS('フォームの回答 1'!$E:$E,'フォームの回答 1'!$B:$B,"&gt;"&amp;J1,'フォームの回答 1'!$H:$H,"支出",'フォームの回答 1'!$D:$D,$A12)</f>
        <v>23671</v>
      </c>
    </row>
    <row r="13" spans="1:14" ht="15.75" customHeight="1">
      <c r="A13" s="8" t="s">
        <v>44</v>
      </c>
      <c r="B13" s="9">
        <f t="shared" si="2"/>
        <v>23110</v>
      </c>
      <c r="C13" s="9">
        <f>SUMIFS('フォームの回答 1'!$E:$E,'フォームの回答 1'!$B:$B,"&gt;="&amp;C1,'フォームの回答 1'!$H:$H,"支出",'フォームの回答 1'!$D:$D,$A13)-SUMIFS('フォームの回答 1'!$E:$E,'フォームの回答 1'!$B:$B,"&gt;"&amp;D1,'フォームの回答 1'!$H:$H,"支出",'フォームの回答 1'!$D:$D,$A13)</f>
        <v>7570</v>
      </c>
      <c r="D13" s="9">
        <f>SUMIFS('フォームの回答 1'!$E:$E,'フォームの回答 1'!$B:$B,"&gt;="&amp;D1,'フォームの回答 1'!$H:$H,"支出",'フォームの回答 1'!$D:$D,$A13)-SUMIFS('フォームの回答 1'!$E:$E,'フォームの回答 1'!$B:$B,"&gt;"&amp;E1,'フォームの回答 1'!$H:$H,"支出",'フォームの回答 1'!$D:$D,$A13)</f>
        <v>3570</v>
      </c>
      <c r="E13" s="9">
        <f>SUMIFS('フォームの回答 1'!$E:$E,'フォームの回答 1'!$B:$B,"&gt;="&amp;E1,'フォームの回答 1'!$H:$H,"支出",'フォームの回答 1'!$D:$D,$A13)-SUMIFS('フォームの回答 1'!$E:$E,'フォームの回答 1'!$B:$B,"&gt;"&amp;F1,'フォームの回答 1'!$H:$H,"支出",'フォームの回答 1'!$D:$D,$A13)</f>
        <v>0</v>
      </c>
      <c r="F13" s="9">
        <f>SUMIFS('フォームの回答 1'!$E:$E,'フォームの回答 1'!$B:$B,"&gt;="&amp;F1,'フォームの回答 1'!$H:$H,"支出",'フォームの回答 1'!$D:$D,$A13)-SUMIFS('フォームの回答 1'!$E:$E,'フォームの回答 1'!$B:$B,"&gt;"&amp;G1,'フォームの回答 1'!$H:$H,"支出",'フォームの回答 1'!$D:$D,$A13)</f>
        <v>1990</v>
      </c>
      <c r="G13" s="9">
        <f>SUMIFS('フォームの回答 1'!$E:$E,'フォームの回答 1'!$B:$B,"&gt;="&amp;G1,'フォームの回答 1'!$H:$H,"支出",'フォームの回答 1'!$D:$D,$A13)-SUMIFS('フォームの回答 1'!$E:$E,'フォームの回答 1'!$B:$B,"&gt;"&amp;H1,'フォームの回答 1'!$H:$H,"支出",'フォームの回答 1'!$D:$D,$A13)</f>
        <v>9980</v>
      </c>
      <c r="H13" s="9">
        <f>SUMIFS('フォームの回答 1'!$E:$E,'フォームの回答 1'!$B:$B,"&gt;="&amp;H1,'フォームの回答 1'!$H:$H,"支出",'フォームの回答 1'!$D:$D,$A13)-SUMIFS('フォームの回答 1'!$E:$E,'フォームの回答 1'!$B:$B,"&gt;"&amp;I1,'フォームの回答 1'!$H:$H,"支出",'フォームの回答 1'!$D:$D,$A13)</f>
        <v>0</v>
      </c>
      <c r="I13" s="9">
        <f>SUMIFS('フォームの回答 1'!$E:$E,'フォームの回答 1'!$B:$B,"&gt;="&amp;I5,'フォームの回答 1'!$H:$H,"支出",'フォームの回答 1'!$D:$D,$A13)-SUMIFS('フォームの回答 1'!$E:$E,'フォームの回答 1'!$B:$B,"&gt;"&amp;J5,'フォームの回答 1'!$H:$H,"支出",'フォームの回答 1'!$D:$D,$A13)</f>
        <v>0</v>
      </c>
    </row>
    <row r="14" spans="1:14" ht="15.75" customHeight="1">
      <c r="A14" s="8" t="s">
        <v>45</v>
      </c>
      <c r="B14" s="9">
        <f t="shared" si="2"/>
        <v>1162273</v>
      </c>
      <c r="C14" s="9">
        <f>SUMIFS('フォームの回答 1'!$E:$E,'フォームの回答 1'!$B:$B,"&gt;="&amp;C1,'フォームの回答 1'!$H:$H,"支出",'フォームの回答 1'!$D:$D,$A14)-SUMIFS('フォームの回答 1'!$E:$E,'フォームの回答 1'!$B:$B,"&gt;"&amp;D1,'フォームの回答 1'!$H:$H,"支出",'フォームの回答 1'!$D:$D,$A14)</f>
        <v>41210</v>
      </c>
      <c r="D14" s="9">
        <f>SUMIFS('フォームの回答 1'!$E:$E,'フォームの回答 1'!$B:$B,"&gt;="&amp;D1,'フォームの回答 1'!$H:$H,"支出",'フォームの回答 1'!$D:$D,$A14)-SUMIFS('フォームの回答 1'!$E:$E,'フォームの回答 1'!$B:$B,"&gt;"&amp;E1,'フォームの回答 1'!$H:$H,"支出",'フォームの回答 1'!$D:$D,$A14)</f>
        <v>23760</v>
      </c>
      <c r="E14" s="9">
        <f>SUMIFS('フォームの回答 1'!$E:$E,'フォームの回答 1'!$B:$B,"&gt;="&amp;E1,'フォームの回答 1'!$H:$H,"支出",'フォームの回答 1'!$D:$D,$A14)-SUMIFS('フォームの回答 1'!$E:$E,'フォームの回答 1'!$B:$B,"&gt;"&amp;F1,'フォームの回答 1'!$H:$H,"支出",'フォームの回答 1'!$D:$D,$A14)</f>
        <v>27487</v>
      </c>
      <c r="F14" s="9">
        <f>SUMIFS('フォームの回答 1'!$E:$E,'フォームの回答 1'!$B:$B,"&gt;="&amp;F1,'フォームの回答 1'!$H:$H,"支出",'フォームの回答 1'!$D:$D,$A14)-SUMIFS('フォームの回答 1'!$E:$E,'フォームの回答 1'!$B:$B,"&gt;"&amp;G1,'フォームの回答 1'!$H:$H,"支出",'フォームの回答 1'!$D:$D,$A14)</f>
        <v>15980</v>
      </c>
      <c r="G14" s="9">
        <f>SUMIFS('フォームの回答 1'!$E:$E,'フォームの回答 1'!$B:$B,"&gt;="&amp;G1,'フォームの回答 1'!$H:$H,"支出",'フォームの回答 1'!$D:$D,$A14)-SUMIFS('フォームの回答 1'!$E:$E,'フォームの回答 1'!$B:$B,"&gt;"&amp;H1,'フォームの回答 1'!$H:$H,"支出",'フォームの回答 1'!$D:$D,$A14)</f>
        <v>30350</v>
      </c>
      <c r="H14" s="9">
        <f>SUMIFS('フォームの回答 1'!$E:$E,'フォームの回答 1'!$B:$B,"&gt;="&amp;H1,'フォームの回答 1'!$H:$H,"支出",'フォームの回答 1'!$D:$D,$A14)-SUMIFS('フォームの回答 1'!$E:$E,'フォームの回答 1'!$B:$B,"&gt;"&amp;I1,'フォームの回答 1'!$H:$H,"支出",'フォームの回答 1'!$D:$D,$A14)</f>
        <v>51045</v>
      </c>
      <c r="I14" s="9">
        <f>SUMIFS('フォームの回答 1'!$E:$E,'フォームの回答 1'!$B:$B,"&gt;="&amp;I1,'フォームの回答 1'!$H:$H,"支出",'フォームの回答 1'!$D:$D,$A14)-SUMIFS('フォームの回答 1'!$E:$E,'フォームの回答 1'!$B:$B,"&gt;"&amp;J1,'フォームの回答 1'!$H:$H,"支出",'フォームの回答 1'!$D:$D,$A14)</f>
        <v>972441</v>
      </c>
    </row>
    <row r="15" spans="1:14" ht="15.75" customHeight="1">
      <c r="A15" s="8" t="s">
        <v>46</v>
      </c>
      <c r="B15" s="9">
        <f t="shared" si="2"/>
        <v>247801</v>
      </c>
      <c r="C15" s="9">
        <f>SUMIFS('フォームの回答 1'!$E:$E,'フォームの回答 1'!$B:$B,"&gt;="&amp;C1,'フォームの回答 1'!$H:$H,"支出",'フォームの回答 1'!$D:$D,$A15)-SUMIFS('フォームの回答 1'!$E:$E,'フォームの回答 1'!$B:$B,"&gt;"&amp;D1,'フォームの回答 1'!$H:$H,"支出",'フォームの回答 1'!$D:$D,$A15)</f>
        <v>0</v>
      </c>
      <c r="D15" s="9">
        <f>SUMIFS('フォームの回答 1'!$E:$E,'フォームの回答 1'!$B:$B,"&gt;="&amp;D1,'フォームの回答 1'!$H:$H,"支出",'フォームの回答 1'!$D:$D,$A15)-SUMIFS('フォームの回答 1'!$E:$E,'フォームの回答 1'!$B:$B,"&gt;"&amp;E1,'フォームの回答 1'!$H:$H,"支出",'フォームの回答 1'!$D:$D,$A15)</f>
        <v>8426</v>
      </c>
      <c r="E15" s="9">
        <f>SUMIFS('フォームの回答 1'!$E:$E,'フォームの回答 1'!$B:$B,"&gt;="&amp;E1,'フォームの回答 1'!$H:$H,"支出",'フォームの回答 1'!$D:$D,$A15)-SUMIFS('フォームの回答 1'!$E:$E,'フォームの回答 1'!$B:$B,"&gt;"&amp;F1,'フォームの回答 1'!$H:$H,"支出",'フォームの回答 1'!$D:$D,$A15)</f>
        <v>20215</v>
      </c>
      <c r="F15" s="9">
        <f>SUMIFS('フォームの回答 1'!$E:$E,'フォームの回答 1'!$B:$B,"&gt;="&amp;F1,'フォームの回答 1'!$H:$H,"支出",'フォームの回答 1'!$D:$D,$A15)-SUMIFS('フォームの回答 1'!$E:$E,'フォームの回答 1'!$B:$B,"&gt;"&amp;G1,'フォームの回答 1'!$H:$H,"支出",'フォームの回答 1'!$D:$D,$A15)</f>
        <v>8155</v>
      </c>
      <c r="G15" s="9">
        <f>SUMIFS('フォームの回答 1'!$E:$E,'フォームの回答 1'!$B:$B,"&gt;="&amp;G1,'フォームの回答 1'!$H:$H,"支出",'フォームの回答 1'!$D:$D,$A15)-SUMIFS('フォームの回答 1'!$E:$E,'フォームの回答 1'!$B:$B,"&gt;"&amp;H1,'フォームの回答 1'!$H:$H,"支出",'フォームの回答 1'!$D:$D,$A15)</f>
        <v>4620</v>
      </c>
      <c r="H15" s="9">
        <f>SUMIFS('フォームの回答 1'!$E:$E,'フォームの回答 1'!$B:$B,"&gt;="&amp;H1,'フォームの回答 1'!$H:$H,"支出",'フォームの回答 1'!$D:$D,$A15)-SUMIFS('フォームの回答 1'!$E:$E,'フォームの回答 1'!$B:$B,"&gt;"&amp;I1,'フォームの回答 1'!$H:$H,"支出",'フォームの回答 1'!$D:$D,$A15)</f>
        <v>5663</v>
      </c>
      <c r="I15" s="9">
        <f>SUMIFS('フォームの回答 1'!$E:$E,'フォームの回答 1'!$B:$B,"&gt;="&amp;I1,'フォームの回答 1'!$H:$H,"支出",'フォームの回答 1'!$D:$D,$A15)-SUMIFS('フォームの回答 1'!$E:$E,'フォームの回答 1'!$B:$B,"&gt;"&amp;J1,'フォームの回答 1'!$H:$H,"支出",'フォームの回答 1'!$D:$D,$A15)</f>
        <v>200722</v>
      </c>
    </row>
    <row r="16" spans="1:14" ht="15.75" customHeight="1">
      <c r="A16" s="8" t="s">
        <v>47</v>
      </c>
      <c r="B16" s="9">
        <f t="shared" si="2"/>
        <v>2513229</v>
      </c>
      <c r="C16" s="9">
        <f>SUMIFS('フォームの回答 1'!$E:$E,'フォームの回答 1'!$B:$B,"&gt;="&amp;C1,'フォームの回答 1'!$H:$H,"支出",'フォームの回答 1'!$D:$D,$A16)-SUMIFS('フォームの回答 1'!$E:$E,'フォームの回答 1'!$B:$B,"&gt;"&amp;D1,'フォームの回答 1'!$H:$H,"支出",'フォームの回答 1'!$D:$D,$A16)</f>
        <v>45000</v>
      </c>
      <c r="D16" s="9">
        <f>SUMIFS('フォームの回答 1'!$E:$E,'フォームの回答 1'!$B:$B,"&gt;="&amp;D1,'フォームの回答 1'!$H:$H,"支出",'フォームの回答 1'!$D:$D,$A16)-SUMIFS('フォームの回答 1'!$E:$E,'フォームの回答 1'!$B:$B,"&gt;"&amp;E1,'フォームの回答 1'!$H:$H,"支出",'フォームの回答 1'!$D:$D,$A16)</f>
        <v>31000</v>
      </c>
      <c r="E16" s="9">
        <f>SUMIFS('フォームの回答 1'!$E:$E,'フォームの回答 1'!$B:$B,"&gt;="&amp;E1,'フォームの回答 1'!$H:$H,"支出",'フォームの回答 1'!$D:$D,$A16)-SUMIFS('フォームの回答 1'!$E:$E,'フォームの回答 1'!$B:$B,"&gt;"&amp;F1,'フォームの回答 1'!$H:$H,"支出",'フォームの回答 1'!$D:$D,$A16)</f>
        <v>115940</v>
      </c>
      <c r="F16" s="9">
        <f>SUMIFS('フォームの回答 1'!$E:$E,'フォームの回答 1'!$B:$B,"&gt;="&amp;F1,'フォームの回答 1'!$H:$H,"支出",'フォームの回答 1'!$D:$D,$A16)-SUMIFS('フォームの回答 1'!$E:$E,'フォームの回答 1'!$B:$B,"&gt;"&amp;G1,'フォームの回答 1'!$H:$H,"支出",'フォームの回答 1'!$D:$D,$A16)</f>
        <v>63000</v>
      </c>
      <c r="G16" s="9">
        <f>SUMIFS('フォームの回答 1'!$E:$E,'フォームの回答 1'!$B:$B,"&gt;="&amp;G1,'フォームの回答 1'!$H:$H,"支出",'フォームの回答 1'!$D:$D,$A16)-SUMIFS('フォームの回答 1'!$E:$E,'フォームの回答 1'!$B:$B,"&gt;"&amp;H1,'フォームの回答 1'!$H:$H,"支出",'フォームの回答 1'!$D:$D,$A16)</f>
        <v>63000</v>
      </c>
      <c r="H16" s="9">
        <f>SUMIFS('フォームの回答 1'!$E:$E,'フォームの回答 1'!$B:$B,"&gt;="&amp;H1,'フォームの回答 1'!$H:$H,"支出",'フォームの回答 1'!$D:$D,$A16)-SUMIFS('フォームの回答 1'!$E:$E,'フォームの回答 1'!$B:$B,"&gt;"&amp;I1,'フォームの回答 1'!$H:$H,"支出",'フォームの回答 1'!$D:$D,$A16)</f>
        <v>63000</v>
      </c>
      <c r="I16" s="9">
        <f>SUMIFS('フォームの回答 1'!$E:$E,'フォームの回答 1'!$B:$B,"&gt;="&amp;I1,'フォームの回答 1'!$H:$H,"支出",'フォームの回答 1'!$D:$D,$A16)-SUMIFS('フォームの回答 1'!$E:$E,'フォームの回答 1'!$B:$B,"&gt;"&amp;J1,'フォームの回答 1'!$H:$H,"支出",'フォームの回答 1'!$D:$D,$A16)</f>
        <v>2132289</v>
      </c>
    </row>
    <row r="17" spans="1:9" ht="15.75" customHeight="1">
      <c r="A17" s="8" t="s">
        <v>48</v>
      </c>
      <c r="B17" s="9">
        <f t="shared" si="2"/>
        <v>163847</v>
      </c>
      <c r="C17" s="9">
        <f>SUMIFS('フォームの回答 1'!$E:$E,'フォームの回答 1'!$B:$B,"&gt;="&amp;C1,'フォームの回答 1'!$H:$H,"支出",'フォームの回答 1'!$D:$D,$A17)-SUMIFS('フォームの回答 1'!$E:$E,'フォームの回答 1'!$B:$B,"&gt;"&amp;D1,'フォームの回答 1'!$H:$H,"支出",'フォームの回答 1'!$D:$D,$A17)</f>
        <v>0</v>
      </c>
      <c r="D17" s="9">
        <f>SUMIFS('フォームの回答 1'!$E:$E,'フォームの回答 1'!$B:$B,"&gt;="&amp;D1,'フォームの回答 1'!$H:$H,"支出",'フォームの回答 1'!$D:$D,$A17)-SUMIFS('フォームの回答 1'!$E:$E,'フォームの回答 1'!$B:$B,"&gt;"&amp;E1,'フォームの回答 1'!$H:$H,"支出",'フォームの回答 1'!$D:$D,$A17)</f>
        <v>1480</v>
      </c>
      <c r="E17" s="9">
        <f>SUMIFS('フォームの回答 1'!$E:$E,'フォームの回答 1'!$B:$B,"&gt;="&amp;E1,'フォームの回答 1'!$H:$H,"支出",'フォームの回答 1'!$D:$D,$A17)-SUMIFS('フォームの回答 1'!$E:$E,'フォームの回答 1'!$B:$B,"&gt;"&amp;F1,'フォームの回答 1'!$H:$H,"支出",'フォームの回答 1'!$D:$D,$A17)</f>
        <v>1480</v>
      </c>
      <c r="F17" s="9">
        <f>SUMIFS('フォームの回答 1'!$E:$E,'フォームの回答 1'!$B:$B,"&gt;="&amp;F1,'フォームの回答 1'!$H:$H,"支出",'フォームの回答 1'!$D:$D,$A17)-SUMIFS('フォームの回答 1'!$E:$E,'フォームの回答 1'!$B:$B,"&gt;"&amp;G1,'フォームの回答 1'!$H:$H,"支出",'フォームの回答 1'!$D:$D,$A17)</f>
        <v>880</v>
      </c>
      <c r="G17" s="9">
        <f>SUMIFS('フォームの回答 1'!$E:$E,'フォームの回答 1'!$B:$B,"&gt;="&amp;G1,'フォームの回答 1'!$H:$H,"支出",'フォームの回答 1'!$D:$D,$A17)-SUMIFS('フォームの回答 1'!$E:$E,'フォームの回答 1'!$B:$B,"&gt;"&amp;H1,'フォームの回答 1'!$H:$H,"支出",'フォームの回答 1'!$D:$D,$A17)</f>
        <v>880</v>
      </c>
      <c r="H17" s="9">
        <f>SUMIFS('フォームの回答 1'!$E:$E,'フォームの回答 1'!$B:$B,"&gt;="&amp;H1,'フォームの回答 1'!$H:$H,"支出",'フォームの回答 1'!$D:$D,$A17)-SUMIFS('フォームの回答 1'!$E:$E,'フォームの回答 1'!$B:$B,"&gt;"&amp;I1,'フォームの回答 1'!$H:$H,"支出",'フォームの回答 1'!$D:$D,$A17)</f>
        <v>880</v>
      </c>
      <c r="I17" s="9">
        <f>SUMIFS('フォームの回答 1'!$E:$E,'フォームの回答 1'!$B:$B,"&gt;="&amp;I1,'フォームの回答 1'!$H:$H,"支出",'フォームの回答 1'!$D:$D,$A17)-SUMIFS('フォームの回答 1'!$E:$E,'フォームの回答 1'!$B:$B,"&gt;"&amp;J1,'フォームの回答 1'!$H:$H,"支出",'フォームの回答 1'!$D:$D,$A17)</f>
        <v>158247</v>
      </c>
    </row>
    <row r="18" spans="1:9" ht="15.75" customHeight="1">
      <c r="A18" s="8" t="s">
        <v>49</v>
      </c>
      <c r="B18" s="9">
        <f t="shared" si="2"/>
        <v>254338</v>
      </c>
      <c r="C18" s="9">
        <f>SUMIFS('フォームの回答 1'!$E:$E,'フォームの回答 1'!$B:$B,"&gt;="&amp;C1,'フォームの回答 1'!$H:$H,"支出",'フォームの回答 1'!$D:$D,$A18)-SUMIFS('フォームの回答 1'!$E:$E,'フォームの回答 1'!$B:$B,"&gt;"&amp;D1,'フォームの回答 1'!$H:$H,"支出",'フォームの回答 1'!$D:$D,$A18)</f>
        <v>6780</v>
      </c>
      <c r="D18" s="9">
        <f>SUMIFS('フォームの回答 1'!$E:$E,'フォームの回答 1'!$B:$B,"&gt;="&amp;D1,'フォームの回答 1'!$H:$H,"支出",'フォームの回答 1'!$D:$D,$A18)-SUMIFS('フォームの回答 1'!$E:$E,'フォームの回答 1'!$B:$B,"&gt;"&amp;E1,'フォームの回答 1'!$H:$H,"支出",'フォームの回答 1'!$D:$D,$A18)</f>
        <v>7480</v>
      </c>
      <c r="E18" s="9">
        <f>SUMIFS('フォームの回答 1'!$E:$E,'フォームの回答 1'!$B:$B,"&gt;="&amp;E1,'フォームの回答 1'!$H:$H,"支出",'フォームの回答 1'!$D:$D,$A18)-SUMIFS('フォームの回答 1'!$E:$E,'フォームの回答 1'!$B:$B,"&gt;"&amp;F1,'フォームの回答 1'!$H:$H,"支出",'フォームの回答 1'!$D:$D,$A18)</f>
        <v>7480</v>
      </c>
      <c r="F18" s="9">
        <f>SUMIFS('フォームの回答 1'!$E:$E,'フォームの回答 1'!$B:$B,"&gt;="&amp;F1,'フォームの回答 1'!$H:$H,"支出",'フォームの回答 1'!$D:$D,$A18)-SUMIFS('フォームの回答 1'!$E:$E,'フォームの回答 1'!$B:$B,"&gt;"&amp;G1,'フォームの回答 1'!$H:$H,"支出",'フォームの回答 1'!$D:$D,$A18)</f>
        <v>7480</v>
      </c>
      <c r="G18" s="9">
        <f>SUMIFS('フォームの回答 1'!$E:$E,'フォームの回答 1'!$B:$B,"&gt;="&amp;G1,'フォームの回答 1'!$H:$H,"支出",'フォームの回答 1'!$D:$D,$A18)-SUMIFS('フォームの回答 1'!$E:$E,'フォームの回答 1'!$B:$B,"&gt;"&amp;H1,'フォームの回答 1'!$H:$H,"支出",'フォームの回答 1'!$D:$D,$A18)</f>
        <v>7480</v>
      </c>
      <c r="H18" s="9">
        <f>SUMIFS('フォームの回答 1'!$E:$E,'フォームの回答 1'!$B:$B,"&gt;="&amp;H1,'フォームの回答 1'!$H:$H,"支出",'フォームの回答 1'!$D:$D,$A18)-SUMIFS('フォームの回答 1'!$E:$E,'フォームの回答 1'!$B:$B,"&gt;"&amp;I1,'フォームの回答 1'!$H:$H,"支出",'フォームの回答 1'!$D:$D,$A18)</f>
        <v>7480</v>
      </c>
      <c r="I18" s="9">
        <f>SUMIFS('フォームの回答 1'!$E:$E,'フォームの回答 1'!$B:$B,"&gt;="&amp;I1,'フォームの回答 1'!$H:$H,"支出",'フォームの回答 1'!$D:$D,$A18)-SUMIFS('フォームの回答 1'!$E:$E,'フォームの回答 1'!$B:$B,"&gt;"&amp;J1,'フォームの回答 1'!$H:$H,"支出",'フォームの回答 1'!$D:$D,$A18)</f>
        <v>210158</v>
      </c>
    </row>
    <row r="19" spans="1:9" ht="15.75" customHeight="1">
      <c r="A19" s="2" t="s">
        <v>50</v>
      </c>
      <c r="C19" s="9">
        <f>SUMIFS('フォームの回答 1'!$E:$E,'フォームの回答 1'!$B:$B,"&gt;="&amp;C1,'フォームの回答 1'!$H:$H,"支出",'フォームの回答 1'!$D:$D,$A19)-SUMIFS('フォームの回答 1'!$E:$E,'フォームの回答 1'!$B:$B,"&gt;"&amp;D1,'フォームの回答 1'!$H:$H,"支出",'フォームの回答 1'!$D:$D,$A19)</f>
        <v>156972</v>
      </c>
    </row>
  </sheetData>
  <mergeCells count="1">
    <mergeCell ref="B5:I5"/>
  </mergeCells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19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cols>
    <col min="1" max="1" width="20.1640625" customWidth="1"/>
  </cols>
  <sheetData>
    <row r="1" spans="1:17" ht="15.75" customHeight="1">
      <c r="A1" s="3"/>
      <c r="B1" s="4" t="s">
        <v>33</v>
      </c>
      <c r="C1" s="5">
        <v>45292</v>
      </c>
      <c r="D1" s="5">
        <v>45323</v>
      </c>
      <c r="E1" s="5">
        <v>45352</v>
      </c>
      <c r="F1" s="5">
        <v>45383</v>
      </c>
      <c r="G1" s="5">
        <v>45413</v>
      </c>
      <c r="H1" s="5">
        <v>45444</v>
      </c>
      <c r="I1" s="5">
        <v>45474</v>
      </c>
      <c r="J1" s="5">
        <v>45505</v>
      </c>
      <c r="K1" s="5">
        <v>45536</v>
      </c>
      <c r="L1" s="5">
        <v>45566</v>
      </c>
      <c r="M1" s="5">
        <v>45597</v>
      </c>
      <c r="N1" s="5">
        <v>45627</v>
      </c>
      <c r="O1" s="2" t="s">
        <v>51</v>
      </c>
    </row>
    <row r="2" spans="1:17" ht="15.75" customHeight="1">
      <c r="A2" s="8" t="s">
        <v>34</v>
      </c>
      <c r="B2" s="9">
        <f t="shared" ref="B2:B4" si="0">SUM(C2:H2)</f>
        <v>2583909</v>
      </c>
      <c r="C2" s="9">
        <f>SUMIFS('フォームの回答 1'!$E:$E,'フォームの回答 1'!$B:$B,"&gt;="&amp;C1,'フォームの回答 1'!$H:$H,"収入")-SUMIFS('フォームの回答 1'!$E:$E,'フォームの回答 1'!$B:$B,"&gt;"&amp;D1,'フォームの回答 1'!$H:$H,"収入")</f>
        <v>492780</v>
      </c>
      <c r="D2" s="9">
        <f>SUMIFS('フォームの回答 1'!$E:$E,'フォームの回答 1'!$B:$B,"&gt;="&amp;D1,'フォームの回答 1'!$H:$H,"収入")-SUMIFS('フォームの回答 1'!$E:$E,'フォームの回答 1'!$B:$B,"&gt;"&amp;E1,'フォームの回答 1'!$H:$H,"収入")</f>
        <v>455893</v>
      </c>
      <c r="E2" s="9">
        <f>SUMIFS('フォームの回答 1'!$E:$E,'フォームの回答 1'!$B:$B,"&gt;="&amp;E1,'フォームの回答 1'!$H:$H,"収入")-SUMIFS('フォームの回答 1'!$E:$E,'フォームの回答 1'!$B:$B,"&gt;"&amp;F1,'フォームの回答 1'!$H:$H,"収入")</f>
        <v>443820</v>
      </c>
      <c r="F2" s="9">
        <f>SUMIFS('フォームの回答 1'!$E:$E,'フォームの回答 1'!$B:$B,"&gt;="&amp;F1,'フォームの回答 1'!$H:$H,"収入")-SUMIFS('フォームの回答 1'!$E:$E,'フォームの回答 1'!$B:$B,"&gt;"&amp;G1,'フォームの回答 1'!$H:$H,"収入")</f>
        <v>367168</v>
      </c>
      <c r="G2" s="9">
        <f>SUMIFS('フォームの回答 1'!$E:$E,'フォームの回答 1'!$B:$B,"&gt;="&amp;G1,'フォームの回答 1'!$H:$H,"収入")-SUMIFS('フォームの回答 1'!$E:$E,'フォームの回答 1'!$B:$B,"&gt;"&amp;H1,'フォームの回答 1'!$H:$H,"収入")</f>
        <v>401043</v>
      </c>
      <c r="H2" s="9">
        <f>SUMIFS('フォームの回答 1'!$E:$E,'フォームの回答 1'!$B:$B,"&gt;="&amp;H1,'フォームの回答 1'!$H:$H,"収入")-SUMIFS('フォームの回答 1'!$E:$E,'フォームの回答 1'!$B:$B,"&gt;"&amp;I1,'フォームの回答 1'!$H:$H,"収入")</f>
        <v>423205</v>
      </c>
      <c r="I2" s="9">
        <f>SUMIFS('フォームの回答 1'!$E:$E,'フォームの回答 1'!$B:$B,"&gt;="&amp;I1,'フォームの回答 1'!$H:$H,"収入")-SUMIFS('フォームの回答 1'!$E:$E,'フォームの回答 1'!$B:$B,"&gt;"&amp;J1,'フォームの回答 1'!$H:$H,"収入")</f>
        <v>384500</v>
      </c>
      <c r="J2" s="9">
        <f>SUMIFS('フォームの回答 1'!$E:$E,'フォームの回答 1'!$B:$B,"&gt;="&amp;J1,'フォームの回答 1'!$H:$H,"収入")-SUMIFS('フォームの回答 1'!$E:$E,'フォームの回答 1'!$B:$B,"&gt;"&amp;K1,'フォームの回答 1'!$H:$H,"収入")</f>
        <v>362802</v>
      </c>
      <c r="K2" s="9">
        <f>SUMIFS('フォームの回答 1'!$E:$E,'フォームの回答 1'!$B:$B,"&gt;="&amp;K1,'フォームの回答 1'!$H:$H,"収入")-SUMIFS('フォームの回答 1'!$E:$E,'フォームの回答 1'!$B:$B,"&gt;"&amp;L1,'フォームの回答 1'!$H:$H,"収入")</f>
        <v>402077</v>
      </c>
      <c r="L2" s="9">
        <f>SUMIFS('フォームの回答 1'!$E:$E,'フォームの回答 1'!$B:$B,"&gt;="&amp;L1,'フォームの回答 1'!$H:$H,"収入")-SUMIFS('フォームの回答 1'!$E:$E,'フォームの回答 1'!$B:$B,"&gt;"&amp;M1,'フォームの回答 1'!$H:$H,"収入")</f>
        <v>359296</v>
      </c>
      <c r="M2" s="9">
        <f>SUMIFS('フォームの回答 1'!$E:$E,'フォームの回答 1'!$B:$B,"&gt;="&amp;M1,'フォームの回答 1'!$H:$H,"収入")-SUMIFS('フォームの回答 1'!$E:$E,'フォームの回答 1'!$B:$B,"&gt;"&amp;N1,'フォームの回答 1'!$H:$H,"収入")</f>
        <v>366403</v>
      </c>
      <c r="N2" s="9">
        <f>SUMIFS('フォームの回答 1'!$E:$E,'フォームの回答 1'!$B:$B,"&gt;="&amp;N1,'フォームの回答 1'!$H:$H,"収入")-SUMIFS('フォームの回答 1'!$E:$E,'フォームの回答 1'!$B:$B,"&gt;"&amp;O1,'フォームの回答 1'!$H:$H,"収入")</f>
        <v>7428937</v>
      </c>
    </row>
    <row r="3" spans="1:17" ht="15.75" customHeight="1">
      <c r="A3" s="8" t="s">
        <v>35</v>
      </c>
      <c r="B3" s="9">
        <f t="shared" si="0"/>
        <v>2506457</v>
      </c>
      <c r="C3" s="9">
        <f>SUMIFS('フォームの回答 1'!$E:$E,'フォームの回答 1'!$B:$B,"&gt;="&amp;C1,'フォームの回答 1'!$H:$H,"支出")-SUMIFS('フォームの回答 1'!$E:$E,'フォームの回答 1'!$B:$B,"&gt;"&amp;D1,'フォームの回答 1'!$H:$H,"支出")</f>
        <v>516953</v>
      </c>
      <c r="D3" s="9">
        <f>SUMIFS('フォームの回答 1'!$E:$E,'フォームの回答 1'!$B:$B,"&gt;="&amp;D1,'フォームの回答 1'!$H:$H,"支出")-SUMIFS('フォームの回答 1'!$E:$E,'フォームの回答 1'!$B:$B,"&gt;"&amp;E1,'フォームの回答 1'!$H:$H,"支出")</f>
        <v>377067</v>
      </c>
      <c r="E3" s="9">
        <f>SUMIFS('フォームの回答 1'!$E:$E,'フォームの回答 1'!$B:$B,"&gt;="&amp;E1,'フォームの回答 1'!$H:$H,"支出")-SUMIFS('フォームの回答 1'!$E:$E,'フォームの回答 1'!$B:$B,"&gt;"&amp;F1,'フォームの回答 1'!$H:$H,"支出")</f>
        <v>422067</v>
      </c>
      <c r="F3" s="9">
        <f>SUMIFS('フォームの回答 1'!$E:$E,'フォームの回答 1'!$B:$B,"&gt;="&amp;F1,'フォームの回答 1'!$H:$H,"支出")-SUMIFS('フォームの回答 1'!$E:$E,'フォームの回答 1'!$B:$B,"&gt;"&amp;G1,'フォームの回答 1'!$H:$H,"支出")</f>
        <v>363280</v>
      </c>
      <c r="G3" s="9">
        <f>SUMIFS('フォームの回答 1'!$E:$E,'フォームの回答 1'!$B:$B,"&gt;="&amp;G1,'フォームの回答 1'!$H:$H,"支出")-SUMIFS('フォームの回答 1'!$E:$E,'フォームの回答 1'!$B:$B,"&gt;"&amp;H1,'フォームの回答 1'!$H:$H,"支出")</f>
        <v>442981</v>
      </c>
      <c r="H3" s="9">
        <f>SUMIFS('フォームの回答 1'!$E:$E,'フォームの回答 1'!$B:$B,"&gt;="&amp;H1,'フォームの回答 1'!$H:$H,"支出")-SUMIFS('フォームの回答 1'!$E:$E,'フォームの回答 1'!$B:$B,"&gt;"&amp;I1,'フォームの回答 1'!$H:$H,"支出")</f>
        <v>384109</v>
      </c>
      <c r="I3" s="9">
        <f>SUMIFS('フォームの回答 1'!$E:$E,'フォームの回答 1'!$B:$B,"&gt;="&amp;I1,'フォームの回答 1'!$H:$H,"支出")-SUMIFS('フォームの回答 1'!$E:$E,'フォームの回答 1'!$B:$B,"&gt;"&amp;J1,'フォームの回答 1'!$H:$H,"支出")</f>
        <v>352913</v>
      </c>
      <c r="J3" s="9">
        <f>SUMIFS('フォームの回答 1'!$E:$E,'フォームの回答 1'!$B:$B,"&gt;="&amp;J1,'フォームの回答 1'!$H:$H,"支出")-SUMIFS('フォームの回答 1'!$E:$E,'フォームの回答 1'!$B:$B,"&gt;"&amp;K1,'フォームの回答 1'!$H:$H,"支出")</f>
        <v>354855</v>
      </c>
      <c r="K3" s="9">
        <f>SUMIFS('フォームの回答 1'!$E:$E,'フォームの回答 1'!$B:$B,"&gt;="&amp;K1,'フォームの回答 1'!$H:$H,"支出")-SUMIFS('フォームの回答 1'!$E:$E,'フォームの回答 1'!$B:$B,"&gt;"&amp;L1,'フォームの回答 1'!$H:$H,"支出")</f>
        <v>385382</v>
      </c>
      <c r="L3" s="9">
        <f>SUMIFS('フォームの回答 1'!$E:$E,'フォームの回答 1'!$B:$B,"&gt;="&amp;L1,'フォームの回答 1'!$H:$H,"支出")-SUMIFS('フォームの回答 1'!$E:$E,'フォームの回答 1'!$B:$B,"&gt;"&amp;M1,'フォームの回答 1'!$H:$H,"支出")</f>
        <v>390058</v>
      </c>
      <c r="M3" s="9">
        <f>SUMIFS('フォームの回答 1'!$E:$E,'フォームの回答 1'!$B:$B,"&gt;="&amp;M1,'フォームの回答 1'!$H:$H,"支出")-SUMIFS('フォームの回答 1'!$E:$E,'フォームの回答 1'!$B:$B,"&gt;"&amp;N1,'フォームの回答 1'!$H:$H,"支出")</f>
        <v>414930</v>
      </c>
      <c r="N3" s="9">
        <f>SUMIFS('フォームの回答 1'!$E:$E,'フォームの回答 1'!$B:$B,"&gt;="&amp;N1,'フォームの回答 1'!$H:$H,"支出")-SUMIFS('フォームの回答 1'!$E:$E,'フォームの回答 1'!$B:$B,"&gt;"&amp;O1,'フォームの回答 1'!$H:$H,"支出")</f>
        <v>7556293</v>
      </c>
    </row>
    <row r="4" spans="1:17" ht="15.75" customHeight="1">
      <c r="A4" s="8" t="s">
        <v>36</v>
      </c>
      <c r="B4" s="9">
        <f t="shared" si="0"/>
        <v>77452</v>
      </c>
      <c r="C4" s="9">
        <f t="shared" ref="C4:N4" si="1">C2-C3</f>
        <v>-24173</v>
      </c>
      <c r="D4" s="9">
        <f t="shared" si="1"/>
        <v>78826</v>
      </c>
      <c r="E4" s="9">
        <f t="shared" si="1"/>
        <v>21753</v>
      </c>
      <c r="F4" s="9">
        <f t="shared" si="1"/>
        <v>3888</v>
      </c>
      <c r="G4" s="9">
        <f t="shared" si="1"/>
        <v>-41938</v>
      </c>
      <c r="H4" s="9">
        <f t="shared" si="1"/>
        <v>39096</v>
      </c>
      <c r="I4" s="9">
        <f t="shared" si="1"/>
        <v>31587</v>
      </c>
      <c r="J4" s="9">
        <f t="shared" si="1"/>
        <v>7947</v>
      </c>
      <c r="K4" s="9">
        <f t="shared" si="1"/>
        <v>16695</v>
      </c>
      <c r="L4" s="9">
        <f t="shared" si="1"/>
        <v>-30762</v>
      </c>
      <c r="M4" s="9">
        <f t="shared" si="1"/>
        <v>-48527</v>
      </c>
      <c r="N4" s="9">
        <f t="shared" si="1"/>
        <v>-127356</v>
      </c>
    </row>
    <row r="5" spans="1:17" ht="15.75" customHeight="1">
      <c r="A5" s="10"/>
      <c r="B5" s="17" t="s">
        <v>37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9"/>
    </row>
    <row r="6" spans="1:17" ht="15.75" customHeight="1">
      <c r="A6" s="8" t="s">
        <v>38</v>
      </c>
      <c r="B6" s="9">
        <f t="shared" ref="B6:B18" si="2">SUM(C6:N6)</f>
        <v>1065817</v>
      </c>
      <c r="C6" s="9">
        <f>SUMIFS('フォームの回答 1'!$E:$E,'フォームの回答 1'!$B:$B,"&gt;="&amp;C1,'フォームの回答 1'!$H:$H,"支出",'フォームの回答 1'!$D:$D,$A6)-SUMIFS('フォームの回答 1'!$E:$E,'フォームの回答 1'!$B:$B,"&gt;"&amp;D1,'フォームの回答 1'!$H:$H,"支出",'フォームの回答 1'!$D:$D,$A6)</f>
        <v>34762</v>
      </c>
      <c r="D6" s="9">
        <f>SUMIFS('フォームの回答 1'!$E:$E,'フォームの回答 1'!$B:$B,"&gt;="&amp;D1,'フォームの回答 1'!$H:$H,"支出",'フォームの回答 1'!$D:$D,$A6)-SUMIFS('フォームの回答 1'!$E:$E,'フォームの回答 1'!$B:$B,"&gt;"&amp;E1,'フォームの回答 1'!$H:$H,"支出",'フォームの回答 1'!$D:$D,$A6)</f>
        <v>41876</v>
      </c>
      <c r="E6" s="9">
        <f>SUMIFS('フォームの回答 1'!$E:$E,'フォームの回答 1'!$B:$B,"&gt;="&amp;E1,'フォームの回答 1'!$H:$H,"支出",'フォームの回答 1'!$D:$D,$A6)-SUMIFS('フォームの回答 1'!$E:$E,'フォームの回答 1'!$B:$B,"&gt;"&amp;F1,'フォームの回答 1'!$H:$H,"支出",'フォームの回答 1'!$D:$D,$A6)</f>
        <v>40602</v>
      </c>
      <c r="F6" s="9">
        <f>SUMIFS('フォームの回答 1'!$E:$E,'フォームの回答 1'!$B:$B,"&gt;="&amp;F1,'フォームの回答 1'!$H:$H,"支出",'フォームの回答 1'!$D:$D,$A6)-SUMIFS('フォームの回答 1'!$E:$E,'フォームの回答 1'!$B:$B,"&gt;"&amp;G1,'フォームの回答 1'!$H:$H,"支出",'フォームの回答 1'!$D:$D,$A6)</f>
        <v>35895</v>
      </c>
      <c r="G6" s="9">
        <f>SUMIFS('フォームの回答 1'!$E:$E,'フォームの回答 1'!$B:$B,"&gt;="&amp;G1,'フォームの回答 1'!$H:$H,"支出",'フォームの回答 1'!$D:$D,$A6)-SUMIFS('フォームの回答 1'!$E:$E,'フォームの回答 1'!$B:$B,"&gt;"&amp;H1,'フォームの回答 1'!$H:$H,"支出",'フォームの回答 1'!$D:$D,$A6)</f>
        <v>42918</v>
      </c>
      <c r="H6" s="9">
        <f>SUMIFS('フォームの回答 1'!$E:$E,'フォームの回答 1'!$B:$B,"&gt;="&amp;H1,'フォームの回答 1'!$H:$H,"支出",'フォームの回答 1'!$D:$D,$A6)-SUMIFS('フォームの回答 1'!$E:$E,'フォームの回答 1'!$B:$B,"&gt;"&amp;I1,'フォームの回答 1'!$H:$H,"支出",'フォームの回答 1'!$D:$D,$A6)</f>
        <v>33681</v>
      </c>
      <c r="I6" s="9">
        <f>SUMIFS('フォームの回答 1'!$E:$E,'フォームの回答 1'!$B:$B,"&gt;="&amp;I1,'フォームの回答 1'!$H:$H,"支出",'フォームの回答 1'!$D:$D,$A6)-SUMIFS('フォームの回答 1'!$E:$E,'フォームの回答 1'!$B:$B,"&gt;"&amp;J1,'フォームの回答 1'!$H:$H,"支出",'フォームの回答 1'!$D:$D,$A6)</f>
        <v>31926</v>
      </c>
      <c r="J6" s="9">
        <f>SUMIFS('フォームの回答 1'!$E:$E,'フォームの回答 1'!$B:$B,"&gt;="&amp;J1,'フォームの回答 1'!$H:$H,"支出",'フォームの回答 1'!$D:$D,$A6)-SUMIFS('フォームの回答 1'!$E:$E,'フォームの回答 1'!$B:$B,"&gt;"&amp;K1,'フォームの回答 1'!$H:$H,"支出",'フォームの回答 1'!$D:$D,$A6)</f>
        <v>31370</v>
      </c>
      <c r="K6" s="9">
        <f>SUMIFS('フォームの回答 1'!$E:$E,'フォームの回答 1'!$B:$B,"&gt;="&amp;K1,'フォームの回答 1'!$H:$H,"支出",'フォームの回答 1'!$D:$D,$A6)-SUMIFS('フォームの回答 1'!$E:$E,'フォームの回答 1'!$B:$B,"&gt;"&amp;L1,'フォームの回答 1'!$H:$H,"支出",'フォームの回答 1'!$D:$D,$A6)</f>
        <v>41734</v>
      </c>
      <c r="L6" s="9">
        <f>SUMIFS('フォームの回答 1'!$E:$E,'フォームの回答 1'!$B:$B,"&gt;="&amp;L1,'フォームの回答 1'!$H:$H,"支出",'フォームの回答 1'!$D:$D,$A6)-SUMIFS('フォームの回答 1'!$E:$E,'フォームの回答 1'!$B:$B,"&gt;"&amp;M1,'フォームの回答 1'!$H:$H,"支出",'フォームの回答 1'!$D:$D,$A6)</f>
        <v>27305</v>
      </c>
      <c r="M6" s="9">
        <f>SUMIFS('フォームの回答 1'!$E:$E,'フォームの回答 1'!$B:$B,"&gt;="&amp;M1,'フォームの回答 1'!$H:$H,"支出",'フォームの回答 1'!$D:$D,$A6)-SUMIFS('フォームの回答 1'!$E:$E,'フォームの回答 1'!$B:$B,"&gt;"&amp;N1,'フォームの回答 1'!$H:$H,"支出",'フォームの回答 1'!$D:$D,$A6)</f>
        <v>46877</v>
      </c>
      <c r="N6" s="9">
        <f>SUMIFS('フォームの回答 1'!$E:$E,'フォームの回答 1'!$B:$B,"&gt;="&amp;N1,'フォームの回答 1'!$H:$H,"支出",'フォームの回答 1'!$D:$D,$A6)-SUMIFS('フォームの回答 1'!$E:$E,'フォームの回答 1'!$B:$B,"&gt;"&amp;O1,'フォームの回答 1'!$H:$H,"支出",'フォームの回答 1'!$D:$D,$A6)</f>
        <v>656871</v>
      </c>
      <c r="O6" s="1">
        <f t="shared" ref="O6:O18" si="3">B6/12</f>
        <v>88818.083333333328</v>
      </c>
      <c r="Q6" s="1">
        <f>O6+O10+O14+O18+O17+O15</f>
        <v>235202.91666666669</v>
      </c>
    </row>
    <row r="7" spans="1:17" ht="15.75" customHeight="1">
      <c r="A7" s="8" t="s">
        <v>39</v>
      </c>
      <c r="B7" s="9">
        <f t="shared" si="2"/>
        <v>1927983</v>
      </c>
      <c r="C7" s="9">
        <f>SUMIFS('フォームの回答 1'!$E:$E,'フォームの回答 1'!$B:$B,"&gt;="&amp;C1,'フォームの回答 1'!$H:$H,"支出",'フォームの回答 1'!$D:$D,$A7)-SUMIFS('フォームの回答 1'!$E:$E,'フォームの回答 1'!$B:$B,"&gt;"&amp;D1,'フォームの回答 1'!$H:$H,"支出",'フォームの回答 1'!$D:$D,$A7)</f>
        <v>118008</v>
      </c>
      <c r="D7" s="9">
        <f>SUMIFS('フォームの回答 1'!$E:$E,'フォームの回答 1'!$B:$B,"&gt;="&amp;D1,'フォームの回答 1'!$H:$H,"支出",'フォームの回答 1'!$D:$D,$A7)-SUMIFS('フォームの回答 1'!$E:$E,'フォームの回答 1'!$B:$B,"&gt;"&amp;E1,'フォームの回答 1'!$H:$H,"支出",'フォームの回答 1'!$D:$D,$A7)</f>
        <v>39655</v>
      </c>
      <c r="E7" s="9">
        <f>SUMIFS('フォームの回答 1'!$E:$E,'フォームの回答 1'!$B:$B,"&gt;="&amp;E1,'フォームの回答 1'!$H:$H,"支出",'フォームの回答 1'!$D:$D,$A7)-SUMIFS('フォームの回答 1'!$E:$E,'フォームの回答 1'!$B:$B,"&gt;"&amp;F1,'フォームの回答 1'!$H:$H,"支出",'フォームの回答 1'!$D:$D,$A7)</f>
        <v>92774</v>
      </c>
      <c r="F7" s="9">
        <f>SUMIFS('フォームの回答 1'!$E:$E,'フォームの回答 1'!$B:$B,"&gt;="&amp;F1,'フォームの回答 1'!$H:$H,"支出",'フォームの回答 1'!$D:$D,$A7)-SUMIFS('フォームの回答 1'!$E:$E,'フォームの回答 1'!$B:$B,"&gt;"&amp;G1,'フォームの回答 1'!$H:$H,"支出",'フォームの回答 1'!$D:$D,$A7)</f>
        <v>66942</v>
      </c>
      <c r="G7" s="9">
        <f>SUMIFS('フォームの回答 1'!$E:$E,'フォームの回答 1'!$B:$B,"&gt;="&amp;G1,'フォームの回答 1'!$H:$H,"支出",'フォームの回答 1'!$D:$D,$A7)-SUMIFS('フォームの回答 1'!$E:$E,'フォームの回答 1'!$B:$B,"&gt;"&amp;H1,'フォームの回答 1'!$H:$H,"支出",'フォームの回答 1'!$D:$D,$A7)</f>
        <v>59566</v>
      </c>
      <c r="H7" s="9">
        <f>SUMIFS('フォームの回答 1'!$E:$E,'フォームの回答 1'!$B:$B,"&gt;="&amp;H1,'フォームの回答 1'!$H:$H,"支出",'フォームの回答 1'!$D:$D,$A7)-SUMIFS('フォームの回答 1'!$E:$E,'フォームの回答 1'!$B:$B,"&gt;"&amp;I1,'フォームの回答 1'!$H:$H,"支出",'フォームの回答 1'!$D:$D,$A7)</f>
        <v>73222</v>
      </c>
      <c r="I7" s="9">
        <f>SUMIFS('フォームの回答 1'!$E:$E,'フォームの回答 1'!$B:$B,"&gt;="&amp;I1,'フォームの回答 1'!$H:$H,"支出",'フォームの回答 1'!$D:$D,$A7)-SUMIFS('フォームの回答 1'!$E:$E,'フォームの回答 1'!$B:$B,"&gt;"&amp;J1,'フォームの回答 1'!$H:$H,"支出",'フォームの回答 1'!$D:$D,$A7)</f>
        <v>56489</v>
      </c>
      <c r="J7" s="9">
        <f>SUMIFS('フォームの回答 1'!$E:$E,'フォームの回答 1'!$B:$B,"&gt;="&amp;J1,'フォームの回答 1'!$H:$H,"支出",'フォームの回答 1'!$D:$D,$A7)-SUMIFS('フォームの回答 1'!$E:$E,'フォームの回答 1'!$B:$B,"&gt;"&amp;K1,'フォームの回答 1'!$H:$H,"支出",'フォームの回答 1'!$D:$D,$A7)</f>
        <v>46220</v>
      </c>
      <c r="K7" s="9">
        <f>SUMIFS('フォームの回答 1'!$E:$E,'フォームの回答 1'!$B:$B,"&gt;="&amp;K1,'フォームの回答 1'!$H:$H,"支出",'フォームの回答 1'!$D:$D,$A7)-SUMIFS('フォームの回答 1'!$E:$E,'フォームの回答 1'!$B:$B,"&gt;"&amp;L1,'フォームの回答 1'!$H:$H,"支出",'フォームの回答 1'!$D:$D,$A7)</f>
        <v>64628</v>
      </c>
      <c r="L7" s="9">
        <f>SUMIFS('フォームの回答 1'!$E:$E,'フォームの回答 1'!$B:$B,"&gt;="&amp;L1,'フォームの回答 1'!$H:$H,"支出",'フォームの回答 1'!$D:$D,$A7)-SUMIFS('フォームの回答 1'!$E:$E,'フォームの回答 1'!$B:$B,"&gt;"&amp;M1,'フォームの回答 1'!$H:$H,"支出",'フォームの回答 1'!$D:$D,$A7)</f>
        <v>74854</v>
      </c>
      <c r="M7" s="9">
        <f>SUMIFS('フォームの回答 1'!$E:$E,'フォームの回答 1'!$B:$B,"&gt;="&amp;M1,'フォームの回答 1'!$H:$H,"支出",'フォームの回答 1'!$D:$D,$A7)-SUMIFS('フォームの回答 1'!$E:$E,'フォームの回答 1'!$B:$B,"&gt;"&amp;N1,'フォームの回答 1'!$H:$H,"支出",'フォームの回答 1'!$D:$D,$A7)</f>
        <v>37970</v>
      </c>
      <c r="N7" s="9">
        <f>SUMIFS('フォームの回答 1'!$E:$E,'フォームの回答 1'!$B:$B,"&gt;="&amp;N1,'フォームの回答 1'!$H:$H,"支出",'フォームの回答 1'!$D:$D,$A7)-SUMIFS('フォームの回答 1'!$E:$E,'フォームの回答 1'!$B:$B,"&gt;"&amp;O1,'フォームの回答 1'!$H:$H,"支出",'フォームの回答 1'!$D:$D,$A7)</f>
        <v>1197655</v>
      </c>
      <c r="O7" s="1">
        <f t="shared" si="3"/>
        <v>160665.25</v>
      </c>
    </row>
    <row r="8" spans="1:17" ht="15.75" customHeight="1">
      <c r="A8" s="8" t="s">
        <v>40</v>
      </c>
      <c r="B8" s="9">
        <f t="shared" si="2"/>
        <v>1220607</v>
      </c>
      <c r="C8" s="9">
        <f>SUMIFS('フォームの回答 1'!$E:$E,'フォームの回答 1'!$B:$B,"&gt;="&amp;C1,'フォームの回答 1'!$H:$H,"支出",'フォームの回答 1'!$D:$D,$A8)-SUMIFS('フォームの回答 1'!$E:$E,'フォームの回答 1'!$B:$B,"&gt;"&amp;D1,'フォームの回答 1'!$H:$H,"支出",'フォームの回答 1'!$D:$D,$A8)</f>
        <v>27960</v>
      </c>
      <c r="D8" s="9">
        <f>SUMIFS('フォームの回答 1'!$E:$E,'フォームの回答 1'!$B:$B,"&gt;="&amp;D1,'フォームの回答 1'!$H:$H,"支出",'フォームの回答 1'!$D:$D,$A8)-SUMIFS('フォームの回答 1'!$E:$E,'フォームの回答 1'!$B:$B,"&gt;"&amp;E1,'フォームの回答 1'!$H:$H,"支出",'フォームの回答 1'!$D:$D,$A8)</f>
        <v>67770</v>
      </c>
      <c r="E8" s="9">
        <f>SUMIFS('フォームの回答 1'!$E:$E,'フォームの回答 1'!$B:$B,"&gt;="&amp;E1,'フォームの回答 1'!$H:$H,"支出",'フォームの回答 1'!$D:$D,$A8)-SUMIFS('フォームの回答 1'!$E:$E,'フォームの回答 1'!$B:$B,"&gt;"&amp;F1,'フォームの回答 1'!$H:$H,"支出",'フォームの回答 1'!$D:$D,$A8)</f>
        <v>19010</v>
      </c>
      <c r="F8" s="9">
        <f>SUMIFS('フォームの回答 1'!$E:$E,'フォームの回答 1'!$B:$B,"&gt;="&amp;F1,'フォームの回答 1'!$H:$H,"支出",'フォームの回答 1'!$D:$D,$A8)-SUMIFS('フォームの回答 1'!$E:$E,'フォームの回答 1'!$B:$B,"&gt;"&amp;G1,'フォームの回答 1'!$H:$H,"支出",'フォームの回答 1'!$D:$D,$A8)</f>
        <v>7600</v>
      </c>
      <c r="G8" s="9">
        <f>SUMIFS('フォームの回答 1'!$E:$E,'フォームの回答 1'!$B:$B,"&gt;="&amp;G1,'フォームの回答 1'!$H:$H,"支出",'フォームの回答 1'!$D:$D,$A8)-SUMIFS('フォームの回答 1'!$E:$E,'フォームの回答 1'!$B:$B,"&gt;"&amp;H1,'フォームの回答 1'!$H:$H,"支出",'フォームの回答 1'!$D:$D,$A8)</f>
        <v>52480</v>
      </c>
      <c r="H8" s="9">
        <f>SUMIFS('フォームの回答 1'!$E:$E,'フォームの回答 1'!$B:$B,"&gt;="&amp;H1,'フォームの回答 1'!$H:$H,"支出",'フォームの回答 1'!$D:$D,$A8)-SUMIFS('フォームの回答 1'!$E:$E,'フォームの回答 1'!$B:$B,"&gt;"&amp;I1,'フォームの回答 1'!$H:$H,"支出",'フォームの回答 1'!$D:$D,$A8)</f>
        <v>33140</v>
      </c>
      <c r="I8" s="9">
        <f>SUMIFS('フォームの回答 1'!$E:$E,'フォームの回答 1'!$B:$B,"&gt;="&amp;I1,'フォームの回答 1'!$H:$H,"支出",'フォームの回答 1'!$D:$D,$A8)-SUMIFS('フォームの回答 1'!$E:$E,'フォームの回答 1'!$B:$B,"&gt;"&amp;J1,'フォームの回答 1'!$H:$H,"支出",'フォームの回答 1'!$D:$D,$A8)</f>
        <v>20500</v>
      </c>
      <c r="J8" s="9">
        <f>SUMIFS('フォームの回答 1'!$E:$E,'フォームの回答 1'!$B:$B,"&gt;="&amp;J1,'フォームの回答 1'!$H:$H,"支出",'フォームの回答 1'!$D:$D,$A8)-SUMIFS('フォームの回答 1'!$E:$E,'フォームの回答 1'!$B:$B,"&gt;"&amp;K1,'フォームの回答 1'!$H:$H,"支出",'フォームの回答 1'!$D:$D,$A8)</f>
        <v>45680</v>
      </c>
      <c r="K8" s="9">
        <f>SUMIFS('フォームの回答 1'!$E:$E,'フォームの回答 1'!$B:$B,"&gt;="&amp;K1,'フォームの回答 1'!$H:$H,"支出",'フォームの回答 1'!$D:$D,$A8)-SUMIFS('フォームの回答 1'!$E:$E,'フォームの回答 1'!$B:$B,"&gt;"&amp;L1,'フォームの回答 1'!$H:$H,"支出",'フォームの回答 1'!$D:$D,$A8)</f>
        <v>39530</v>
      </c>
      <c r="L8" s="9">
        <f>SUMIFS('フォームの回答 1'!$E:$E,'フォームの回答 1'!$B:$B,"&gt;="&amp;L1,'フォームの回答 1'!$H:$H,"支出",'フォームの回答 1'!$D:$D,$A8)-SUMIFS('フォームの回答 1'!$E:$E,'フォームの回答 1'!$B:$B,"&gt;"&amp;M1,'フォームの回答 1'!$H:$H,"支出",'フォームの回答 1'!$D:$D,$A8)</f>
        <v>33094</v>
      </c>
      <c r="M8" s="9">
        <f>SUMIFS('フォームの回答 1'!$E:$E,'フォームの回答 1'!$B:$B,"&gt;="&amp;M1,'フォームの回答 1'!$H:$H,"支出",'フォームの回答 1'!$D:$D,$A8)-SUMIFS('フォームの回答 1'!$E:$E,'フォームの回答 1'!$B:$B,"&gt;"&amp;N1,'フォームの回答 1'!$H:$H,"支出",'フォームの回答 1'!$D:$D,$A8)</f>
        <v>62680</v>
      </c>
      <c r="N8" s="9">
        <f>SUMIFS('フォームの回答 1'!$E:$E,'フォームの回答 1'!$B:$B,"&gt;="&amp;N1,'フォームの回答 1'!$H:$H,"支出",'フォームの回答 1'!$D:$D,$A8)-SUMIFS('フォームの回答 1'!$E:$E,'フォームの回答 1'!$B:$B,"&gt;"&amp;O1,'フォームの回答 1'!$H:$H,"支出",'フォームの回答 1'!$D:$D,$A8)</f>
        <v>811163</v>
      </c>
      <c r="O8" s="1">
        <f t="shared" si="3"/>
        <v>101717.25</v>
      </c>
    </row>
    <row r="9" spans="1:17" ht="15.75" customHeight="1">
      <c r="A9" s="8" t="s">
        <v>41</v>
      </c>
      <c r="B9" s="9">
        <f t="shared" si="2"/>
        <v>287463</v>
      </c>
      <c r="C9" s="9">
        <f>SUMIFS('フォームの回答 1'!$E:$E,'フォームの回答 1'!$B:$B,"&gt;="&amp;C1,'フォームの回答 1'!$H:$H,"支出",'フォームの回答 1'!$D:$D,$A9)-SUMIFS('フォームの回答 1'!$E:$E,'フォームの回答 1'!$B:$B,"&gt;"&amp;D1,'フォームの回答 1'!$H:$H,"支出",'フォームの回答 1'!$D:$D,$A9)</f>
        <v>10991</v>
      </c>
      <c r="D9" s="9">
        <f>SUMIFS('フォームの回答 1'!$E:$E,'フォームの回答 1'!$B:$B,"&gt;="&amp;D1,'フォームの回答 1'!$H:$H,"支出",'フォームの回答 1'!$D:$D,$A9)-SUMIFS('フォームの回答 1'!$E:$E,'フォームの回答 1'!$B:$B,"&gt;"&amp;E1,'フォームの回答 1'!$H:$H,"支出",'フォームの回答 1'!$D:$D,$A9)</f>
        <v>8466</v>
      </c>
      <c r="E9" s="9">
        <f>SUMIFS('フォームの回答 1'!$E:$E,'フォームの回答 1'!$B:$B,"&gt;="&amp;E1,'フォームの回答 1'!$H:$H,"支出",'フォームの回答 1'!$D:$D,$A9)-SUMIFS('フォームの回答 1'!$E:$E,'フォームの回答 1'!$B:$B,"&gt;"&amp;F1,'フォームの回答 1'!$H:$H,"支出",'フォームの回答 1'!$D:$D,$A9)</f>
        <v>5318</v>
      </c>
      <c r="F9" s="9">
        <f>SUMIFS('フォームの回答 1'!$E:$E,'フォームの回答 1'!$B:$B,"&gt;="&amp;F1,'フォームの回答 1'!$H:$H,"支出",'フォームの回答 1'!$D:$D,$A9)-SUMIFS('フォームの回答 1'!$E:$E,'フォームの回答 1'!$B:$B,"&gt;"&amp;G1,'フォームの回答 1'!$H:$H,"支出",'フォームの回答 1'!$D:$D,$A9)</f>
        <v>8490</v>
      </c>
      <c r="G9" s="9">
        <f>SUMIFS('フォームの回答 1'!$E:$E,'フォームの回答 1'!$B:$B,"&gt;="&amp;G1,'フォームの回答 1'!$H:$H,"支出",'フォームの回答 1'!$D:$D,$A9)-SUMIFS('フォームの回答 1'!$E:$E,'フォームの回答 1'!$B:$B,"&gt;"&amp;H1,'フォームの回答 1'!$H:$H,"支出",'フォームの回答 1'!$D:$D,$A9)</f>
        <v>5318</v>
      </c>
      <c r="H9" s="9">
        <f>SUMIFS('フォームの回答 1'!$E:$E,'フォームの回答 1'!$B:$B,"&gt;="&amp;H1,'フォームの回答 1'!$H:$H,"支出",'フォームの回答 1'!$D:$D,$A9)-SUMIFS('フォームの回答 1'!$E:$E,'フォームの回答 1'!$B:$B,"&gt;"&amp;I1,'フォームの回答 1'!$H:$H,"支出",'フォームの回答 1'!$D:$D,$A9)</f>
        <v>8514</v>
      </c>
      <c r="I9" s="9">
        <f>SUMIFS('フォームの回答 1'!$E:$E,'フォームの回答 1'!$B:$B,"&gt;="&amp;I1,'フォームの回答 1'!$H:$H,"支出",'フォームの回答 1'!$D:$D,$A9)-SUMIFS('フォームの回答 1'!$E:$E,'フォームの回答 1'!$B:$B,"&gt;"&amp;J1,'フォームの回答 1'!$H:$H,"支出",'フォームの回答 1'!$D:$D,$A9)</f>
        <v>5318</v>
      </c>
      <c r="J9" s="9">
        <f>SUMIFS('フォームの回答 1'!$E:$E,'フォームの回答 1'!$B:$B,"&gt;="&amp;J1,'フォームの回答 1'!$H:$H,"支出",'フォームの回答 1'!$D:$D,$A9)-SUMIFS('フォームの回答 1'!$E:$E,'フォームの回答 1'!$B:$B,"&gt;"&amp;K1,'フォームの回答 1'!$H:$H,"支出",'フォームの回答 1'!$D:$D,$A9)</f>
        <v>8490</v>
      </c>
      <c r="K9" s="9">
        <f>SUMIFS('フォームの回答 1'!$E:$E,'フォームの回答 1'!$B:$B,"&gt;="&amp;K1,'フォームの回答 1'!$H:$H,"支出",'フォームの回答 1'!$D:$D,$A9)-SUMIFS('フォームの回答 1'!$E:$E,'フォームの回答 1'!$B:$B,"&gt;"&amp;L1,'フォームの回答 1'!$H:$H,"支出",'フォームの回答 1'!$D:$D,$A9)</f>
        <v>5318</v>
      </c>
      <c r="L9" s="9">
        <f>SUMIFS('フォームの回答 1'!$E:$E,'フォームの回答 1'!$B:$B,"&gt;="&amp;L1,'フォームの回答 1'!$H:$H,"支出",'フォームの回答 1'!$D:$D,$A9)-SUMIFS('フォームの回答 1'!$E:$E,'フォームの回答 1'!$B:$B,"&gt;"&amp;M1,'フォームの回答 1'!$H:$H,"支出",'フォームの回答 1'!$D:$D,$A9)</f>
        <v>9137</v>
      </c>
      <c r="M9" s="9">
        <f>SUMIFS('フォームの回答 1'!$E:$E,'フォームの回答 1'!$B:$B,"&gt;="&amp;M1,'フォームの回答 1'!$H:$H,"支出",'フォームの回答 1'!$D:$D,$A9)-SUMIFS('フォームの回答 1'!$E:$E,'フォームの回答 1'!$B:$B,"&gt;"&amp;N1,'フォームの回答 1'!$H:$H,"支出",'フォームの回答 1'!$D:$D,$A9)</f>
        <v>5868</v>
      </c>
      <c r="N9" s="9">
        <f>SUMIFS('フォームの回答 1'!$E:$E,'フォームの回答 1'!$B:$B,"&gt;="&amp;N1,'フォームの回答 1'!$H:$H,"支出",'フォームの回答 1'!$D:$D,$A9)-SUMIFS('フォームの回答 1'!$E:$E,'フォームの回答 1'!$B:$B,"&gt;"&amp;O1,'フォームの回答 1'!$H:$H,"支出",'フォームの回答 1'!$D:$D,$A9)</f>
        <v>206235</v>
      </c>
      <c r="O9" s="1">
        <f t="shared" si="3"/>
        <v>23955.25</v>
      </c>
    </row>
    <row r="10" spans="1:17" ht="15.75" customHeight="1">
      <c r="A10" s="8" t="s">
        <v>42</v>
      </c>
      <c r="B10" s="9">
        <f t="shared" si="2"/>
        <v>164365</v>
      </c>
      <c r="C10" s="9">
        <f>SUMIFS('フォームの回答 1'!$E:$E,'フォームの回答 1'!$B:$B,"&gt;="&amp;C1,'フォームの回答 1'!$H:$H,"支出",'フォームの回答 1'!$D:$D,$A10)-SUMIFS('フォームの回答 1'!$E:$E,'フォームの回答 1'!$B:$B,"&gt;"&amp;D1,'フォームの回答 1'!$H:$H,"支出",'フォームの回答 1'!$D:$D,$A10)</f>
        <v>5492</v>
      </c>
      <c r="D10" s="9">
        <f>SUMIFS('フォームの回答 1'!$E:$E,'フォームの回答 1'!$B:$B,"&gt;="&amp;D1,'フォームの回答 1'!$H:$H,"支出",'フォームの回答 1'!$D:$D,$A10)-SUMIFS('フォームの回答 1'!$E:$E,'フォームの回答 1'!$B:$B,"&gt;"&amp;E1,'フォームの回答 1'!$H:$H,"支出",'フォームの回答 1'!$D:$D,$A10)</f>
        <v>4810</v>
      </c>
      <c r="E10" s="9">
        <f>SUMIFS('フォームの回答 1'!$E:$E,'フォームの回答 1'!$B:$B,"&gt;="&amp;E1,'フォームの回答 1'!$H:$H,"支出",'フォームの回答 1'!$D:$D,$A10)-SUMIFS('フォームの回答 1'!$E:$E,'フォームの回答 1'!$B:$B,"&gt;"&amp;F1,'フォームの回答 1'!$H:$H,"支出",'フォームの回答 1'!$D:$D,$A10)</f>
        <v>5780</v>
      </c>
      <c r="F10" s="9">
        <f>SUMIFS('フォームの回答 1'!$E:$E,'フォームの回答 1'!$B:$B,"&gt;="&amp;F1,'フォームの回答 1'!$H:$H,"支出",'フォームの回答 1'!$D:$D,$A10)-SUMIFS('フォームの回答 1'!$E:$E,'フォームの回答 1'!$B:$B,"&gt;"&amp;G1,'フォームの回答 1'!$H:$H,"支出",'フォームの回答 1'!$D:$D,$A10)</f>
        <v>3652</v>
      </c>
      <c r="G10" s="9">
        <f>SUMIFS('フォームの回答 1'!$E:$E,'フォームの回答 1'!$B:$B,"&gt;="&amp;G1,'フォームの回答 1'!$H:$H,"支出",'フォームの回答 1'!$D:$D,$A10)-SUMIFS('フォームの回答 1'!$E:$E,'フォームの回答 1'!$B:$B,"&gt;"&amp;H1,'フォームの回答 1'!$H:$H,"支出",'フォームの回答 1'!$D:$D,$A10)</f>
        <v>4070</v>
      </c>
      <c r="H10" s="9">
        <f>SUMIFS('フォームの回答 1'!$E:$E,'フォームの回答 1'!$B:$B,"&gt;="&amp;H1,'フォームの回答 1'!$H:$H,"支出",'フォームの回答 1'!$D:$D,$A10)-SUMIFS('フォームの回答 1'!$E:$E,'フォームの回答 1'!$B:$B,"&gt;"&amp;I1,'フォームの回答 1'!$H:$H,"支出",'フォームの回答 1'!$D:$D,$A10)</f>
        <v>3388</v>
      </c>
      <c r="I10" s="9">
        <f>SUMIFS('フォームの回答 1'!$E:$E,'フォームの回答 1'!$B:$B,"&gt;="&amp;I1,'フォームの回答 1'!$H:$H,"支出",'フォームの回答 1'!$D:$D,$A10)-SUMIFS('フォームの回答 1'!$E:$E,'フォームの回答 1'!$B:$B,"&gt;"&amp;J1,'フォームの回答 1'!$H:$H,"支出",'フォームの回答 1'!$D:$D,$A10)</f>
        <v>5522</v>
      </c>
      <c r="J10" s="9">
        <f>SUMIFS('フォームの回答 1'!$E:$E,'フォームの回答 1'!$B:$B,"&gt;="&amp;J1,'フォームの回答 1'!$H:$H,"支出",'フォームの回答 1'!$D:$D,$A10)-SUMIFS('フォームの回答 1'!$E:$E,'フォームの回答 1'!$B:$B,"&gt;"&amp;K1,'フォームの回答 1'!$H:$H,"支出",'フォームの回答 1'!$D:$D,$A10)</f>
        <v>3388</v>
      </c>
      <c r="K10" s="9">
        <f>SUMIFS('フォームの回答 1'!$E:$E,'フォームの回答 1'!$B:$B,"&gt;="&amp;K1,'フォームの回答 1'!$H:$H,"支出",'フォームの回答 1'!$D:$D,$A10)-SUMIFS('フォームの回答 1'!$E:$E,'フォームの回答 1'!$B:$B,"&gt;"&amp;L1,'フォームの回答 1'!$H:$H,"支出",'フォームの回答 1'!$D:$D,$A10)</f>
        <v>3320</v>
      </c>
      <c r="L10" s="9">
        <f>SUMIFS('フォームの回答 1'!$E:$E,'フォームの回答 1'!$B:$B,"&gt;="&amp;L1,'フォームの回答 1'!$H:$H,"支出",'フォームの回答 1'!$D:$D,$A10)-SUMIFS('フォームの回答 1'!$E:$E,'フォームの回答 1'!$B:$B,"&gt;"&amp;M1,'フォームの回答 1'!$H:$H,"支出",'フォームの回答 1'!$D:$D,$A10)</f>
        <v>5958</v>
      </c>
      <c r="M10" s="9">
        <f>SUMIFS('フォームの回答 1'!$E:$E,'フォームの回答 1'!$B:$B,"&gt;="&amp;M1,'フォームの回答 1'!$H:$H,"支出",'フォームの回答 1'!$D:$D,$A10)-SUMIFS('フォームの回答 1'!$E:$E,'フォームの回答 1'!$B:$B,"&gt;"&amp;N1,'フォームの回答 1'!$H:$H,"支出",'フォームの回答 1'!$D:$D,$A10)</f>
        <v>5500</v>
      </c>
      <c r="N10" s="9">
        <f>SUMIFS('フォームの回答 1'!$E:$E,'フォームの回答 1'!$B:$B,"&gt;="&amp;N1,'フォームの回答 1'!$H:$H,"支出",'フォームの回答 1'!$D:$D,$A10)-SUMIFS('フォームの回答 1'!$E:$E,'フォームの回答 1'!$B:$B,"&gt;"&amp;O1,'フォームの回答 1'!$H:$H,"支出",'フォームの回答 1'!$D:$D,$A10)</f>
        <v>113485</v>
      </c>
      <c r="O10" s="1">
        <f t="shared" si="3"/>
        <v>13697.083333333334</v>
      </c>
    </row>
    <row r="11" spans="1:17" ht="15.75" customHeight="1">
      <c r="A11" s="8" t="s">
        <v>5</v>
      </c>
      <c r="B11" s="9">
        <f t="shared" si="2"/>
        <v>2735500</v>
      </c>
      <c r="C11" s="9">
        <f>SUMIFS('フォームの回答 1'!$E:$E,'フォームの回答 1'!$B:$B,"&gt;="&amp;C1,'フォームの回答 1'!$H:$H,"支出",'フォームの回答 1'!$D:$D,$A11)-SUMIFS('フォームの回答 1'!$E:$E,'フォームの回答 1'!$B:$B,"&gt;"&amp;D1,'フォームの回答 1'!$H:$H,"支出",'フォームの回答 1'!$D:$D,$A11)</f>
        <v>93000</v>
      </c>
      <c r="D11" s="9">
        <f>SUMIFS('フォームの回答 1'!$E:$E,'フォームの回答 1'!$B:$B,"&gt;="&amp;D1,'フォームの回答 1'!$H:$H,"支出",'フォームの回答 1'!$D:$D,$A11)-SUMIFS('フォームの回答 1'!$E:$E,'フォームの回答 1'!$B:$B,"&gt;"&amp;E1,'フォームの回答 1'!$H:$H,"支出",'フォームの回答 1'!$D:$D,$A11)</f>
        <v>93000</v>
      </c>
      <c r="E11" s="9">
        <f>SUMIFS('フォームの回答 1'!$E:$E,'フォームの回答 1'!$B:$B,"&gt;="&amp;E1,'フォームの回答 1'!$H:$H,"支出",'フォームの回答 1'!$D:$D,$A11)-SUMIFS('フォームの回答 1'!$E:$E,'フォームの回答 1'!$B:$B,"&gt;"&amp;F1,'フォームの回答 1'!$H:$H,"支出",'フォームの回答 1'!$D:$D,$A11)</f>
        <v>93000</v>
      </c>
      <c r="F11" s="9">
        <f>SUMIFS('フォームの回答 1'!$E:$E,'フォームの回答 1'!$B:$B,"&gt;="&amp;F1,'フォームの回答 1'!$H:$H,"支出",'フォームの回答 1'!$D:$D,$A11)-SUMIFS('フォームの回答 1'!$E:$E,'フォームの回答 1'!$B:$B,"&gt;"&amp;G1,'フォームの回答 1'!$H:$H,"支出",'フォームの回答 1'!$D:$D,$A11)</f>
        <v>93000</v>
      </c>
      <c r="G11" s="9">
        <f>SUMIFS('フォームの回答 1'!$E:$E,'フォームの回答 1'!$B:$B,"&gt;="&amp;G1,'フォームの回答 1'!$H:$H,"支出",'フォームの回答 1'!$D:$D,$A11)-SUMIFS('フォームの回答 1'!$E:$E,'フォームの回答 1'!$B:$B,"&gt;"&amp;H1,'フォームの回答 1'!$H:$H,"支出",'フォームの回答 1'!$D:$D,$A11)</f>
        <v>93000</v>
      </c>
      <c r="H11" s="9">
        <f>SUMIFS('フォームの回答 1'!$E:$E,'フォームの回答 1'!$B:$B,"&gt;="&amp;H1,'フォームの回答 1'!$H:$H,"支出",'フォームの回答 1'!$D:$D,$A11)-SUMIFS('フォームの回答 1'!$E:$E,'フォームの回答 1'!$B:$B,"&gt;"&amp;I1,'フォームの回答 1'!$H:$H,"支出",'フォームの回答 1'!$D:$D,$A11)</f>
        <v>98000</v>
      </c>
      <c r="I11" s="9">
        <f>SUMIFS('フォームの回答 1'!$E:$E,'フォームの回答 1'!$B:$B,"&gt;="&amp;I1,'フォームの回答 1'!$H:$H,"支出",'フォームの回答 1'!$D:$D,$A11)-SUMIFS('フォームの回答 1'!$E:$E,'フォームの回答 1'!$B:$B,"&gt;"&amp;J1,'フォームの回答 1'!$H:$H,"支出",'フォームの回答 1'!$D:$D,$A11)</f>
        <v>93000</v>
      </c>
      <c r="J11" s="9">
        <f>SUMIFS('フォームの回答 1'!$E:$E,'フォームの回答 1'!$B:$B,"&gt;="&amp;J1,'フォームの回答 1'!$H:$H,"支出",'フォームの回答 1'!$D:$D,$A11)-SUMIFS('フォームの回答 1'!$E:$E,'フォームの回答 1'!$B:$B,"&gt;"&amp;K1,'フォームの回答 1'!$H:$H,"支出",'フォームの回答 1'!$D:$D,$A11)</f>
        <v>93000</v>
      </c>
      <c r="K11" s="9">
        <f>SUMIFS('フォームの回答 1'!$E:$E,'フォームの回答 1'!$B:$B,"&gt;="&amp;K1,'フォームの回答 1'!$H:$H,"支出",'フォームの回答 1'!$D:$D,$A11)-SUMIFS('フォームの回答 1'!$E:$E,'フォームの回答 1'!$B:$B,"&gt;"&amp;L1,'フォームの回答 1'!$H:$H,"支出",'フォームの回答 1'!$D:$D,$A11)</f>
        <v>93000</v>
      </c>
      <c r="L11" s="9">
        <f>SUMIFS('フォームの回答 1'!$E:$E,'フォームの回答 1'!$B:$B,"&gt;="&amp;L1,'フォームの回答 1'!$H:$H,"支出",'フォームの回答 1'!$D:$D,$A11)-SUMIFS('フォームの回答 1'!$E:$E,'フォームの回答 1'!$B:$B,"&gt;"&amp;M1,'フォームの回答 1'!$H:$H,"支出",'フォームの回答 1'!$D:$D,$A11)</f>
        <v>93000</v>
      </c>
      <c r="M11" s="9">
        <f>SUMIFS('フォームの回答 1'!$E:$E,'フォームの回答 1'!$B:$B,"&gt;="&amp;M1,'フォームの回答 1'!$H:$H,"支出",'フォームの回答 1'!$D:$D,$A11)-SUMIFS('フォームの回答 1'!$E:$E,'フォームの回答 1'!$B:$B,"&gt;"&amp;N1,'フォームの回答 1'!$H:$H,"支出",'フォームの回答 1'!$D:$D,$A11)</f>
        <v>93000</v>
      </c>
      <c r="N11" s="9">
        <f>SUMIFS('フォームの回答 1'!$E:$E,'フォームの回答 1'!$B:$B,"&gt;="&amp;N1,'フォームの回答 1'!$H:$H,"支出",'フォームの回答 1'!$D:$D,$A11)-SUMIFS('フォームの回答 1'!$E:$E,'フォームの回答 1'!$B:$B,"&gt;"&amp;O1,'フォームの回答 1'!$H:$H,"支出",'フォームの回答 1'!$D:$D,$A11)</f>
        <v>1707500</v>
      </c>
      <c r="O11" s="1">
        <f t="shared" si="3"/>
        <v>227958.33333333334</v>
      </c>
    </row>
    <row r="12" spans="1:17" ht="15.75" customHeight="1">
      <c r="A12" s="8" t="s">
        <v>43</v>
      </c>
      <c r="B12" s="9">
        <f t="shared" si="2"/>
        <v>23671</v>
      </c>
      <c r="C12" s="9">
        <f>SUMIFS('フォームの回答 1'!$E:$E,'フォームの回答 1'!$B:$B,"&gt;="&amp;C1,'フォームの回答 1'!$H:$H,"支出",'フォームの回答 1'!$D:$D,$A12)-SUMIFS('フォームの回答 1'!$E:$E,'フォームの回答 1'!$B:$B,"&gt;"&amp;D1,'フォームの回答 1'!$H:$H,"支出",'フォームの回答 1'!$D:$D,$A12)</f>
        <v>2136</v>
      </c>
      <c r="D12" s="9">
        <f>SUMIFS('フォームの回答 1'!$E:$E,'フォームの回答 1'!$B:$B,"&gt;="&amp;D1,'フォームの回答 1'!$H:$H,"支出",'フォームの回答 1'!$D:$D,$A12)-SUMIFS('フォームの回答 1'!$E:$E,'フォームの回答 1'!$B:$B,"&gt;"&amp;E1,'フォームの回答 1'!$H:$H,"支出",'フォームの回答 1'!$D:$D,$A12)</f>
        <v>1405</v>
      </c>
      <c r="E12" s="9">
        <f>SUMIFS('フォームの回答 1'!$E:$E,'フォームの回答 1'!$B:$B,"&gt;="&amp;E1,'フォームの回答 1'!$H:$H,"支出",'フォームの回答 1'!$D:$D,$A12)-SUMIFS('フォームの回答 1'!$E:$E,'フォームの回答 1'!$B:$B,"&gt;"&amp;F1,'フォームの回答 1'!$H:$H,"支出",'フォームの回答 1'!$D:$D,$A12)</f>
        <v>1889</v>
      </c>
      <c r="F12" s="9">
        <f>SUMIFS('フォームの回答 1'!$E:$E,'フォームの回答 1'!$B:$B,"&gt;="&amp;F1,'フォームの回答 1'!$H:$H,"支出",'フォームの回答 1'!$D:$D,$A12)-SUMIFS('フォームの回答 1'!$E:$E,'フォームの回答 1'!$B:$B,"&gt;"&amp;G1,'フォームの回答 1'!$H:$H,"支出",'フォームの回答 1'!$D:$D,$A12)</f>
        <v>654</v>
      </c>
      <c r="G12" s="9">
        <f>SUMIFS('フォームの回答 1'!$E:$E,'フォームの回答 1'!$B:$B,"&gt;="&amp;G1,'フォームの回答 1'!$H:$H,"支出",'フォームの回答 1'!$D:$D,$A12)-SUMIFS('フォームの回答 1'!$E:$E,'フォームの回答 1'!$B:$B,"&gt;"&amp;H1,'フォームの回答 1'!$H:$H,"支出",'フォームの回答 1'!$D:$D,$A12)</f>
        <v>632</v>
      </c>
      <c r="H12" s="9">
        <f>SUMIFS('フォームの回答 1'!$E:$E,'フォームの回答 1'!$B:$B,"&gt;="&amp;H1,'フォームの回答 1'!$H:$H,"支出",'フォームの回答 1'!$D:$D,$A12)-SUMIFS('フォームの回答 1'!$E:$E,'フォームの回答 1'!$B:$B,"&gt;"&amp;I1,'フォームの回答 1'!$H:$H,"支出",'フォームの回答 1'!$D:$D,$A12)</f>
        <v>328</v>
      </c>
      <c r="I12" s="9">
        <f>SUMIFS('フォームの回答 1'!$E:$E,'フォームの回答 1'!$B:$B,"&gt;="&amp;I1,'フォームの回答 1'!$H:$H,"支出",'フォームの回答 1'!$D:$D,$A12)-SUMIFS('フォームの回答 1'!$E:$E,'フォームの回答 1'!$B:$B,"&gt;"&amp;J1,'フォームの回答 1'!$H:$H,"支出",'フォームの回答 1'!$D:$D,$A12)</f>
        <v>0</v>
      </c>
      <c r="J12" s="9">
        <f>SUMIFS('フォームの回答 1'!$E:$E,'フォームの回答 1'!$B:$B,"&gt;="&amp;J1,'フォームの回答 1'!$H:$H,"支出",'フォームの回答 1'!$D:$D,$A12)-SUMIFS('フォームの回答 1'!$E:$E,'フォームの回答 1'!$B:$B,"&gt;"&amp;K1,'フォームの回答 1'!$H:$H,"支出",'フォームの回答 1'!$D:$D,$A12)</f>
        <v>0</v>
      </c>
      <c r="K12" s="9">
        <f>SUMIFS('フォームの回答 1'!$E:$E,'フォームの回答 1'!$B:$B,"&gt;="&amp;K1,'フォームの回答 1'!$H:$H,"支出",'フォームの回答 1'!$D:$D,$A12)-SUMIFS('フォームの回答 1'!$E:$E,'フォームの回答 1'!$B:$B,"&gt;"&amp;L1,'フォームの回答 1'!$H:$H,"支出",'フォームの回答 1'!$D:$D,$A12)</f>
        <v>1422</v>
      </c>
      <c r="L12" s="9">
        <f>SUMIFS('フォームの回答 1'!$E:$E,'フォームの回答 1'!$B:$B,"&gt;="&amp;L1,'フォームの回答 1'!$H:$H,"支出",'フォームの回答 1'!$D:$D,$A12)-SUMIFS('フォームの回答 1'!$E:$E,'フォームの回答 1'!$B:$B,"&gt;"&amp;M1,'フォームの回答 1'!$H:$H,"支出",'フォームの回答 1'!$D:$D,$A12)</f>
        <v>870</v>
      </c>
      <c r="M12" s="9">
        <f>SUMIFS('フォームの回答 1'!$E:$E,'フォームの回答 1'!$B:$B,"&gt;="&amp;M1,'フォームの回答 1'!$H:$H,"支出",'フォームの回答 1'!$D:$D,$A12)-SUMIFS('フォームの回答 1'!$E:$E,'フォームの回答 1'!$B:$B,"&gt;"&amp;N1,'フォームの回答 1'!$H:$H,"支出",'フォームの回答 1'!$D:$D,$A12)</f>
        <v>418</v>
      </c>
      <c r="N12" s="9">
        <f>SUMIFS('フォームの回答 1'!$E:$E,'フォームの回答 1'!$B:$B,"&gt;="&amp;N1,'フォームの回答 1'!$H:$H,"支出",'フォームの回答 1'!$D:$D,$A12)-SUMIFS('フォームの回答 1'!$E:$E,'フォームの回答 1'!$B:$B,"&gt;"&amp;O1,'フォームの回答 1'!$H:$H,"支出",'フォームの回答 1'!$D:$D,$A12)</f>
        <v>13917</v>
      </c>
      <c r="O12" s="1">
        <f t="shared" si="3"/>
        <v>1972.5833333333333</v>
      </c>
    </row>
    <row r="13" spans="1:17" ht="15.75" customHeight="1">
      <c r="A13" s="8" t="s">
        <v>44</v>
      </c>
      <c r="B13" s="9">
        <f t="shared" si="2"/>
        <v>84549</v>
      </c>
      <c r="C13" s="9">
        <f>SUMIFS('フォームの回答 1'!$E:$E,'フォームの回答 1'!$B:$B,"&gt;="&amp;C1,'フォームの回答 1'!$H:$H,"支出",'フォームの回答 1'!$D:$D,$A13)-SUMIFS('フォームの回答 1'!$E:$E,'フォームの回答 1'!$B:$B,"&gt;"&amp;D1,'フォームの回答 1'!$H:$H,"支出",'フォームの回答 1'!$D:$D,$A13)</f>
        <v>2170</v>
      </c>
      <c r="D13" s="9">
        <f>SUMIFS('フォームの回答 1'!$E:$E,'フォームの回答 1'!$B:$B,"&gt;="&amp;D1,'フォームの回答 1'!$H:$H,"支出",'フォームの回答 1'!$D:$D,$A13)-SUMIFS('フォームの回答 1'!$E:$E,'フォームの回答 1'!$B:$B,"&gt;"&amp;E1,'フォームの回答 1'!$H:$H,"支出",'フォームの回答 1'!$D:$D,$A13)</f>
        <v>0</v>
      </c>
      <c r="E13" s="9">
        <f>SUMIFS('フォームの回答 1'!$E:$E,'フォームの回答 1'!$B:$B,"&gt;="&amp;E1,'フォームの回答 1'!$H:$H,"支出",'フォームの回答 1'!$D:$D,$A13)-SUMIFS('フォームの回答 1'!$E:$E,'フォームの回答 1'!$B:$B,"&gt;"&amp;F1,'フォームの回答 1'!$H:$H,"支出",'フォームの回答 1'!$D:$D,$A13)</f>
        <v>1470</v>
      </c>
      <c r="F13" s="9">
        <f>SUMIFS('フォームの回答 1'!$E:$E,'フォームの回答 1'!$B:$B,"&gt;="&amp;F1,'フォームの回答 1'!$H:$H,"支出",'フォームの回答 1'!$D:$D,$A13)-SUMIFS('フォームの回答 1'!$E:$E,'フォームの回答 1'!$B:$B,"&gt;"&amp;G1,'フォームの回答 1'!$H:$H,"支出",'フォームの回答 1'!$D:$D,$A13)</f>
        <v>0</v>
      </c>
      <c r="G13" s="9">
        <f>SUMIFS('フォームの回答 1'!$E:$E,'フォームの回答 1'!$B:$B,"&gt;="&amp;G1,'フォームの回答 1'!$H:$H,"支出",'フォームの回答 1'!$D:$D,$A13)-SUMIFS('フォームの回答 1'!$E:$E,'フォームの回答 1'!$B:$B,"&gt;"&amp;H1,'フォームの回答 1'!$H:$H,"支出",'フォームの回答 1'!$D:$D,$A13)</f>
        <v>0</v>
      </c>
      <c r="H13" s="9">
        <f>SUMIFS('フォームの回答 1'!$E:$E,'フォームの回答 1'!$B:$B,"&gt;="&amp;H1,'フォームの回答 1'!$H:$H,"支出",'フォームの回答 1'!$D:$D,$A13)-SUMIFS('フォームの回答 1'!$E:$E,'フォームの回答 1'!$B:$B,"&gt;"&amp;I1,'フォームの回答 1'!$H:$H,"支出",'フォームの回答 1'!$D:$D,$A13)</f>
        <v>4509</v>
      </c>
      <c r="I13" s="9">
        <f>SUMIFS('フォームの回答 1'!$E:$E,'フォームの回答 1'!$B:$B,"&gt;="&amp;I1,'フォームの回答 1'!$H:$H,"支出",'フォームの回答 1'!$D:$D,$A13)-SUMIFS('フォームの回答 1'!$E:$E,'フォームの回答 1'!$B:$B,"&gt;"&amp;J1,'フォームの回答 1'!$H:$H,"支出",'フォームの回答 1'!$D:$D,$A13)</f>
        <v>0</v>
      </c>
      <c r="J13" s="9">
        <f>SUMIFS('フォームの回答 1'!$E:$E,'フォームの回答 1'!$B:$B,"&gt;="&amp;J1,'フォームの回答 1'!$H:$H,"支出",'フォームの回答 1'!$D:$D,$A13)-SUMIFS('フォームの回答 1'!$E:$E,'フォームの回答 1'!$B:$B,"&gt;"&amp;K1,'フォームの回答 1'!$H:$H,"支出",'フォームの回答 1'!$D:$D,$A13)</f>
        <v>2380</v>
      </c>
      <c r="K13" s="9">
        <f>SUMIFS('フォームの回答 1'!$E:$E,'フォームの回答 1'!$B:$B,"&gt;="&amp;K1,'フォームの回答 1'!$H:$H,"支出",'フォームの回答 1'!$D:$D,$A13)-SUMIFS('フォームの回答 1'!$E:$E,'フォームの回答 1'!$B:$B,"&gt;"&amp;L1,'フォームの回答 1'!$H:$H,"支出",'フォームの回答 1'!$D:$D,$A13)</f>
        <v>0</v>
      </c>
      <c r="L13" s="9">
        <f>SUMIFS('フォームの回答 1'!$E:$E,'フォームの回答 1'!$B:$B,"&gt;="&amp;L1,'フォームの回答 1'!$H:$H,"支出",'フォームの回答 1'!$D:$D,$A13)-SUMIFS('フォームの回答 1'!$E:$E,'フォームの回答 1'!$B:$B,"&gt;"&amp;M1,'フォームの回答 1'!$H:$H,"支出",'フォームの回答 1'!$D:$D,$A13)</f>
        <v>0</v>
      </c>
      <c r="M13" s="9">
        <f>SUMIFS('フォームの回答 1'!$E:$E,'フォームの回答 1'!$B:$B,"&gt;="&amp;M1,'フォームの回答 1'!$H:$H,"支出",'フォームの回答 1'!$D:$D,$A13)-SUMIFS('フォームの回答 1'!$E:$E,'フォームの回答 1'!$B:$B,"&gt;"&amp;N1,'フォームの回答 1'!$H:$H,"支出",'フォームの回答 1'!$D:$D,$A13)</f>
        <v>27370</v>
      </c>
      <c r="N13" s="9">
        <f>SUMIFS('フォームの回答 1'!$E:$E,'フォームの回答 1'!$B:$B,"&gt;="&amp;N1,'フォームの回答 1'!$H:$H,"支出",'フォームの回答 1'!$D:$D,$A13)-SUMIFS('フォームの回答 1'!$E:$E,'フォームの回答 1'!$B:$B,"&gt;"&amp;O1,'フォームの回答 1'!$H:$H,"支出",'フォームの回答 1'!$D:$D,$A13)</f>
        <v>46650</v>
      </c>
      <c r="O13" s="1">
        <f t="shared" si="3"/>
        <v>7045.75</v>
      </c>
    </row>
    <row r="14" spans="1:17" ht="15.75" customHeight="1">
      <c r="A14" s="8" t="s">
        <v>45</v>
      </c>
      <c r="B14" s="9">
        <f t="shared" si="2"/>
        <v>1004026</v>
      </c>
      <c r="C14" s="9">
        <f>SUMIFS('フォームの回答 1'!$E:$E,'フォームの回答 1'!$B:$B,"&gt;="&amp;C1,'フォームの回答 1'!$H:$H,"支出",'フォームの回答 1'!$D:$D,$A14)-SUMIFS('フォームの回答 1'!$E:$E,'フォームの回答 1'!$B:$B,"&gt;"&amp;D1,'フォームの回答 1'!$H:$H,"支出",'フォームの回答 1'!$D:$D,$A14)</f>
        <v>13844</v>
      </c>
      <c r="D14" s="9">
        <f>SUMIFS('フォームの回答 1'!$E:$E,'フォームの回答 1'!$B:$B,"&gt;="&amp;D1,'フォームの回答 1'!$H:$H,"支出",'フォームの回答 1'!$D:$D,$A14)-SUMIFS('フォームの回答 1'!$E:$E,'フォームの回答 1'!$B:$B,"&gt;"&amp;E1,'フォームの回答 1'!$H:$H,"支出",'フォームの回答 1'!$D:$D,$A14)</f>
        <v>20250</v>
      </c>
      <c r="E14" s="9">
        <f>SUMIFS('フォームの回答 1'!$E:$E,'フォームの回答 1'!$B:$B,"&gt;="&amp;E1,'フォームの回答 1'!$H:$H,"支出",'フォームの回答 1'!$D:$D,$A14)-SUMIFS('フォームの回答 1'!$E:$E,'フォームの回答 1'!$B:$B,"&gt;"&amp;F1,'フォームの回答 1'!$H:$H,"支出",'フォームの回答 1'!$D:$D,$A14)</f>
        <v>40818</v>
      </c>
      <c r="F14" s="9">
        <f>SUMIFS('フォームの回答 1'!$E:$E,'フォームの回答 1'!$B:$B,"&gt;="&amp;F1,'フォームの回答 1'!$H:$H,"支出",'フォームの回答 1'!$D:$D,$A14)-SUMIFS('フォームの回答 1'!$E:$E,'フォームの回答 1'!$B:$B,"&gt;"&amp;G1,'フォームの回答 1'!$H:$H,"支出",'フォームの回答 1'!$D:$D,$A14)</f>
        <v>48967</v>
      </c>
      <c r="G14" s="9">
        <f>SUMIFS('フォームの回答 1'!$E:$E,'フォームの回答 1'!$B:$B,"&gt;="&amp;G1,'フォームの回答 1'!$H:$H,"支出",'フォームの回答 1'!$D:$D,$A14)-SUMIFS('フォームの回答 1'!$E:$E,'フォームの回答 1'!$B:$B,"&gt;"&amp;H1,'フォームの回答 1'!$H:$H,"支出",'フォームの回答 1'!$D:$D,$A14)</f>
        <v>77772</v>
      </c>
      <c r="H14" s="9">
        <f>SUMIFS('フォームの回答 1'!$E:$E,'フォームの回答 1'!$B:$B,"&gt;="&amp;H1,'フォームの回答 1'!$H:$H,"支出",'フォームの回答 1'!$D:$D,$A14)-SUMIFS('フォームの回答 1'!$E:$E,'フォームの回答 1'!$B:$B,"&gt;"&amp;I1,'フォームの回答 1'!$H:$H,"支出",'フォームの回答 1'!$D:$D,$A14)</f>
        <v>33718</v>
      </c>
      <c r="I14" s="9">
        <f>SUMIFS('フォームの回答 1'!$E:$E,'フォームの回答 1'!$B:$B,"&gt;="&amp;I1,'フォームの回答 1'!$H:$H,"支出",'フォームの回答 1'!$D:$D,$A14)-SUMIFS('フォームの回答 1'!$E:$E,'フォームの回答 1'!$B:$B,"&gt;"&amp;J1,'フォームの回答 1'!$H:$H,"支出",'フォームの回答 1'!$D:$D,$A14)</f>
        <v>23893</v>
      </c>
      <c r="J14" s="9">
        <f>SUMIFS('フォームの回答 1'!$E:$E,'フォームの回答 1'!$B:$B,"&gt;="&amp;J1,'フォームの回答 1'!$H:$H,"支出",'フォームの回答 1'!$D:$D,$A14)-SUMIFS('フォームの回答 1'!$E:$E,'フォームの回答 1'!$B:$B,"&gt;"&amp;K1,'フォームの回答 1'!$H:$H,"支出",'フォームの回答 1'!$D:$D,$A14)</f>
        <v>31742</v>
      </c>
      <c r="K14" s="9">
        <f>SUMIFS('フォームの回答 1'!$E:$E,'フォームの回答 1'!$B:$B,"&gt;="&amp;K1,'フォームの回答 1'!$H:$H,"支出",'フォームの回答 1'!$D:$D,$A14)-SUMIFS('フォームの回答 1'!$E:$E,'フォームの回答 1'!$B:$B,"&gt;"&amp;L1,'フォームの回答 1'!$H:$H,"支出",'フォームの回答 1'!$D:$D,$A14)</f>
        <v>27220</v>
      </c>
      <c r="L14" s="9">
        <f>SUMIFS('フォームの回答 1'!$E:$E,'フォームの回答 1'!$B:$B,"&gt;="&amp;L1,'フォームの回答 1'!$H:$H,"支出",'フォームの回答 1'!$D:$D,$A14)-SUMIFS('フォームの回答 1'!$E:$E,'フォームの回答 1'!$B:$B,"&gt;"&amp;M1,'フォームの回答 1'!$H:$H,"支出",'フォームの回答 1'!$D:$D,$A14)</f>
        <v>30983</v>
      </c>
      <c r="M14" s="9">
        <f>SUMIFS('フォームの回答 1'!$E:$E,'フォームの回答 1'!$B:$B,"&gt;="&amp;M1,'フォームの回答 1'!$H:$H,"支出",'フォームの回答 1'!$D:$D,$A14)-SUMIFS('フォームの回答 1'!$E:$E,'フォームの回答 1'!$B:$B,"&gt;"&amp;N1,'フォームの回答 1'!$H:$H,"支出",'フォームの回答 1'!$D:$D,$A14)</f>
        <v>28563</v>
      </c>
      <c r="N14" s="9">
        <f>SUMIFS('フォームの回答 1'!$E:$E,'フォームの回答 1'!$B:$B,"&gt;="&amp;N1,'フォームの回答 1'!$H:$H,"支出",'フォームの回答 1'!$D:$D,$A14)-SUMIFS('フォームの回答 1'!$E:$E,'フォームの回答 1'!$B:$B,"&gt;"&amp;O1,'フォームの回答 1'!$H:$H,"支出",'フォームの回答 1'!$D:$D,$A14)</f>
        <v>626256</v>
      </c>
      <c r="O14" s="1">
        <f t="shared" si="3"/>
        <v>83668.833333333328</v>
      </c>
    </row>
    <row r="15" spans="1:17" ht="15.75" customHeight="1">
      <c r="A15" s="8" t="s">
        <v>46</v>
      </c>
      <c r="B15" s="9">
        <f t="shared" si="2"/>
        <v>200722</v>
      </c>
      <c r="C15" s="9">
        <f>SUMIFS('フォームの回答 1'!$E:$E,'フォームの回答 1'!$B:$B,"&gt;="&amp;C1,'フォームの回答 1'!$H:$H,"支出",'フォームの回答 1'!$D:$D,$A15)-SUMIFS('フォームの回答 1'!$E:$E,'フォームの回答 1'!$B:$B,"&gt;"&amp;D1,'フォームの回答 1'!$H:$H,"支出",'フォームの回答 1'!$D:$D,$A15)</f>
        <v>12320</v>
      </c>
      <c r="D15" s="9">
        <f>SUMIFS('フォームの回答 1'!$E:$E,'フォームの回答 1'!$B:$B,"&gt;="&amp;D1,'フォームの回答 1'!$H:$H,"支出",'フォームの回答 1'!$D:$D,$A15)-SUMIFS('フォームの回答 1'!$E:$E,'フォームの回答 1'!$B:$B,"&gt;"&amp;E1,'フォームの回答 1'!$H:$H,"支出",'フォームの回答 1'!$D:$D,$A15)</f>
        <v>7375</v>
      </c>
      <c r="E15" s="9">
        <f>SUMIFS('フォームの回答 1'!$E:$E,'フォームの回答 1'!$B:$B,"&gt;="&amp;E1,'フォームの回答 1'!$H:$H,"支出",'フォームの回答 1'!$D:$D,$A15)-SUMIFS('フォームの回答 1'!$E:$E,'フォームの回答 1'!$B:$B,"&gt;"&amp;F1,'フォームの回答 1'!$H:$H,"支出",'フォームの回答 1'!$D:$D,$A15)</f>
        <v>8238</v>
      </c>
      <c r="F15" s="9">
        <f>SUMIFS('フォームの回答 1'!$E:$E,'フォームの回答 1'!$B:$B,"&gt;="&amp;F1,'フォームの回答 1'!$H:$H,"支出",'フォームの回答 1'!$D:$D,$A15)-SUMIFS('フォームの回答 1'!$E:$E,'フォームの回答 1'!$B:$B,"&gt;"&amp;G1,'フォームの回答 1'!$H:$H,"支出",'フォームの回答 1'!$D:$D,$A15)</f>
        <v>10010</v>
      </c>
      <c r="G15" s="9">
        <f>SUMIFS('フォームの回答 1'!$E:$E,'フォームの回答 1'!$B:$B,"&gt;="&amp;G1,'フォームの回答 1'!$H:$H,"支出",'フォームの回答 1'!$D:$D,$A15)-SUMIFS('フォームの回答 1'!$E:$E,'フォームの回答 1'!$B:$B,"&gt;"&amp;H1,'フォームの回答 1'!$H:$H,"支出",'フォームの回答 1'!$D:$D,$A15)</f>
        <v>14599</v>
      </c>
      <c r="H15" s="9">
        <f>SUMIFS('フォームの回答 1'!$E:$E,'フォームの回答 1'!$B:$B,"&gt;="&amp;H1,'フォームの回答 1'!$H:$H,"支出",'フォームの回答 1'!$D:$D,$A15)-SUMIFS('フォームの回答 1'!$E:$E,'フォームの回答 1'!$B:$B,"&gt;"&amp;I1,'フォームの回答 1'!$H:$H,"支出",'フォームの回答 1'!$D:$D,$A15)</f>
        <v>902</v>
      </c>
      <c r="I15" s="9">
        <f>SUMIFS('フォームの回答 1'!$E:$E,'フォームの回答 1'!$B:$B,"&gt;="&amp;I1,'フォームの回答 1'!$H:$H,"支出",'フォームの回答 1'!$D:$D,$A15)-SUMIFS('フォームの回答 1'!$E:$E,'フォームの回答 1'!$B:$B,"&gt;"&amp;J1,'フォームの回答 1'!$H:$H,"支出",'フォームの回答 1'!$D:$D,$A15)</f>
        <v>11099</v>
      </c>
      <c r="J15" s="9">
        <f>SUMIFS('フォームの回答 1'!$E:$E,'フォームの回答 1'!$B:$B,"&gt;="&amp;J1,'フォームの回答 1'!$H:$H,"支出",'フォームの回答 1'!$D:$D,$A15)-SUMIFS('フォームの回答 1'!$E:$E,'フォームの回答 1'!$B:$B,"&gt;"&amp;K1,'フォームの回答 1'!$H:$H,"支出",'フォームの回答 1'!$D:$D,$A15)</f>
        <v>2400</v>
      </c>
      <c r="K15" s="9">
        <f>SUMIFS('フォームの回答 1'!$E:$E,'フォームの回答 1'!$B:$B,"&gt;="&amp;K1,'フォームの回答 1'!$H:$H,"支出",'フォームの回答 1'!$D:$D,$A15)-SUMIFS('フォームの回答 1'!$E:$E,'フォームの回答 1'!$B:$B,"&gt;"&amp;L1,'フォームの回答 1'!$H:$H,"支出",'フォームの回答 1'!$D:$D,$A15)</f>
        <v>4730</v>
      </c>
      <c r="L15" s="9">
        <f>SUMIFS('フォームの回答 1'!$E:$E,'フォームの回答 1'!$B:$B,"&gt;="&amp;L1,'フォームの回答 1'!$H:$H,"支出",'フォームの回答 1'!$D:$D,$A15)-SUMIFS('フォームの回答 1'!$E:$E,'フォームの回答 1'!$B:$B,"&gt;"&amp;M1,'フォームの回答 1'!$H:$H,"支出",'フォームの回答 1'!$D:$D,$A15)</f>
        <v>8283</v>
      </c>
      <c r="M15" s="9">
        <f>SUMIFS('フォームの回答 1'!$E:$E,'フォームの回答 1'!$B:$B,"&gt;="&amp;M1,'フォームの回答 1'!$H:$H,"支出",'フォームの回答 1'!$D:$D,$A15)-SUMIFS('フォームの回答 1'!$E:$E,'フォームの回答 1'!$B:$B,"&gt;"&amp;N1,'フォームの回答 1'!$H:$H,"支出",'フォームの回答 1'!$D:$D,$A15)</f>
        <v>4929</v>
      </c>
      <c r="N15" s="9">
        <f>SUMIFS('フォームの回答 1'!$E:$E,'フォームの回答 1'!$B:$B,"&gt;="&amp;N1,'フォームの回答 1'!$H:$H,"支出",'フォームの回答 1'!$D:$D,$A15)-SUMIFS('フォームの回答 1'!$E:$E,'フォームの回答 1'!$B:$B,"&gt;"&amp;O1,'フォームの回答 1'!$H:$H,"支出",'フォームの回答 1'!$D:$D,$A15)</f>
        <v>115837</v>
      </c>
      <c r="O15" s="1">
        <f t="shared" si="3"/>
        <v>16726.833333333332</v>
      </c>
    </row>
    <row r="16" spans="1:17" ht="15.75" customHeight="1">
      <c r="A16" s="8" t="s">
        <v>47</v>
      </c>
      <c r="B16" s="9">
        <f t="shared" si="2"/>
        <v>2132289</v>
      </c>
      <c r="C16" s="9">
        <f>SUMIFS('フォームの回答 1'!$E:$E,'フォームの回答 1'!$B:$B,"&gt;="&amp;C1,'フォームの回答 1'!$H:$H,"支出",'フォームの回答 1'!$D:$D,$A16)-SUMIFS('フォームの回答 1'!$E:$E,'フォームの回答 1'!$B:$B,"&gt;"&amp;D1,'フォームの回答 1'!$H:$H,"支出",'フォームの回答 1'!$D:$D,$A16)</f>
        <v>148589</v>
      </c>
      <c r="D16" s="9">
        <f>SUMIFS('フォームの回答 1'!$E:$E,'フォームの回答 1'!$B:$B,"&gt;="&amp;D1,'フォームの回答 1'!$H:$H,"支出",'フォームの回答 1'!$D:$D,$A16)-SUMIFS('フォームの回答 1'!$E:$E,'フォームの回答 1'!$B:$B,"&gt;"&amp;E1,'フォームの回答 1'!$H:$H,"支出",'フォームの回答 1'!$D:$D,$A16)</f>
        <v>67000</v>
      </c>
      <c r="E16" s="9">
        <f>SUMIFS('フォームの回答 1'!$E:$E,'フォームの回答 1'!$B:$B,"&gt;="&amp;E1,'フォームの回答 1'!$H:$H,"支出",'フォームの回答 1'!$D:$D,$A16)-SUMIFS('フォームの回答 1'!$E:$E,'フォームの回答 1'!$B:$B,"&gt;"&amp;F1,'フォームの回答 1'!$H:$H,"支出",'フォームの回答 1'!$D:$D,$A16)</f>
        <v>67000</v>
      </c>
      <c r="F16" s="9">
        <f>SUMIFS('フォームの回答 1'!$E:$E,'フォームの回答 1'!$B:$B,"&gt;="&amp;F1,'フォームの回答 1'!$H:$H,"支出",'フォームの回答 1'!$D:$D,$A16)-SUMIFS('フォームの回答 1'!$E:$E,'フォームの回答 1'!$B:$B,"&gt;"&amp;G1,'フォームの回答 1'!$H:$H,"支出",'フォームの回答 1'!$D:$D,$A16)</f>
        <v>67000</v>
      </c>
      <c r="G16" s="9">
        <f>SUMIFS('フォームの回答 1'!$E:$E,'フォームの回答 1'!$B:$B,"&gt;="&amp;G1,'フォームの回答 1'!$H:$H,"支出",'フォームの回答 1'!$D:$D,$A16)-SUMIFS('フォームの回答 1'!$E:$E,'フォームの回答 1'!$B:$B,"&gt;"&amp;H1,'フォームの回答 1'!$H:$H,"支出",'フォームの回答 1'!$D:$D,$A16)</f>
        <v>67000</v>
      </c>
      <c r="H16" s="9">
        <f>SUMIFS('フォームの回答 1'!$E:$E,'フォームの回答 1'!$B:$B,"&gt;="&amp;H1,'フォームの回答 1'!$H:$H,"支出",'フォームの回答 1'!$D:$D,$A16)-SUMIFS('フォームの回答 1'!$E:$E,'フォームの回答 1'!$B:$B,"&gt;"&amp;I1,'フォームの回答 1'!$H:$H,"支出",'フォームの回答 1'!$D:$D,$A16)</f>
        <v>67000</v>
      </c>
      <c r="I16" s="9">
        <f>SUMIFS('フォームの回答 1'!$E:$E,'フォームの回答 1'!$B:$B,"&gt;="&amp;I1,'フォームの回答 1'!$H:$H,"支出",'フォームの回答 1'!$D:$D,$A16)-SUMIFS('フォームの回答 1'!$E:$E,'フォームの回答 1'!$B:$B,"&gt;"&amp;J1,'フォームの回答 1'!$H:$H,"支出",'フォームの回答 1'!$D:$D,$A16)</f>
        <v>68500</v>
      </c>
      <c r="J16" s="9">
        <f>SUMIFS('フォームの回答 1'!$E:$E,'フォームの回答 1'!$B:$B,"&gt;="&amp;J1,'フォームの回答 1'!$H:$H,"支出",'フォームの回答 1'!$D:$D,$A16)-SUMIFS('フォームの回答 1'!$E:$E,'フォームの回答 1'!$B:$B,"&gt;"&amp;K1,'フォームの回答 1'!$H:$H,"支出",'フォームの回答 1'!$D:$D,$A16)</f>
        <v>67000</v>
      </c>
      <c r="K16" s="9">
        <f>SUMIFS('フォームの回答 1'!$E:$E,'フォームの回答 1'!$B:$B,"&gt;="&amp;K1,'フォームの回答 1'!$H:$H,"支出",'フォームの回答 1'!$D:$D,$A16)-SUMIFS('フォームの回答 1'!$E:$E,'フォームの回答 1'!$B:$B,"&gt;"&amp;L1,'フォームの回答 1'!$H:$H,"支出",'フォームの回答 1'!$D:$D,$A16)</f>
        <v>67000</v>
      </c>
      <c r="L16" s="9">
        <f>SUMIFS('フォームの回答 1'!$E:$E,'フォームの回答 1'!$B:$B,"&gt;="&amp;L1,'フォームの回答 1'!$H:$H,"支出",'フォームの回答 1'!$D:$D,$A16)-SUMIFS('フォームの回答 1'!$E:$E,'フォームの回答 1'!$B:$B,"&gt;"&amp;M1,'フォームの回答 1'!$H:$H,"支出",'フォームの回答 1'!$D:$D,$A16)</f>
        <v>67000</v>
      </c>
      <c r="M16" s="9">
        <f>SUMIFS('フォームの回答 1'!$E:$E,'フォームの回答 1'!$B:$B,"&gt;="&amp;M1,'フォームの回答 1'!$H:$H,"支出",'フォームの回答 1'!$D:$D,$A16)-SUMIFS('フォームの回答 1'!$E:$E,'フォームの回答 1'!$B:$B,"&gt;"&amp;N1,'フォームの回答 1'!$H:$H,"支出",'フォームの回答 1'!$D:$D,$A16)</f>
        <v>67000</v>
      </c>
      <c r="N16" s="9">
        <f>SUMIFS('フォームの回答 1'!$E:$E,'フォームの回答 1'!$B:$B,"&gt;="&amp;N1,'フォームの回答 1'!$H:$H,"支出",'フォームの回答 1'!$D:$D,$A16)-SUMIFS('フォームの回答 1'!$E:$E,'フォームの回答 1'!$B:$B,"&gt;"&amp;O1,'フォームの回答 1'!$H:$H,"支出",'フォームの回答 1'!$D:$D,$A16)</f>
        <v>1312200</v>
      </c>
      <c r="O16" s="1">
        <f t="shared" si="3"/>
        <v>177690.75</v>
      </c>
    </row>
    <row r="17" spans="1:15" ht="15.75" customHeight="1">
      <c r="A17" s="8" t="s">
        <v>48</v>
      </c>
      <c r="B17" s="9">
        <f t="shared" si="2"/>
        <v>160747</v>
      </c>
      <c r="C17" s="9">
        <f>SUMIFS('フォームの回答 1'!$E:$E,'フォームの回答 1'!$B:$B,"&gt;="&amp;C1,'フォームの回答 1'!$H:$H,"支出",'フォームの回答 1'!$D:$D,$A17)-SUMIFS('フォームの回答 1'!$E:$E,'フォームの回答 1'!$B:$B,"&gt;"&amp;D1,'フォームの回答 1'!$H:$H,"支出",'フォームの回答 1'!$D:$D,$A17)</f>
        <v>2060</v>
      </c>
      <c r="D17" s="9">
        <f>SUMIFS('フォームの回答 1'!$E:$E,'フォームの回答 1'!$B:$B,"&gt;="&amp;D1,'フォームの回答 1'!$H:$H,"支出",'フォームの回答 1'!$D:$D,$A17)-SUMIFS('フォームの回答 1'!$E:$E,'フォームの回答 1'!$B:$B,"&gt;"&amp;E1,'フォームの回答 1'!$H:$H,"支出",'フォームの回答 1'!$D:$D,$A17)</f>
        <v>880</v>
      </c>
      <c r="E17" s="9">
        <f>SUMIFS('フォームの回答 1'!$E:$E,'フォームの回答 1'!$B:$B,"&gt;="&amp;E1,'フォームの回答 1'!$H:$H,"支出",'フォームの回答 1'!$D:$D,$A17)-SUMIFS('フォームの回答 1'!$E:$E,'フォームの回答 1'!$B:$B,"&gt;"&amp;F1,'フォームの回答 1'!$H:$H,"支出",'フォームの回答 1'!$D:$D,$A17)</f>
        <v>2060</v>
      </c>
      <c r="F17" s="9">
        <f>SUMIFS('フォームの回答 1'!$E:$E,'フォームの回答 1'!$B:$B,"&gt;="&amp;F1,'フォームの回答 1'!$H:$H,"支出",'フォームの回答 1'!$D:$D,$A17)-SUMIFS('フォームの回答 1'!$E:$E,'フォームの回答 1'!$B:$B,"&gt;"&amp;G1,'フォームの回答 1'!$H:$H,"支出",'フォームの回答 1'!$D:$D,$A17)</f>
        <v>2060</v>
      </c>
      <c r="G17" s="9">
        <f>SUMIFS('フォームの回答 1'!$E:$E,'フォームの回答 1'!$B:$B,"&gt;="&amp;G1,'フォームの回答 1'!$H:$H,"支出",'フォームの回答 1'!$D:$D,$A17)-SUMIFS('フォームの回答 1'!$E:$E,'フォームの回答 1'!$B:$B,"&gt;"&amp;H1,'フォームの回答 1'!$H:$H,"支出",'フォームの回答 1'!$D:$D,$A17)</f>
        <v>4076</v>
      </c>
      <c r="H17" s="9">
        <f>SUMIFS('フォームの回答 1'!$E:$E,'フォームの回答 1'!$B:$B,"&gt;="&amp;H1,'フォームの回答 1'!$H:$H,"支出",'フォームの回答 1'!$D:$D,$A17)-SUMIFS('フォームの回答 1'!$E:$E,'フォームの回答 1'!$B:$B,"&gt;"&amp;I1,'フォームの回答 1'!$H:$H,"支出",'フォームの回答 1'!$D:$D,$A17)</f>
        <v>4097</v>
      </c>
      <c r="I17" s="9">
        <f>SUMIFS('フォームの回答 1'!$E:$E,'フォームの回答 1'!$B:$B,"&gt;="&amp;I1,'フォームの回答 1'!$H:$H,"支出",'フォームの回答 1'!$D:$D,$A17)-SUMIFS('フォームの回答 1'!$E:$E,'フォームの回答 1'!$B:$B,"&gt;"&amp;J1,'フォームの回答 1'!$H:$H,"支出",'フォームの回答 1'!$D:$D,$A17)</f>
        <v>4269</v>
      </c>
      <c r="J17" s="9">
        <f>SUMIFS('フォームの回答 1'!$E:$E,'フォームの回答 1'!$B:$B,"&gt;="&amp;J1,'フォームの回答 1'!$H:$H,"支出",'フォームの回答 1'!$D:$D,$A17)-SUMIFS('フォームの回答 1'!$E:$E,'フォームの回答 1'!$B:$B,"&gt;"&amp;K1,'フォームの回答 1'!$H:$H,"支出",'フォームの回答 1'!$D:$D,$A17)</f>
        <v>3905</v>
      </c>
      <c r="K17" s="9">
        <f>SUMIFS('フォームの回答 1'!$E:$E,'フォームの回答 1'!$B:$B,"&gt;="&amp;K1,'フォームの回答 1'!$H:$H,"支出",'フォームの回答 1'!$D:$D,$A17)-SUMIFS('フォームの回答 1'!$E:$E,'フォームの回答 1'!$B:$B,"&gt;"&amp;L1,'フォームの回答 1'!$H:$H,"支出",'フォームの回答 1'!$D:$D,$A17)</f>
        <v>12930</v>
      </c>
      <c r="L17" s="9">
        <f>SUMIFS('フォームの回答 1'!$E:$E,'フォームの回答 1'!$B:$B,"&gt;="&amp;L1,'フォームの回答 1'!$H:$H,"支出",'フォームの回答 1'!$D:$D,$A17)-SUMIFS('フォームの回答 1'!$E:$E,'フォームの回答 1'!$B:$B,"&gt;"&amp;M1,'フォームの回答 1'!$H:$H,"支出",'フォームの回答 1'!$D:$D,$A17)</f>
        <v>7642</v>
      </c>
      <c r="M17" s="9">
        <f>SUMIFS('フォームの回答 1'!$E:$E,'フォームの回答 1'!$B:$B,"&gt;="&amp;M1,'フォームの回答 1'!$H:$H,"支出",'フォームの回答 1'!$D:$D,$A17)-SUMIFS('フォームの回答 1'!$E:$E,'フォームの回答 1'!$B:$B,"&gt;"&amp;N1,'フォームの回答 1'!$H:$H,"支出",'フォームの回答 1'!$D:$D,$A17)</f>
        <v>4191</v>
      </c>
      <c r="N17" s="9">
        <f>SUMIFS('フォームの回答 1'!$E:$E,'フォームの回答 1'!$B:$B,"&gt;="&amp;N1,'フォームの回答 1'!$H:$H,"支出",'フォームの回答 1'!$D:$D,$A17)-SUMIFS('フォームの回答 1'!$E:$E,'フォームの回答 1'!$B:$B,"&gt;"&amp;O1,'フォームの回答 1'!$H:$H,"支出",'フォームの回答 1'!$D:$D,$A17)</f>
        <v>112577</v>
      </c>
      <c r="O17" s="1">
        <f t="shared" si="3"/>
        <v>13395.583333333334</v>
      </c>
    </row>
    <row r="18" spans="1:15" ht="15.75" customHeight="1">
      <c r="A18" s="8" t="s">
        <v>49</v>
      </c>
      <c r="B18" s="9">
        <f t="shared" si="2"/>
        <v>226758</v>
      </c>
      <c r="C18" s="9">
        <f>SUMIFS('フォームの回答 1'!$E:$E,'フォームの回答 1'!$B:$B,"&gt;="&amp;C1,'フォームの回答 1'!$H:$H,"支出",'フォームの回答 1'!$D:$D,$A18)-SUMIFS('フォームの回答 1'!$E:$E,'フォームの回答 1'!$B:$B,"&gt;"&amp;D1,'フォームの回答 1'!$H:$H,"支出",'フォームの回答 1'!$D:$D,$A18)</f>
        <v>7480</v>
      </c>
      <c r="D18" s="9">
        <f>SUMIFS('フォームの回答 1'!$E:$E,'フォームの回答 1'!$B:$B,"&gt;="&amp;D1,'フォームの回答 1'!$H:$H,"支出",'フォームの回答 1'!$D:$D,$A18)-SUMIFS('フォームの回答 1'!$E:$E,'フォームの回答 1'!$B:$B,"&gt;"&amp;E1,'フォームの回答 1'!$H:$H,"支出",'フォームの回答 1'!$D:$D,$A18)</f>
        <v>7480</v>
      </c>
      <c r="E18" s="9">
        <f>SUMIFS('フォームの回答 1'!$E:$E,'フォームの回答 1'!$B:$B,"&gt;="&amp;E1,'フォームの回答 1'!$H:$H,"支出",'フォームの回答 1'!$D:$D,$A18)-SUMIFS('フォームの回答 1'!$E:$E,'フォームの回答 1'!$B:$B,"&gt;"&amp;F1,'フォームの回答 1'!$H:$H,"支出",'フォームの回答 1'!$D:$D,$A18)</f>
        <v>7480</v>
      </c>
      <c r="F18" s="9">
        <f>SUMIFS('フォームの回答 1'!$E:$E,'フォームの回答 1'!$B:$B,"&gt;="&amp;F1,'フォームの回答 1'!$H:$H,"支出",'フォームの回答 1'!$D:$D,$A18)-SUMIFS('フォームの回答 1'!$E:$E,'フォームの回答 1'!$B:$B,"&gt;"&amp;G1,'フォームの回答 1'!$H:$H,"支出",'フォームの回答 1'!$D:$D,$A18)</f>
        <v>8880</v>
      </c>
      <c r="G18" s="9">
        <f>SUMIFS('フォームの回答 1'!$E:$E,'フォームの回答 1'!$B:$B,"&gt;="&amp;G1,'フォームの回答 1'!$H:$H,"支出",'フォームの回答 1'!$D:$D,$A18)-SUMIFS('フォームの回答 1'!$E:$E,'フォームの回答 1'!$B:$B,"&gt;"&amp;H1,'フォームの回答 1'!$H:$H,"支出",'フォームの回答 1'!$D:$D,$A18)</f>
        <v>11420</v>
      </c>
      <c r="H18" s="9">
        <f>SUMIFS('フォームの回答 1'!$E:$E,'フォームの回答 1'!$B:$B,"&gt;="&amp;H1,'フォームの回答 1'!$H:$H,"支出",'フォームの回答 1'!$D:$D,$A18)-SUMIFS('フォームの回答 1'!$E:$E,'フォームの回答 1'!$B:$B,"&gt;"&amp;I1,'フォームの回答 1'!$H:$H,"支出",'フォームの回答 1'!$D:$D,$A18)</f>
        <v>7480</v>
      </c>
      <c r="I18" s="9">
        <f>SUMIFS('フォームの回答 1'!$E:$E,'フォームの回答 1'!$B:$B,"&gt;="&amp;I1,'フォームの回答 1'!$H:$H,"支出",'フォームの回答 1'!$D:$D,$A18)-SUMIFS('フォームの回答 1'!$E:$E,'フォームの回答 1'!$B:$B,"&gt;"&amp;J1,'フォームの回答 1'!$H:$H,"支出",'フォームの回答 1'!$D:$D,$A18)</f>
        <v>7480</v>
      </c>
      <c r="J18" s="9">
        <f>SUMIFS('フォームの回答 1'!$E:$E,'フォームの回答 1'!$B:$B,"&gt;="&amp;J1,'フォームの回答 1'!$H:$H,"支出",'フォームの回答 1'!$D:$D,$A18)-SUMIFS('フォームの回答 1'!$E:$E,'フォームの回答 1'!$B:$B,"&gt;"&amp;K1,'フォームの回答 1'!$H:$H,"支出",'フォームの回答 1'!$D:$D,$A18)</f>
        <v>8880</v>
      </c>
      <c r="K18" s="9">
        <f>SUMIFS('フォームの回答 1'!$E:$E,'フォームの回答 1'!$B:$B,"&gt;="&amp;K1,'フォームの回答 1'!$H:$H,"支出",'フォームの回答 1'!$D:$D,$A18)-SUMIFS('フォームの回答 1'!$E:$E,'フォームの回答 1'!$B:$B,"&gt;"&amp;L1,'フォームの回答 1'!$H:$H,"支出",'フォームの回答 1'!$D:$D,$A18)</f>
        <v>9980</v>
      </c>
      <c r="L18" s="9">
        <f>SUMIFS('フォームの回答 1'!$E:$E,'フォームの回答 1'!$B:$B,"&gt;="&amp;L1,'フォームの回答 1'!$H:$H,"支出",'フォームの回答 1'!$D:$D,$A18)-SUMIFS('フォームの回答 1'!$E:$E,'フォームの回答 1'!$B:$B,"&gt;"&amp;M1,'フォームの回答 1'!$H:$H,"支出",'フォームの回答 1'!$D:$D,$A18)</f>
        <v>14960</v>
      </c>
      <c r="M18" s="9">
        <f>SUMIFS('フォームの回答 1'!$E:$E,'フォームの回答 1'!$B:$B,"&gt;="&amp;M1,'フォームの回答 1'!$H:$H,"支出",'フォームの回答 1'!$D:$D,$A18)-SUMIFS('フォームの回答 1'!$E:$E,'フォームの回答 1'!$B:$B,"&gt;"&amp;N1,'フォームの回答 1'!$H:$H,"支出",'フォームの回答 1'!$D:$D,$A18)</f>
        <v>7500</v>
      </c>
      <c r="N18" s="9">
        <f>SUMIFS('フォームの回答 1'!$E:$E,'フォームの回答 1'!$B:$B,"&gt;="&amp;N1,'フォームの回答 1'!$H:$H,"支出",'フォームの回答 1'!$D:$D,$A18)-SUMIFS('フォームの回答 1'!$E:$E,'フォームの回答 1'!$B:$B,"&gt;"&amp;O1,'フォームの回答 1'!$H:$H,"支出",'フォームの回答 1'!$D:$D,$A18)</f>
        <v>127738</v>
      </c>
      <c r="O18" s="1">
        <f t="shared" si="3"/>
        <v>18896.5</v>
      </c>
    </row>
    <row r="19" spans="1:15" ht="15.75" customHeight="1">
      <c r="C19" s="1"/>
    </row>
  </sheetData>
  <mergeCells count="1">
    <mergeCell ref="B5:N5"/>
  </mergeCells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19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cols>
    <col min="1" max="1" width="20.1640625" customWidth="1"/>
  </cols>
  <sheetData>
    <row r="1" spans="1:14" ht="15.75" customHeight="1">
      <c r="A1" s="3"/>
      <c r="B1" s="4" t="s">
        <v>33</v>
      </c>
      <c r="C1" s="5">
        <v>45658</v>
      </c>
      <c r="D1" s="5">
        <v>45689</v>
      </c>
      <c r="E1" s="5">
        <v>45717</v>
      </c>
      <c r="F1" s="5">
        <v>45748</v>
      </c>
      <c r="G1" s="5">
        <v>45778</v>
      </c>
      <c r="H1" s="5">
        <v>45809</v>
      </c>
      <c r="I1" s="5">
        <v>45839</v>
      </c>
      <c r="J1" s="5">
        <v>45870</v>
      </c>
      <c r="K1" s="5">
        <v>45901</v>
      </c>
      <c r="L1" s="5">
        <v>45931</v>
      </c>
      <c r="M1" s="5">
        <v>45962</v>
      </c>
      <c r="N1" s="5">
        <v>45992</v>
      </c>
    </row>
    <row r="2" spans="1:14" ht="15.75" customHeight="1">
      <c r="A2" s="8" t="s">
        <v>34</v>
      </c>
      <c r="B2" s="9">
        <f t="shared" ref="B2:B4" si="0">SUM(C2:H2)</f>
        <v>2435991</v>
      </c>
      <c r="C2" s="9">
        <f>SUMIFS('フォームの回答 1'!$E:$E,'フォームの回答 1'!$B:$B,"&gt;="&amp;C1,'フォームの回答 1'!$H:$H,"収入")-SUMIFS('フォームの回答 1'!$E:$E,'フォームの回答 1'!$B:$B,"&gt;"&amp;D1,'フォームの回答 1'!$H:$H,"収入")</f>
        <v>386393</v>
      </c>
      <c r="D2" s="9">
        <f>SUMIFS('フォームの回答 1'!$E:$E,'フォームの回答 1'!$B:$B,"&gt;="&amp;D1,'フォームの回答 1'!$H:$H,"収入")-SUMIFS('フォームの回答 1'!$E:$E,'フォームの回答 1'!$B:$B,"&gt;"&amp;E1,'フォームの回答 1'!$H:$H,"収入")</f>
        <v>413503</v>
      </c>
      <c r="E2" s="9">
        <f>SUMIFS('フォームの回答 1'!$E:$E,'フォームの回答 1'!$B:$B,"&gt;="&amp;E1,'フォームの回答 1'!$H:$H,"収入")-SUMIFS('フォームの回答 1'!$E:$E,'フォームの回答 1'!$B:$B,"&gt;"&amp;F1,'フォームの回答 1'!$H:$H,"収入")</f>
        <v>427908</v>
      </c>
      <c r="F2" s="9">
        <f>SUMIFS('フォームの回答 1'!$E:$E,'フォームの回答 1'!$B:$B,"&gt;="&amp;F1,'フォームの回答 1'!$H:$H,"収入")-SUMIFS('フォームの回答 1'!$E:$E,'フォームの回答 1'!$B:$B,"&gt;"&amp;G1,'フォームの回答 1'!$H:$H,"収入")</f>
        <v>426469</v>
      </c>
      <c r="G2" s="9">
        <f>SUMIFS('フォームの回答 1'!$E:$E,'フォームの回答 1'!$B:$B,"&gt;="&amp;G1,'フォームの回答 1'!$H:$H,"収入")-SUMIFS('フォームの回答 1'!$E:$E,'フォームの回答 1'!$B:$B,"&gt;"&amp;H1,'フォームの回答 1'!$H:$H,"収入")</f>
        <v>395695</v>
      </c>
      <c r="H2" s="9">
        <f>SUMIFS('フォームの回答 1'!$E:$E,'フォームの回答 1'!$B:$B,"&gt;="&amp;H1,'フォームの回答 1'!$H:$H,"収入")-SUMIFS('フォームの回答 1'!$E:$E,'フォームの回答 1'!$B:$B,"&gt;"&amp;I1,'フォームの回答 1'!$H:$H,"収入")</f>
        <v>386023</v>
      </c>
      <c r="I2" s="9">
        <f>SUMIFS('フォームの回答 1'!$E:$E,'フォームの回答 1'!$B:$B,"&gt;="&amp;I1,'フォームの回答 1'!$H:$H,"収入")-SUMIFS('フォームの回答 1'!$E:$E,'フォームの回答 1'!$B:$B,"&gt;"&amp;J1,'フォームの回答 1'!$H:$H,"収入")</f>
        <v>525773</v>
      </c>
      <c r="J2" s="9">
        <f>SUMIFS('フォームの回答 1'!$E:$E,'フォームの回答 1'!$B:$B,"&gt;="&amp;J1,'フォームの回答 1'!$H:$H,"収入")-SUMIFS('フォームの回答 1'!$E:$E,'フォームの回答 1'!$B:$B,"&gt;"&amp;K1,'フォームの回答 1'!$H:$H,"収入")</f>
        <v>403616</v>
      </c>
      <c r="K2" s="9">
        <f>SUMIFS('フォームの回答 1'!$E:$E,'フォームの回答 1'!$B:$B,"&gt;="&amp;K1,'フォームの回答 1'!$H:$H,"収入")-SUMIFS('フォームの回答 1'!$E:$E,'フォームの回答 1'!$B:$B,"&gt;"&amp;L1,'フォームの回答 1'!$H:$H,"収入")</f>
        <v>413811</v>
      </c>
      <c r="L2" s="9">
        <f>SUMIFS('フォームの回答 1'!$E:$E,'フォームの回答 1'!$B:$B,"&gt;="&amp;L1,'フォームの回答 1'!$H:$H,"収入")-SUMIFS('フォームの回答 1'!$E:$E,'フォームの回答 1'!$B:$B,"&gt;"&amp;M1,'フォームの回答 1'!$H:$H,"収入")</f>
        <v>488523</v>
      </c>
      <c r="M2" s="9">
        <f>SUMIFS('フォームの回答 1'!$E:$E,'フォームの回答 1'!$B:$B,"&gt;="&amp;M1,'フォームの回答 1'!$H:$H,"収入")-SUMIFS('フォームの回答 1'!$E:$E,'フォームの回答 1'!$B:$B,"&gt;"&amp;N1,'フォームの回答 1'!$H:$H,"収入")</f>
        <v>594395</v>
      </c>
      <c r="N2" s="9">
        <f>SUMIFS('フォームの回答 1'!$E:$E,'フォームの回答 1'!$B:$B,"&gt;="&amp;N1,'フォームの回答 1'!$H:$H,"収入")-SUMIFS('フォームの回答 1'!$E:$E,'フォームの回答 1'!$B:$B,"&gt;"&amp;O1,'フォームの回答 1'!$H:$H,"収入")</f>
        <v>2174466</v>
      </c>
    </row>
    <row r="3" spans="1:14" ht="15.75" customHeight="1">
      <c r="A3" s="8" t="s">
        <v>35</v>
      </c>
      <c r="B3" s="9">
        <f t="shared" si="0"/>
        <v>2706670</v>
      </c>
      <c r="C3" s="9">
        <f>SUMIFS('フォームの回答 1'!$E:$E,'フォームの回答 1'!$B:$B,"&gt;="&amp;C1,'フォームの回答 1'!$H:$H,"支出")-SUMIFS('フォームの回答 1'!$E:$E,'フォームの回答 1'!$B:$B,"&gt;"&amp;D1,'フォームの回答 1'!$H:$H,"支出")</f>
        <v>425964</v>
      </c>
      <c r="D3" s="9">
        <f>SUMIFS('フォームの回答 1'!$E:$E,'フォームの回答 1'!$B:$B,"&gt;="&amp;D1,'フォームの回答 1'!$H:$H,"支出")-SUMIFS('フォームの回答 1'!$E:$E,'フォームの回答 1'!$B:$B,"&gt;"&amp;E1,'フォームの回答 1'!$H:$H,"支出")</f>
        <v>396721</v>
      </c>
      <c r="E3" s="9">
        <f>SUMIFS('フォームの回答 1'!$E:$E,'フォームの回答 1'!$B:$B,"&gt;="&amp;E1,'フォームの回答 1'!$H:$H,"支出")-SUMIFS('フォームの回答 1'!$E:$E,'フォームの回答 1'!$B:$B,"&gt;"&amp;F1,'フォームの回答 1'!$H:$H,"支出")</f>
        <v>375567</v>
      </c>
      <c r="F3" s="9">
        <f>SUMIFS('フォームの回答 1'!$E:$E,'フォームの回答 1'!$B:$B,"&gt;="&amp;F1,'フォームの回答 1'!$H:$H,"支出")-SUMIFS('フォームの回答 1'!$E:$E,'フォームの回答 1'!$B:$B,"&gt;"&amp;G1,'フォームの回答 1'!$H:$H,"支出")</f>
        <v>423153</v>
      </c>
      <c r="G3" s="9">
        <f>SUMIFS('フォームの回答 1'!$E:$E,'フォームの回答 1'!$B:$B,"&gt;="&amp;G1,'フォームの回答 1'!$H:$H,"支出")-SUMIFS('フォームの回答 1'!$E:$E,'フォームの回答 1'!$B:$B,"&gt;"&amp;H1,'フォームの回答 1'!$H:$H,"支出")</f>
        <v>572535</v>
      </c>
      <c r="H3" s="9">
        <f>SUMIFS('フォームの回答 1'!$E:$E,'フォームの回答 1'!$B:$B,"&gt;="&amp;H1,'フォームの回答 1'!$H:$H,"支出")-SUMIFS('フォームの回答 1'!$E:$E,'フォームの回答 1'!$B:$B,"&gt;"&amp;I1,'フォームの回答 1'!$H:$H,"支出")</f>
        <v>512730</v>
      </c>
      <c r="I3" s="9">
        <f>SUMIFS('フォームの回答 1'!$E:$E,'フォームの回答 1'!$B:$B,"&gt;="&amp;I1,'フォームの回答 1'!$H:$H,"支出")-SUMIFS('フォームの回答 1'!$E:$E,'フォームの回答 1'!$B:$B,"&gt;"&amp;J1,'フォームの回答 1'!$H:$H,"支出")</f>
        <v>440281</v>
      </c>
      <c r="J3" s="9">
        <f>SUMIFS('フォームの回答 1'!$E:$E,'フォームの回答 1'!$B:$B,"&gt;="&amp;J1,'フォームの回答 1'!$H:$H,"支出")-SUMIFS('フォームの回答 1'!$E:$E,'フォームの回答 1'!$B:$B,"&gt;"&amp;K1,'フォームの回答 1'!$H:$H,"支出")</f>
        <v>432558</v>
      </c>
      <c r="K3" s="9">
        <f>SUMIFS('フォームの回答 1'!$E:$E,'フォームの回答 1'!$B:$B,"&gt;="&amp;K1,'フォームの回答 1'!$H:$H,"支出")-SUMIFS('フォームの回答 1'!$E:$E,'フォームの回答 1'!$B:$B,"&gt;"&amp;L1,'フォームの回答 1'!$H:$H,"支出")</f>
        <v>432511</v>
      </c>
      <c r="L3" s="9">
        <f>SUMIFS('フォームの回答 1'!$E:$E,'フォームの回答 1'!$B:$B,"&gt;="&amp;L1,'フォームの回答 1'!$H:$H,"支出")-SUMIFS('フォームの回答 1'!$E:$E,'フォームの回答 1'!$B:$B,"&gt;"&amp;M1,'フォームの回答 1'!$H:$H,"支出")</f>
        <v>513040</v>
      </c>
      <c r="M3" s="9">
        <f>SUMIFS('フォームの回答 1'!$E:$E,'フォームの回答 1'!$B:$B,"&gt;="&amp;M1,'フォームの回答 1'!$H:$H,"支出")-SUMIFS('フォームの回答 1'!$E:$E,'フォームの回答 1'!$B:$B,"&gt;"&amp;N1,'フォームの回答 1'!$H:$H,"支出")</f>
        <v>441785</v>
      </c>
      <c r="N3" s="9">
        <f>SUMIFS('フォームの回答 1'!$E:$E,'フォームの回答 1'!$B:$B,"&gt;="&amp;N1,'フォームの回答 1'!$H:$H,"支出")-SUMIFS('フォームの回答 1'!$E:$E,'フォームの回答 1'!$B:$B,"&gt;"&amp;O1,'フォームの回答 1'!$H:$H,"支出")</f>
        <v>2304517</v>
      </c>
    </row>
    <row r="4" spans="1:14" ht="15.75" customHeight="1">
      <c r="A4" s="8" t="s">
        <v>36</v>
      </c>
      <c r="B4" s="9">
        <f t="shared" si="0"/>
        <v>-270679</v>
      </c>
      <c r="C4" s="9">
        <f t="shared" ref="C4:N4" si="1">C2-C3</f>
        <v>-39571</v>
      </c>
      <c r="D4" s="9">
        <f t="shared" si="1"/>
        <v>16782</v>
      </c>
      <c r="E4" s="9">
        <f t="shared" si="1"/>
        <v>52341</v>
      </c>
      <c r="F4" s="9">
        <f t="shared" si="1"/>
        <v>3316</v>
      </c>
      <c r="G4" s="9">
        <f t="shared" si="1"/>
        <v>-176840</v>
      </c>
      <c r="H4" s="9">
        <f t="shared" si="1"/>
        <v>-126707</v>
      </c>
      <c r="I4" s="9">
        <f t="shared" si="1"/>
        <v>85492</v>
      </c>
      <c r="J4" s="9">
        <f t="shared" si="1"/>
        <v>-28942</v>
      </c>
      <c r="K4" s="9">
        <f t="shared" si="1"/>
        <v>-18700</v>
      </c>
      <c r="L4" s="9">
        <f t="shared" si="1"/>
        <v>-24517</v>
      </c>
      <c r="M4" s="9">
        <f t="shared" si="1"/>
        <v>152610</v>
      </c>
      <c r="N4" s="9">
        <f t="shared" si="1"/>
        <v>-130051</v>
      </c>
    </row>
    <row r="5" spans="1:14" ht="15.75" customHeight="1">
      <c r="A5" s="10"/>
      <c r="B5" s="17" t="s">
        <v>37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9"/>
    </row>
    <row r="6" spans="1:14" ht="15.75" customHeight="1">
      <c r="A6" s="8" t="s">
        <v>38</v>
      </c>
      <c r="B6" s="9">
        <f t="shared" ref="B6:B18" si="2">SUM(C6:I6)</f>
        <v>283870</v>
      </c>
      <c r="C6" s="9">
        <f>SUMIFS('フォームの回答 1'!$E:$E,'フォームの回答 1'!$B:$B,"&gt;="&amp;C1,'フォームの回答 1'!$H:$H,"支出",'フォームの回答 1'!$D:$D,$A6)-SUMIFS('フォームの回答 1'!$E:$E,'フォームの回答 1'!$B:$B,"&gt;"&amp;D1,'フォームの回答 1'!$H:$H,"支出",'フォームの回答 1'!$D:$D,$A6)</f>
        <v>41207</v>
      </c>
      <c r="D6" s="9">
        <f>SUMIFS('フォームの回答 1'!$E:$E,'フォームの回答 1'!$B:$B,"&gt;="&amp;D1,'フォームの回答 1'!$H:$H,"支出",'フォームの回答 1'!$D:$D,$A6)-SUMIFS('フォームの回答 1'!$E:$E,'フォームの回答 1'!$B:$B,"&gt;"&amp;E1,'フォームの回答 1'!$H:$H,"支出",'フォームの回答 1'!$D:$D,$A6)</f>
        <v>28100</v>
      </c>
      <c r="E6" s="9">
        <f>SUMIFS('フォームの回答 1'!$E:$E,'フォームの回答 1'!$B:$B,"&gt;="&amp;E1,'フォームの回答 1'!$H:$H,"支出",'フォームの回答 1'!$D:$D,$A6)-SUMIFS('フォームの回答 1'!$E:$E,'フォームの回答 1'!$B:$B,"&gt;"&amp;F1,'フォームの回答 1'!$H:$H,"支出",'フォームの回答 1'!$D:$D,$A6)</f>
        <v>39863</v>
      </c>
      <c r="F6" s="9">
        <f>SUMIFS('フォームの回答 1'!$E:$E,'フォームの回答 1'!$B:$B,"&gt;="&amp;F1,'フォームの回答 1'!$H:$H,"支出",'フォームの回答 1'!$D:$D,$A6)-SUMIFS('フォームの回答 1'!$E:$E,'フォームの回答 1'!$B:$B,"&gt;"&amp;G1,'フォームの回答 1'!$H:$H,"支出",'フォームの回答 1'!$D:$D,$A6)</f>
        <v>36592</v>
      </c>
      <c r="G6" s="9">
        <f>SUMIFS('フォームの回答 1'!$E:$E,'フォームの回答 1'!$B:$B,"&gt;="&amp;G1,'フォームの回答 1'!$H:$H,"支出",'フォームの回答 1'!$D:$D,$A6)-SUMIFS('フォームの回答 1'!$E:$E,'フォームの回答 1'!$B:$B,"&gt;"&amp;H1,'フォームの回答 1'!$H:$H,"支出",'フォームの回答 1'!$D:$D,$A6)</f>
        <v>44509</v>
      </c>
      <c r="H6" s="9">
        <f>SUMIFS('フォームの回答 1'!$E:$E,'フォームの回答 1'!$B:$B,"&gt;="&amp;H1,'フォームの回答 1'!$H:$H,"支出",'フォームの回答 1'!$D:$D,$A6)-SUMIFS('フォームの回答 1'!$E:$E,'フォームの回答 1'!$B:$B,"&gt;"&amp;I1,'フォームの回答 1'!$H:$H,"支出",'フォームの回答 1'!$D:$D,$A6)</f>
        <v>43062</v>
      </c>
      <c r="I6" s="9">
        <f>SUMIFS('フォームの回答 1'!$E:$E,'フォームの回答 1'!$B:$B,"&gt;="&amp;I1,'フォームの回答 1'!$H:$H,"支出",'フォームの回答 1'!$D:$D,$A6)-SUMIFS('フォームの回答 1'!$E:$E,'フォームの回答 1'!$B:$B,"&gt;"&amp;J1,'フォームの回答 1'!$H:$H,"支出",'フォームの回答 1'!$D:$D,$A6)</f>
        <v>50537</v>
      </c>
      <c r="J6" s="9">
        <f>SUMIFS('フォームの回答 1'!$E:$E,'フォームの回答 1'!$B:$B,"&gt;="&amp;J1,'フォームの回答 1'!$H:$H,"支出",'フォームの回答 1'!$D:$D,$A6)-SUMIFS('フォームの回答 1'!$E:$E,'フォームの回答 1'!$B:$B,"&gt;"&amp;K1,'フォームの回答 1'!$H:$H,"支出",'フォームの回答 1'!$D:$D,$A6)</f>
        <v>49659</v>
      </c>
      <c r="K6" s="9">
        <f>SUMIFS('フォームの回答 1'!$E:$E,'フォームの回答 1'!$B:$B,"&gt;="&amp;K1,'フォームの回答 1'!$H:$H,"支出",'フォームの回答 1'!$D:$D,$A6)-SUMIFS('フォームの回答 1'!$E:$E,'フォームの回答 1'!$B:$B,"&gt;"&amp;L1,'フォームの回答 1'!$H:$H,"支出",'フォームの回答 1'!$D:$D,$A6)</f>
        <v>47605</v>
      </c>
      <c r="L6" s="9">
        <f>SUMIFS('フォームの回答 1'!$E:$E,'フォームの回答 1'!$B:$B,"&gt;="&amp;L1,'フォームの回答 1'!$H:$H,"支出",'フォームの回答 1'!$D:$D,$A6)-SUMIFS('フォームの回答 1'!$E:$E,'フォームの回答 1'!$B:$B,"&gt;"&amp;M1,'フォームの回答 1'!$H:$H,"支出",'フォームの回答 1'!$D:$D,$A6)</f>
        <v>45424</v>
      </c>
      <c r="M6" s="9">
        <f>SUMIFS('フォームの回答 1'!$E:$E,'フォームの回答 1'!$B:$B,"&gt;="&amp;M1,'フォームの回答 1'!$H:$H,"支出",'フォームの回答 1'!$D:$D,$A6)-SUMIFS('フォームの回答 1'!$E:$E,'フォームの回答 1'!$B:$B,"&gt;"&amp;N1,'フォームの回答 1'!$H:$H,"支出",'フォームの回答 1'!$D:$D,$A6)</f>
        <v>44644</v>
      </c>
      <c r="N6" s="9">
        <f>SUMIFS('フォームの回答 1'!$E:$E,'フォームの回答 1'!$B:$B,"&gt;="&amp;N1,'フォームの回答 1'!$H:$H,"支出",'フォームの回答 1'!$D:$D,$A6)-SUMIFS('フォームの回答 1'!$E:$E,'フォームの回答 1'!$B:$B,"&gt;"&amp;O1,'フォームの回答 1'!$H:$H,"支出",'フォームの回答 1'!$D:$D,$A6)</f>
        <v>156324</v>
      </c>
    </row>
    <row r="7" spans="1:14" ht="15.75" customHeight="1">
      <c r="A7" s="8" t="s">
        <v>39</v>
      </c>
      <c r="B7" s="9">
        <f t="shared" si="2"/>
        <v>491254</v>
      </c>
      <c r="C7" s="9">
        <f>SUMIFS('フォームの回答 1'!$E:$E,'フォームの回答 1'!$B:$B,"&gt;="&amp;C1,'フォームの回答 1'!$H:$H,"支出",'フォームの回答 1'!$D:$D,$A7)-SUMIFS('フォームの回答 1'!$E:$E,'フォームの回答 1'!$B:$B,"&gt;"&amp;D1,'フォームの回答 1'!$H:$H,"支出",'フォームの回答 1'!$D:$D,$A7)</f>
        <v>35920</v>
      </c>
      <c r="D7" s="9">
        <f>SUMIFS('フォームの回答 1'!$E:$E,'フォームの回答 1'!$B:$B,"&gt;="&amp;D1,'フォームの回答 1'!$H:$H,"支出",'フォームの回答 1'!$D:$D,$A7)-SUMIFS('フォームの回答 1'!$E:$E,'フォームの回答 1'!$B:$B,"&gt;"&amp;E1,'フォームの回答 1'!$H:$H,"支出",'フォームの回答 1'!$D:$D,$A7)</f>
        <v>81496</v>
      </c>
      <c r="E7" s="9">
        <f>SUMIFS('フォームの回答 1'!$E:$E,'フォームの回答 1'!$B:$B,"&gt;="&amp;E1,'フォームの回答 1'!$H:$H,"支出",'フォームの回答 1'!$D:$D,$A7)-SUMIFS('フォームの回答 1'!$E:$E,'フォームの回答 1'!$B:$B,"&gt;"&amp;F1,'フォームの回答 1'!$H:$H,"支出",'フォームの回答 1'!$D:$D,$A7)</f>
        <v>35321</v>
      </c>
      <c r="F7" s="9">
        <f>SUMIFS('フォームの回答 1'!$E:$E,'フォームの回答 1'!$B:$B,"&gt;="&amp;F1,'フォームの回答 1'!$H:$H,"支出",'フォームの回答 1'!$D:$D,$A7)-SUMIFS('フォームの回答 1'!$E:$E,'フォームの回答 1'!$B:$B,"&gt;"&amp;G1,'フォームの回答 1'!$H:$H,"支出",'フォームの回答 1'!$D:$D,$A7)</f>
        <v>83624</v>
      </c>
      <c r="G7" s="9">
        <f>SUMIFS('フォームの回答 1'!$E:$E,'フォームの回答 1'!$B:$B,"&gt;="&amp;G1,'フォームの回答 1'!$H:$H,"支出",'フォームの回答 1'!$D:$D,$A7)-SUMIFS('フォームの回答 1'!$E:$E,'フォームの回答 1'!$B:$B,"&gt;"&amp;H1,'フォームの回答 1'!$H:$H,"支出",'フォームの回答 1'!$D:$D,$A7)</f>
        <v>71718</v>
      </c>
      <c r="H7" s="9">
        <f>SUMIFS('フォームの回答 1'!$E:$E,'フォームの回答 1'!$B:$B,"&gt;="&amp;H1,'フォームの回答 1'!$H:$H,"支出",'フォームの回答 1'!$D:$D,$A7)-SUMIFS('フォームの回答 1'!$E:$E,'フォームの回答 1'!$B:$B,"&gt;"&amp;I1,'フォームの回答 1'!$H:$H,"支出",'フォームの回答 1'!$D:$D,$A7)</f>
        <v>140899</v>
      </c>
      <c r="I7" s="9">
        <f>SUMIFS('フォームの回答 1'!$E:$E,'フォームの回答 1'!$B:$B,"&gt;="&amp;I1,'フォームの回答 1'!$H:$H,"支出",'フォームの回答 1'!$D:$D,$A7)-SUMIFS('フォームの回答 1'!$E:$E,'フォームの回答 1'!$B:$B,"&gt;"&amp;J1,'フォームの回答 1'!$H:$H,"支出",'フォームの回答 1'!$D:$D,$A7)</f>
        <v>42276</v>
      </c>
      <c r="J7" s="9">
        <f>SUMIFS('フォームの回答 1'!$E:$E,'フォームの回答 1'!$B:$B,"&gt;="&amp;J1,'フォームの回答 1'!$H:$H,"支出",'フォームの回答 1'!$D:$D,$A7)-SUMIFS('フォームの回答 1'!$E:$E,'フォームの回答 1'!$B:$B,"&gt;"&amp;K1,'フォームの回答 1'!$H:$H,"支出",'フォームの回答 1'!$D:$D,$A7)</f>
        <v>76542</v>
      </c>
      <c r="K7" s="9">
        <f>SUMIFS('フォームの回答 1'!$E:$E,'フォームの回答 1'!$B:$B,"&gt;="&amp;K1,'フォームの回答 1'!$H:$H,"支出",'フォームの回答 1'!$D:$D,$A7)-SUMIFS('フォームの回答 1'!$E:$E,'フォームの回答 1'!$B:$B,"&gt;"&amp;L1,'フォームの回答 1'!$H:$H,"支出",'フォームの回答 1'!$D:$D,$A7)</f>
        <v>55579</v>
      </c>
      <c r="L7" s="9">
        <f>SUMIFS('フォームの回答 1'!$E:$E,'フォームの回答 1'!$B:$B,"&gt;="&amp;L1,'フォームの回答 1'!$H:$H,"支出",'フォームの回答 1'!$D:$D,$A7)-SUMIFS('フォームの回答 1'!$E:$E,'フォームの回答 1'!$B:$B,"&gt;"&amp;M1,'フォームの回答 1'!$H:$H,"支出",'フォームの回答 1'!$D:$D,$A7)</f>
        <v>72561</v>
      </c>
      <c r="M7" s="9">
        <f>SUMIFS('フォームの回答 1'!$E:$E,'フォームの回答 1'!$B:$B,"&gt;="&amp;M1,'フォームの回答 1'!$H:$H,"支出",'フォームの回答 1'!$D:$D,$A7)-SUMIFS('フォームの回答 1'!$E:$E,'フォームの回答 1'!$B:$B,"&gt;"&amp;N1,'フォームの回答 1'!$H:$H,"支出",'フォームの回答 1'!$D:$D,$A7)</f>
        <v>80816</v>
      </c>
      <c r="N7" s="9">
        <f>SUMIFS('フォームの回答 1'!$E:$E,'フォームの回答 1'!$B:$B,"&gt;="&amp;N1,'フォームの回答 1'!$H:$H,"支出",'フォームの回答 1'!$D:$D,$A7)-SUMIFS('フォームの回答 1'!$E:$E,'フォームの回答 1'!$B:$B,"&gt;"&amp;O1,'フォームの回答 1'!$H:$H,"支出",'フォームの回答 1'!$D:$D,$A7)</f>
        <v>366572</v>
      </c>
    </row>
    <row r="8" spans="1:14" ht="15.75" customHeight="1">
      <c r="A8" s="8" t="s">
        <v>40</v>
      </c>
      <c r="B8" s="9">
        <f t="shared" si="2"/>
        <v>314930</v>
      </c>
      <c r="C8" s="9">
        <f>SUMIFS('フォームの回答 1'!$E:$E,'フォームの回答 1'!$B:$B,"&gt;="&amp;C1,'フォームの回答 1'!$H:$H,"支出",'フォームの回答 1'!$D:$D,$A8)-SUMIFS('フォームの回答 1'!$E:$E,'フォームの回答 1'!$B:$B,"&gt;"&amp;D1,'フォームの回答 1'!$H:$H,"支出",'フォームの回答 1'!$D:$D,$A8)</f>
        <v>27430</v>
      </c>
      <c r="D8" s="9">
        <f>SUMIFS('フォームの回答 1'!$E:$E,'フォームの回答 1'!$B:$B,"&gt;="&amp;D1,'フォームの回答 1'!$H:$H,"支出",'フォームの回答 1'!$D:$D,$A8)-SUMIFS('フォームの回答 1'!$E:$E,'フォームの回答 1'!$B:$B,"&gt;"&amp;E1,'フォームの回答 1'!$H:$H,"支出",'フォームの回答 1'!$D:$D,$A8)</f>
        <v>32090</v>
      </c>
      <c r="E8" s="9">
        <f>SUMIFS('フォームの回答 1'!$E:$E,'フォームの回答 1'!$B:$B,"&gt;="&amp;E1,'フォームの回答 1'!$H:$H,"支出",'フォームの回答 1'!$D:$D,$A8)-SUMIFS('フォームの回答 1'!$E:$E,'フォームの回答 1'!$B:$B,"&gt;"&amp;F1,'フォームの回答 1'!$H:$H,"支出",'フォームの回答 1'!$D:$D,$A8)</f>
        <v>39220</v>
      </c>
      <c r="F8" s="9">
        <f>SUMIFS('フォームの回答 1'!$E:$E,'フォームの回答 1'!$B:$B,"&gt;="&amp;F1,'フォームの回答 1'!$H:$H,"支出",'フォームの回答 1'!$D:$D,$A8)-SUMIFS('フォームの回答 1'!$E:$E,'フォームの回答 1'!$B:$B,"&gt;"&amp;G1,'フォームの回答 1'!$H:$H,"支出",'フォームの回答 1'!$D:$D,$A8)</f>
        <v>44510</v>
      </c>
      <c r="G8" s="9">
        <f>SUMIFS('フォームの回答 1'!$E:$E,'フォームの回答 1'!$B:$B,"&gt;="&amp;G1,'フォームの回答 1'!$H:$H,"支出",'フォームの回答 1'!$D:$D,$A8)-SUMIFS('フォームの回答 1'!$E:$E,'フォームの回答 1'!$B:$B,"&gt;"&amp;H1,'フォームの回答 1'!$H:$H,"支出",'フォームの回答 1'!$D:$D,$A8)</f>
        <v>45550</v>
      </c>
      <c r="H8" s="9">
        <f>SUMIFS('フォームの回答 1'!$E:$E,'フォームの回答 1'!$B:$B,"&gt;="&amp;H1,'フォームの回答 1'!$H:$H,"支出",'フォームの回答 1'!$D:$D,$A8)-SUMIFS('フォームの回答 1'!$E:$E,'フォームの回答 1'!$B:$B,"&gt;"&amp;I1,'フォームの回答 1'!$H:$H,"支出",'フォームの回答 1'!$D:$D,$A8)</f>
        <v>38490</v>
      </c>
      <c r="I8" s="9">
        <f>SUMIFS('フォームの回答 1'!$E:$E,'フォームの回答 1'!$B:$B,"&gt;="&amp;I1,'フォームの回答 1'!$H:$H,"支出",'フォームの回答 1'!$D:$D,$A8)-SUMIFS('フォームの回答 1'!$E:$E,'フォームの回答 1'!$B:$B,"&gt;"&amp;J1,'フォームの回答 1'!$H:$H,"支出",'フォームの回答 1'!$D:$D,$A8)</f>
        <v>87640</v>
      </c>
      <c r="J8" s="9">
        <f>SUMIFS('フォームの回答 1'!$E:$E,'フォームの回答 1'!$B:$B,"&gt;="&amp;J1,'フォームの回答 1'!$H:$H,"支出",'フォームの回答 1'!$D:$D,$A8)-SUMIFS('フォームの回答 1'!$E:$E,'フォームの回答 1'!$B:$B,"&gt;"&amp;K1,'フォームの回答 1'!$H:$H,"支出",'フォームの回答 1'!$D:$D,$A8)</f>
        <v>36410</v>
      </c>
      <c r="K8" s="9">
        <f>SUMIFS('フォームの回答 1'!$E:$E,'フォームの回答 1'!$B:$B,"&gt;="&amp;K1,'フォームの回答 1'!$H:$H,"支出",'フォームの回答 1'!$D:$D,$A8)-SUMIFS('フォームの回答 1'!$E:$E,'フォームの回答 1'!$B:$B,"&gt;"&amp;L1,'フォームの回答 1'!$H:$H,"支出",'フォームの回答 1'!$D:$D,$A8)</f>
        <v>59616</v>
      </c>
      <c r="L8" s="9">
        <f>SUMIFS('フォームの回答 1'!$E:$E,'フォームの回答 1'!$B:$B,"&gt;="&amp;L1,'フォームの回答 1'!$H:$H,"支出",'フォームの回答 1'!$D:$D,$A8)-SUMIFS('フォームの回答 1'!$E:$E,'フォームの回答 1'!$B:$B,"&gt;"&amp;M1,'フォームの回答 1'!$H:$H,"支出",'フォームの回答 1'!$D:$D,$A8)</f>
        <v>129330</v>
      </c>
      <c r="M8" s="9">
        <f>SUMIFS('フォームの回答 1'!$E:$E,'フォームの回答 1'!$B:$B,"&gt;="&amp;M1,'フォームの回答 1'!$H:$H,"支出",'フォームの回答 1'!$D:$D,$A8)-SUMIFS('フォームの回答 1'!$E:$E,'フォームの回答 1'!$B:$B,"&gt;"&amp;N1,'フォームの回答 1'!$H:$H,"支出",'フォームの回答 1'!$D:$D,$A8)</f>
        <v>35290</v>
      </c>
      <c r="N8" s="9">
        <f>SUMIFS('フォームの回答 1'!$E:$E,'フォームの回答 1'!$B:$B,"&gt;="&amp;N1,'フォームの回答 1'!$H:$H,"支出",'フォームの回答 1'!$D:$D,$A8)-SUMIFS('フォームの回答 1'!$E:$E,'フォームの回答 1'!$B:$B,"&gt;"&amp;O1,'フォームの回答 1'!$H:$H,"支出",'フォームの回答 1'!$D:$D,$A8)</f>
        <v>227257</v>
      </c>
    </row>
    <row r="9" spans="1:14" ht="15.75" customHeight="1">
      <c r="A9" s="8" t="s">
        <v>41</v>
      </c>
      <c r="B9" s="9">
        <f t="shared" si="2"/>
        <v>89906</v>
      </c>
      <c r="C9" s="9">
        <f>SUMIFS('フォームの回答 1'!$E:$E,'フォームの回答 1'!$B:$B,"&gt;="&amp;C1,'フォームの回答 1'!$H:$H,"支出",'フォームの回答 1'!$D:$D,$A9)-SUMIFS('フォームの回答 1'!$E:$E,'フォームの回答 1'!$B:$B,"&gt;"&amp;D1,'フォームの回答 1'!$H:$H,"支出",'フォームの回答 1'!$D:$D,$A9)</f>
        <v>5868</v>
      </c>
      <c r="D9" s="9">
        <f>SUMIFS('フォームの回答 1'!$E:$E,'フォームの回答 1'!$B:$B,"&gt;="&amp;D1,'フォームの回答 1'!$H:$H,"支出",'フォームの回答 1'!$D:$D,$A9)-SUMIFS('フォームの回答 1'!$E:$E,'フォームの回答 1'!$B:$B,"&gt;"&amp;E1,'フォームの回答 1'!$H:$H,"支出",'フォームの回答 1'!$D:$D,$A9)</f>
        <v>9282</v>
      </c>
      <c r="E9" s="9">
        <f>SUMIFS('フォームの回答 1'!$E:$E,'フォームの回答 1'!$B:$B,"&gt;="&amp;E1,'フォームの回答 1'!$H:$H,"支出",'フォームの回答 1'!$D:$D,$A9)-SUMIFS('フォームの回答 1'!$E:$E,'フォームの回答 1'!$B:$B,"&gt;"&amp;F1,'フォームの回答 1'!$H:$H,"支出",'フォームの回答 1'!$D:$D,$A9)</f>
        <v>11853</v>
      </c>
      <c r="F9" s="9">
        <f>SUMIFS('フォームの回答 1'!$E:$E,'フォームの回答 1'!$B:$B,"&gt;="&amp;F1,'フォームの回答 1'!$H:$H,"支出",'フォームの回答 1'!$D:$D,$A9)-SUMIFS('フォームの回答 1'!$E:$E,'フォームの回答 1'!$B:$B,"&gt;"&amp;G1,'フォームの回答 1'!$H:$H,"支出",'フォームの回答 1'!$D:$D,$A9)</f>
        <v>19858</v>
      </c>
      <c r="G9" s="9">
        <f>SUMIFS('フォームの回答 1'!$E:$E,'フォームの回答 1'!$B:$B,"&gt;="&amp;G1,'フォームの回答 1'!$H:$H,"支出",'フォームの回答 1'!$D:$D,$A9)-SUMIFS('フォームの回答 1'!$E:$E,'フォームの回答 1'!$B:$B,"&gt;"&amp;H1,'フォームの回答 1'!$H:$H,"支出",'フォームの回答 1'!$D:$D,$A9)</f>
        <v>10725</v>
      </c>
      <c r="H9" s="9">
        <f>SUMIFS('フォームの回答 1'!$E:$E,'フォームの回答 1'!$B:$B,"&gt;="&amp;H1,'フォームの回答 1'!$H:$H,"支出",'フォームの回答 1'!$D:$D,$A9)-SUMIFS('フォームの回答 1'!$E:$E,'フォームの回答 1'!$B:$B,"&gt;"&amp;I1,'フォームの回答 1'!$H:$H,"支出",'フォームの回答 1'!$D:$D,$A9)</f>
        <v>17245</v>
      </c>
      <c r="I9" s="9">
        <f>SUMIFS('フォームの回答 1'!$E:$E,'フォームの回答 1'!$B:$B,"&gt;="&amp;I1,'フォームの回答 1'!$H:$H,"支出",'フォームの回答 1'!$D:$D,$A9)-SUMIFS('フォームの回答 1'!$E:$E,'フォームの回答 1'!$B:$B,"&gt;"&amp;J1,'フォームの回答 1'!$H:$H,"支出",'フォームの回答 1'!$D:$D,$A9)</f>
        <v>15075</v>
      </c>
      <c r="J9" s="9">
        <f>SUMIFS('フォームの回答 1'!$E:$E,'フォームの回答 1'!$B:$B,"&gt;="&amp;J1,'フォームの回答 1'!$H:$H,"支出",'フォームの回答 1'!$D:$D,$A9)-SUMIFS('フォームの回答 1'!$E:$E,'フォームの回答 1'!$B:$B,"&gt;"&amp;K1,'フォームの回答 1'!$H:$H,"支出",'フォームの回答 1'!$D:$D,$A9)</f>
        <v>14436</v>
      </c>
      <c r="K9" s="9">
        <f>SUMIFS('フォームの回答 1'!$E:$E,'フォームの回答 1'!$B:$B,"&gt;="&amp;K1,'フォームの回答 1'!$H:$H,"支出",'フォームの回答 1'!$D:$D,$A9)-SUMIFS('フォームの回答 1'!$E:$E,'フォームの回答 1'!$B:$B,"&gt;"&amp;L1,'フォームの回答 1'!$H:$H,"支出",'フォームの回答 1'!$D:$D,$A9)</f>
        <v>19756</v>
      </c>
      <c r="L9" s="9">
        <f>SUMIFS('フォームの回答 1'!$E:$E,'フォームの回答 1'!$B:$B,"&gt;="&amp;L1,'フォームの回答 1'!$H:$H,"支出",'フォームの回答 1'!$D:$D,$A9)-SUMIFS('フォームの回答 1'!$E:$E,'フォームの回答 1'!$B:$B,"&gt;"&amp;M1,'フォームの回答 1'!$H:$H,"支出",'フォームの回答 1'!$D:$D,$A9)</f>
        <v>13652</v>
      </c>
      <c r="M9" s="9">
        <f>SUMIFS('フォームの回答 1'!$E:$E,'フォームの回答 1'!$B:$B,"&gt;="&amp;M1,'フォームの回答 1'!$H:$H,"支出",'フォームの回答 1'!$D:$D,$A9)-SUMIFS('フォームの回答 1'!$E:$E,'フォームの回答 1'!$B:$B,"&gt;"&amp;N1,'フォームの回答 1'!$H:$H,"支出",'フォームの回答 1'!$D:$D,$A9)</f>
        <v>15210</v>
      </c>
      <c r="N9" s="9">
        <f>SUMIFS('フォームの回答 1'!$E:$E,'フォームの回答 1'!$B:$B,"&gt;="&amp;N1,'フォームの回答 1'!$H:$H,"支出",'フォームの回答 1'!$D:$D,$A9)-SUMIFS('フォームの回答 1'!$E:$E,'フォームの回答 1'!$B:$B,"&gt;"&amp;O1,'フォームの回答 1'!$H:$H,"支出",'フォームの回答 1'!$D:$D,$A9)</f>
        <v>70937</v>
      </c>
    </row>
    <row r="10" spans="1:14" ht="15.75" customHeight="1">
      <c r="A10" s="8" t="s">
        <v>42</v>
      </c>
      <c r="B10" s="9">
        <f t="shared" si="2"/>
        <v>46338</v>
      </c>
      <c r="C10" s="9">
        <f>SUMIFS('フォームの回答 1'!$E:$E,'フォームの回答 1'!$B:$B,"&gt;="&amp;C1,'フォームの回答 1'!$H:$H,"支出",'フォームの回答 1'!$D:$D,$A10)-SUMIFS('フォームの回答 1'!$E:$E,'フォームの回答 1'!$B:$B,"&gt;"&amp;D1,'フォームの回答 1'!$H:$H,"支出",'フォームの回答 1'!$D:$D,$A10)</f>
        <v>4528</v>
      </c>
      <c r="D10" s="9">
        <f>SUMIFS('フォームの回答 1'!$E:$E,'フォームの回答 1'!$B:$B,"&gt;="&amp;D1,'フォームの回答 1'!$H:$H,"支出",'フォームの回答 1'!$D:$D,$A10)-SUMIFS('フォームの回答 1'!$E:$E,'フォームの回答 1'!$B:$B,"&gt;"&amp;E1,'フォームの回答 1'!$H:$H,"支出",'フォームの回答 1'!$D:$D,$A10)</f>
        <v>3388</v>
      </c>
      <c r="E10" s="9">
        <f>SUMIFS('フォームの回答 1'!$E:$E,'フォームの回答 1'!$B:$B,"&gt;="&amp;E1,'フォームの回答 1'!$H:$H,"支出",'フォームの回答 1'!$D:$D,$A10)-SUMIFS('フォームの回答 1'!$E:$E,'フォームの回答 1'!$B:$B,"&gt;"&amp;F1,'フォームの回答 1'!$H:$H,"支出",'フォームの回答 1'!$D:$D,$A10)</f>
        <v>6895</v>
      </c>
      <c r="F10" s="9">
        <f>SUMIFS('フォームの回答 1'!$E:$E,'フォームの回答 1'!$B:$B,"&gt;="&amp;F1,'フォームの回答 1'!$H:$H,"支出",'フォームの回答 1'!$D:$D,$A10)-SUMIFS('フォームの回答 1'!$E:$E,'フォームの回答 1'!$B:$B,"&gt;"&amp;G1,'フォームの回答 1'!$H:$H,"支出",'フォームの回答 1'!$D:$D,$A10)</f>
        <v>7370</v>
      </c>
      <c r="G10" s="9">
        <f>SUMIFS('フォームの回答 1'!$E:$E,'フォームの回答 1'!$B:$B,"&gt;="&amp;G1,'フォームの回答 1'!$H:$H,"支出",'フォームの回答 1'!$D:$D,$A10)-SUMIFS('フォームの回答 1'!$E:$E,'フォームの回答 1'!$B:$B,"&gt;"&amp;H1,'フォームの回答 1'!$H:$H,"支出",'フォームの回答 1'!$D:$D,$A10)</f>
        <v>8801</v>
      </c>
      <c r="H10" s="9">
        <f>SUMIFS('フォームの回答 1'!$E:$E,'フォームの回答 1'!$B:$B,"&gt;="&amp;H1,'フォームの回答 1'!$H:$H,"支出",'フォームの回答 1'!$D:$D,$A10)-SUMIFS('フォームの回答 1'!$E:$E,'フォームの回答 1'!$B:$B,"&gt;"&amp;I1,'フォームの回答 1'!$H:$H,"支出",'フォームの回答 1'!$D:$D,$A10)</f>
        <v>8404</v>
      </c>
      <c r="I10" s="9">
        <f>SUMIFS('フォームの回答 1'!$E:$E,'フォームの回答 1'!$B:$B,"&gt;="&amp;I1,'フォームの回答 1'!$H:$H,"支出",'フォームの回答 1'!$D:$D,$A10)-SUMIFS('フォームの回答 1'!$E:$E,'フォームの回答 1'!$B:$B,"&gt;"&amp;J1,'フォームの回答 1'!$H:$H,"支出",'フォームの回答 1'!$D:$D,$A10)</f>
        <v>6952</v>
      </c>
      <c r="J10" s="9">
        <f>SUMIFS('フォームの回答 1'!$E:$E,'フォームの回答 1'!$B:$B,"&gt;="&amp;J1,'フォームの回答 1'!$H:$H,"支出",'フォームの回答 1'!$D:$D,$A10)-SUMIFS('フォームの回答 1'!$E:$E,'フォームの回答 1'!$B:$B,"&gt;"&amp;K1,'フォームの回答 1'!$H:$H,"支出",'フォームの回答 1'!$D:$D,$A10)</f>
        <v>6050</v>
      </c>
      <c r="K10" s="9">
        <f>SUMIFS('フォームの回答 1'!$E:$E,'フォームの回答 1'!$B:$B,"&gt;="&amp;K1,'フォームの回答 1'!$H:$H,"支出",'フォームの回答 1'!$D:$D,$A10)-SUMIFS('フォームの回答 1'!$E:$E,'フォームの回答 1'!$B:$B,"&gt;"&amp;L1,'フォームの回答 1'!$H:$H,"支出",'フォームの回答 1'!$D:$D,$A10)</f>
        <v>8635</v>
      </c>
      <c r="L10" s="9">
        <f>SUMIFS('フォームの回答 1'!$E:$E,'フォームの回答 1'!$B:$B,"&gt;="&amp;L1,'フォームの回答 1'!$H:$H,"支出",'フォームの回答 1'!$D:$D,$A10)-SUMIFS('フォームの回答 1'!$E:$E,'フォームの回答 1'!$B:$B,"&gt;"&amp;M1,'フォームの回答 1'!$H:$H,"支出",'フォームの回答 1'!$D:$D,$A10)</f>
        <v>5500</v>
      </c>
      <c r="M10" s="9">
        <f>SUMIFS('フォームの回答 1'!$E:$E,'フォームの回答 1'!$B:$B,"&gt;="&amp;M1,'フォームの回答 1'!$H:$H,"支出",'フォームの回答 1'!$D:$D,$A10)-SUMIFS('フォームの回答 1'!$E:$E,'フォームの回答 1'!$B:$B,"&gt;"&amp;N1,'フォームの回答 1'!$H:$H,"支出",'フォームの回答 1'!$D:$D,$A10)</f>
        <v>7584</v>
      </c>
      <c r="N10" s="9">
        <f>SUMIFS('フォームの回答 1'!$E:$E,'フォームの回答 1'!$B:$B,"&gt;="&amp;N1,'フォームの回答 1'!$H:$H,"支出",'フォームの回答 1'!$D:$D,$A10)-SUMIFS('フォームの回答 1'!$E:$E,'フォームの回答 1'!$B:$B,"&gt;"&amp;O1,'フォームの回答 1'!$H:$H,"支出",'フォームの回答 1'!$D:$D,$A10)</f>
        <v>36276</v>
      </c>
    </row>
    <row r="11" spans="1:14" ht="15.75" customHeight="1">
      <c r="A11" s="8" t="s">
        <v>5</v>
      </c>
      <c r="B11" s="9">
        <f t="shared" si="2"/>
        <v>777500</v>
      </c>
      <c r="C11" s="9">
        <f>SUMIFS('フォームの回答 1'!$E:$E,'フォームの回答 1'!$B:$B,"&gt;="&amp;C1,'フォームの回答 1'!$H:$H,"支出",'フォームの回答 1'!$D:$D,$A11)-SUMIFS('フォームの回答 1'!$E:$E,'フォームの回答 1'!$B:$B,"&gt;"&amp;D1,'フォームの回答 1'!$H:$H,"支出",'フォームの回答 1'!$D:$D,$A11)</f>
        <v>93000</v>
      </c>
      <c r="D11" s="9">
        <f>SUMIFS('フォームの回答 1'!$E:$E,'フォームの回答 1'!$B:$B,"&gt;="&amp;D1,'フォームの回答 1'!$H:$H,"支出",'フォームの回答 1'!$D:$D,$A11)-SUMIFS('フォームの回答 1'!$E:$E,'フォームの回答 1'!$B:$B,"&gt;"&amp;E1,'フォームの回答 1'!$H:$H,"支出",'フォームの回答 1'!$D:$D,$A11)</f>
        <v>93000</v>
      </c>
      <c r="E11" s="9">
        <f>SUMIFS('フォームの回答 1'!$E:$E,'フォームの回答 1'!$B:$B,"&gt;="&amp;E1,'フォームの回答 1'!$H:$H,"支出",'フォームの回答 1'!$D:$D,$A11)-SUMIFS('フォームの回答 1'!$E:$E,'フォームの回答 1'!$B:$B,"&gt;"&amp;F1,'フォームの回答 1'!$H:$H,"支出",'フォームの回答 1'!$D:$D,$A11)</f>
        <v>93000</v>
      </c>
      <c r="F11" s="9">
        <f>SUMIFS('フォームの回答 1'!$E:$E,'フォームの回答 1'!$B:$B,"&gt;="&amp;F1,'フォームの回答 1'!$H:$H,"支出",'フォームの回答 1'!$D:$D,$A11)-SUMIFS('フォームの回答 1'!$E:$E,'フォームの回答 1'!$B:$B,"&gt;"&amp;G1,'フォームの回答 1'!$H:$H,"支出",'フォームの回答 1'!$D:$D,$A11)</f>
        <v>93000</v>
      </c>
      <c r="G11" s="9">
        <f>SUMIFS('フォームの回答 1'!$E:$E,'フォームの回答 1'!$B:$B,"&gt;="&amp;G1,'フォームの回答 1'!$H:$H,"支出",'フォームの回答 1'!$D:$D,$A11)-SUMIFS('フォームの回答 1'!$E:$E,'フォームの回答 1'!$B:$B,"&gt;"&amp;H1,'フォームの回答 1'!$H:$H,"支出",'フォームの回答 1'!$D:$D,$A11)</f>
        <v>219500</v>
      </c>
      <c r="H11" s="9">
        <f>SUMIFS('フォームの回答 1'!$E:$E,'フォームの回答 1'!$B:$B,"&gt;="&amp;H1,'フォームの回答 1'!$H:$H,"支出",'フォームの回答 1'!$D:$D,$A11)-SUMIFS('フォームの回答 1'!$E:$E,'フォームの回答 1'!$B:$B,"&gt;"&amp;I1,'フォームの回答 1'!$H:$H,"支出",'フォームの回答 1'!$D:$D,$A11)</f>
        <v>93000</v>
      </c>
      <c r="I11" s="9">
        <f>SUMIFS('フォームの回答 1'!$E:$E,'フォームの回答 1'!$B:$B,"&gt;="&amp;I1,'フォームの回答 1'!$H:$H,"支出",'フォームの回答 1'!$D:$D,$A11)-SUMIFS('フォームの回答 1'!$E:$E,'フォームの回答 1'!$B:$B,"&gt;"&amp;J1,'フォームの回答 1'!$H:$H,"支出",'フォームの回答 1'!$D:$D,$A11)</f>
        <v>93000</v>
      </c>
      <c r="J11" s="9">
        <f>SUMIFS('フォームの回答 1'!$E:$E,'フォームの回答 1'!$B:$B,"&gt;="&amp;J1,'フォームの回答 1'!$H:$H,"支出",'フォームの回答 1'!$D:$D,$A11)-SUMIFS('フォームの回答 1'!$E:$E,'フォームの回答 1'!$B:$B,"&gt;"&amp;K1,'フォームの回答 1'!$H:$H,"支出",'フォームの回答 1'!$D:$D,$A11)</f>
        <v>93000</v>
      </c>
      <c r="K11" s="9">
        <f>SUMIFS('フォームの回答 1'!$E:$E,'フォームの回答 1'!$B:$B,"&gt;="&amp;K1,'フォームの回答 1'!$H:$H,"支出",'フォームの回答 1'!$D:$D,$A11)-SUMIFS('フォームの回答 1'!$E:$E,'フォームの回答 1'!$B:$B,"&gt;"&amp;L1,'フォームの回答 1'!$H:$H,"支出",'フォームの回答 1'!$D:$D,$A11)</f>
        <v>93000</v>
      </c>
      <c r="L11" s="9">
        <f>SUMIFS('フォームの回答 1'!$E:$E,'フォームの回答 1'!$B:$B,"&gt;="&amp;L1,'フォームの回答 1'!$H:$H,"支出",'フォームの回答 1'!$D:$D,$A11)-SUMIFS('フォームの回答 1'!$E:$E,'フォームの回答 1'!$B:$B,"&gt;"&amp;M1,'フォームの回答 1'!$H:$H,"支出",'フォームの回答 1'!$D:$D,$A11)</f>
        <v>93000</v>
      </c>
      <c r="M11" s="9">
        <f>SUMIFS('フォームの回答 1'!$E:$E,'フォームの回答 1'!$B:$B,"&gt;="&amp;M1,'フォームの回答 1'!$H:$H,"支出",'フォームの回答 1'!$D:$D,$A11)-SUMIFS('フォームの回答 1'!$E:$E,'フォームの回答 1'!$B:$B,"&gt;"&amp;N1,'フォームの回答 1'!$H:$H,"支出",'フォームの回答 1'!$D:$D,$A11)</f>
        <v>93000</v>
      </c>
      <c r="N11" s="9">
        <f>SUMIFS('フォームの回答 1'!$E:$E,'フォームの回答 1'!$B:$B,"&gt;="&amp;N1,'フォームの回答 1'!$H:$H,"支出",'フォームの回答 1'!$D:$D,$A11)-SUMIFS('フォームの回答 1'!$E:$E,'フォームの回答 1'!$B:$B,"&gt;"&amp;O1,'フォームの回答 1'!$H:$H,"支出",'フォームの回答 1'!$D:$D,$A11)</f>
        <v>465000</v>
      </c>
    </row>
    <row r="12" spans="1:14" ht="15.75" customHeight="1">
      <c r="A12" s="8" t="s">
        <v>43</v>
      </c>
      <c r="B12" s="9">
        <f t="shared" si="2"/>
        <v>7946</v>
      </c>
      <c r="C12" s="9">
        <f>SUMIFS('フォームの回答 1'!$E:$E,'フォームの回答 1'!$B:$B,"&gt;="&amp;C1,'フォームの回答 1'!$H:$H,"支出",'フォームの回答 1'!$D:$D,$A12)-SUMIFS('フォームの回答 1'!$E:$E,'フォームの回答 1'!$B:$B,"&gt;"&amp;D1,'フォームの回答 1'!$H:$H,"支出",'フォームの回答 1'!$D:$D,$A12)</f>
        <v>0</v>
      </c>
      <c r="D12" s="9">
        <f>SUMIFS('フォームの回答 1'!$E:$E,'フォームの回答 1'!$B:$B,"&gt;="&amp;D1,'フォームの回答 1'!$H:$H,"支出",'フォームの回答 1'!$D:$D,$A12)-SUMIFS('フォームの回答 1'!$E:$E,'フォームの回答 1'!$B:$B,"&gt;"&amp;E1,'フォームの回答 1'!$H:$H,"支出",'フォームの回答 1'!$D:$D,$A12)</f>
        <v>0</v>
      </c>
      <c r="E12" s="9">
        <f>SUMIFS('フォームの回答 1'!$E:$E,'フォームの回答 1'!$B:$B,"&gt;="&amp;E1,'フォームの回答 1'!$H:$H,"支出",'フォームの回答 1'!$D:$D,$A12)-SUMIFS('フォームの回答 1'!$E:$E,'フォームの回答 1'!$B:$B,"&gt;"&amp;F1,'フォームの回答 1'!$H:$H,"支出",'フォームの回答 1'!$D:$D,$A12)</f>
        <v>0</v>
      </c>
      <c r="F12" s="9">
        <f>SUMIFS('フォームの回答 1'!$E:$E,'フォームの回答 1'!$B:$B,"&gt;="&amp;F1,'フォームの回答 1'!$H:$H,"支出",'フォームの回答 1'!$D:$D,$A12)-SUMIFS('フォームの回答 1'!$E:$E,'フォームの回答 1'!$B:$B,"&gt;"&amp;G1,'フォームの回答 1'!$H:$H,"支出",'フォームの回答 1'!$D:$D,$A12)</f>
        <v>0</v>
      </c>
      <c r="G12" s="9">
        <f>SUMIFS('フォームの回答 1'!$E:$E,'フォームの回答 1'!$B:$B,"&gt;="&amp;G1,'フォームの回答 1'!$H:$H,"支出",'フォームの回答 1'!$D:$D,$A12)-SUMIFS('フォームの回答 1'!$E:$E,'フォームの回答 1'!$B:$B,"&gt;"&amp;H1,'フォームの回答 1'!$H:$H,"支出",'フォームの回答 1'!$D:$D,$A12)</f>
        <v>6254</v>
      </c>
      <c r="H12" s="9">
        <f>SUMIFS('フォームの回答 1'!$E:$E,'フォームの回答 1'!$B:$B,"&gt;="&amp;H1,'フォームの回答 1'!$H:$H,"支出",'フォームの回答 1'!$D:$D,$A12)-SUMIFS('フォームの回答 1'!$E:$E,'フォームの回答 1'!$B:$B,"&gt;"&amp;I1,'フォームの回答 1'!$H:$H,"支出",'フォームの回答 1'!$D:$D,$A12)</f>
        <v>1692</v>
      </c>
      <c r="I12" s="9">
        <f>SUMIFS('フォームの回答 1'!$E:$E,'フォームの回答 1'!$B:$B,"&gt;="&amp;I1,'フォームの回答 1'!$H:$H,"支出",'フォームの回答 1'!$D:$D,$A12)-SUMIFS('フォームの回答 1'!$E:$E,'フォームの回答 1'!$B:$B,"&gt;"&amp;J1,'フォームの回答 1'!$H:$H,"支出",'フォームの回答 1'!$D:$D,$A12)</f>
        <v>0</v>
      </c>
      <c r="J12" s="9">
        <f>SUMIFS('フォームの回答 1'!$E:$E,'フォームの回答 1'!$B:$B,"&gt;="&amp;J1,'フォームの回答 1'!$H:$H,"支出",'フォームの回答 1'!$D:$D,$A12)-SUMIFS('フォームの回答 1'!$E:$E,'フォームの回答 1'!$B:$B,"&gt;"&amp;K1,'フォームの回答 1'!$H:$H,"支出",'フォームの回答 1'!$D:$D,$A12)</f>
        <v>767</v>
      </c>
      <c r="K12" s="9">
        <f>SUMIFS('フォームの回答 1'!$E:$E,'フォームの回答 1'!$B:$B,"&gt;="&amp;K1,'フォームの回答 1'!$H:$H,"支出",'フォームの回答 1'!$D:$D,$A12)-SUMIFS('フォームの回答 1'!$E:$E,'フォームの回答 1'!$B:$B,"&gt;"&amp;L1,'フォームの回答 1'!$H:$H,"支出",'フォームの回答 1'!$D:$D,$A12)</f>
        <v>396</v>
      </c>
      <c r="L12" s="9">
        <f>SUMIFS('フォームの回答 1'!$E:$E,'フォームの回答 1'!$B:$B,"&gt;="&amp;L1,'フォームの回答 1'!$H:$H,"支出",'フォームの回答 1'!$D:$D,$A12)-SUMIFS('フォームの回答 1'!$E:$E,'フォームの回答 1'!$B:$B,"&gt;"&amp;M1,'フォームの回答 1'!$H:$H,"支出",'フォームの回答 1'!$D:$D,$A12)</f>
        <v>0</v>
      </c>
      <c r="M12" s="9">
        <f>SUMIFS('フォームの回答 1'!$E:$E,'フォームの回答 1'!$B:$B,"&gt;="&amp;M1,'フォームの回答 1'!$H:$H,"支出",'フォームの回答 1'!$D:$D,$A12)-SUMIFS('フォームの回答 1'!$E:$E,'フォームの回答 1'!$B:$B,"&gt;"&amp;N1,'フォームの回答 1'!$H:$H,"支出",'フォームの回答 1'!$D:$D,$A12)</f>
        <v>0</v>
      </c>
      <c r="N12" s="9">
        <f>SUMIFS('フォームの回答 1'!$E:$E,'フォームの回答 1'!$B:$B,"&gt;="&amp;N1,'フォームの回答 1'!$H:$H,"支出",'フォームの回答 1'!$D:$D,$A12)-SUMIFS('フォームの回答 1'!$E:$E,'フォームの回答 1'!$B:$B,"&gt;"&amp;O1,'フォームの回答 1'!$H:$H,"支出",'フォームの回答 1'!$D:$D,$A12)</f>
        <v>4487</v>
      </c>
    </row>
    <row r="13" spans="1:14" ht="15.75" customHeight="1">
      <c r="A13" s="8" t="s">
        <v>44</v>
      </c>
      <c r="B13" s="9">
        <f t="shared" si="2"/>
        <v>36190</v>
      </c>
      <c r="C13" s="9">
        <f>SUMIFS('フォームの回答 1'!$E:$E,'フォームの回答 1'!$B:$B,"&gt;="&amp;C1,'フォームの回答 1'!$H:$H,"支出",'フォームの回答 1'!$D:$D,$A13)-SUMIFS('フォームの回答 1'!$E:$E,'フォームの回答 1'!$B:$B,"&gt;"&amp;D1,'フォームの回答 1'!$H:$H,"支出",'フォームの回答 1'!$D:$D,$A13)</f>
        <v>0</v>
      </c>
      <c r="D13" s="9">
        <f>SUMIFS('フォームの回答 1'!$E:$E,'フォームの回答 1'!$B:$B,"&gt;="&amp;D1,'フォームの回答 1'!$H:$H,"支出",'フォームの回答 1'!$D:$D,$A13)-SUMIFS('フォームの回答 1'!$E:$E,'フォームの回答 1'!$B:$B,"&gt;"&amp;E1,'フォームの回答 1'!$H:$H,"支出",'フォームの回答 1'!$D:$D,$A13)</f>
        <v>0</v>
      </c>
      <c r="E13" s="9">
        <f>SUMIFS('フォームの回答 1'!$E:$E,'フォームの回答 1'!$B:$B,"&gt;="&amp;E1,'フォームの回答 1'!$H:$H,"支出",'フォームの回答 1'!$D:$D,$A13)-SUMIFS('フォームの回答 1'!$E:$E,'フォームの回答 1'!$B:$B,"&gt;"&amp;F1,'フォームの回答 1'!$H:$H,"支出",'フォームの回答 1'!$D:$D,$A13)</f>
        <v>4990</v>
      </c>
      <c r="F13" s="9">
        <f>SUMIFS('フォームの回答 1'!$E:$E,'フォームの回答 1'!$B:$B,"&gt;="&amp;F1,'フォームの回答 1'!$H:$H,"支出",'フォームの回答 1'!$D:$D,$A13)-SUMIFS('フォームの回答 1'!$E:$E,'フォームの回答 1'!$B:$B,"&gt;"&amp;G1,'フォームの回答 1'!$H:$H,"支出",'フォームの回答 1'!$D:$D,$A13)</f>
        <v>20200</v>
      </c>
      <c r="G13" s="9">
        <f>SUMIFS('フォームの回答 1'!$E:$E,'フォームの回答 1'!$B:$B,"&gt;="&amp;G1,'フォームの回答 1'!$H:$H,"支出",'フォームの回答 1'!$D:$D,$A13)-SUMIFS('フォームの回答 1'!$E:$E,'フォームの回答 1'!$B:$B,"&gt;"&amp;H1,'フォームの回答 1'!$H:$H,"支出",'フォームの回答 1'!$D:$D,$A13)</f>
        <v>5850</v>
      </c>
      <c r="H13" s="9">
        <f>SUMIFS('フォームの回答 1'!$E:$E,'フォームの回答 1'!$B:$B,"&gt;="&amp;H1,'フォームの回答 1'!$H:$H,"支出",'フォームの回答 1'!$D:$D,$A13)-SUMIFS('フォームの回答 1'!$E:$E,'フォームの回答 1'!$B:$B,"&gt;"&amp;I1,'フォームの回答 1'!$H:$H,"支出",'フォームの回答 1'!$D:$D,$A13)</f>
        <v>3160</v>
      </c>
      <c r="I13" s="9">
        <f>SUMIFS('フォームの回答 1'!$E:$E,'フォームの回答 1'!$B:$B,"&gt;="&amp;I1,'フォームの回答 1'!$H:$H,"支出",'フォームの回答 1'!$D:$D,$A13)-SUMIFS('フォームの回答 1'!$E:$E,'フォームの回答 1'!$B:$B,"&gt;"&amp;J1,'フォームの回答 1'!$H:$H,"支出",'フォームの回答 1'!$D:$D,$A13)</f>
        <v>1990</v>
      </c>
      <c r="J13" s="9">
        <f>SUMIFS('フォームの回答 1'!$E:$E,'フォームの回答 1'!$B:$B,"&gt;="&amp;J1,'フォームの回答 1'!$H:$H,"支出",'フォームの回答 1'!$D:$D,$A13)-SUMIFS('フォームの回答 1'!$E:$E,'フォームの回答 1'!$B:$B,"&gt;"&amp;K1,'フォームの回答 1'!$H:$H,"支出",'フォームの回答 1'!$D:$D,$A13)</f>
        <v>1180</v>
      </c>
      <c r="K13" s="9">
        <f>SUMIFS('フォームの回答 1'!$E:$E,'フォームの回答 1'!$B:$B,"&gt;="&amp;K1,'フォームの回答 1'!$H:$H,"支出",'フォームの回答 1'!$D:$D,$A13)-SUMIFS('フォームの回答 1'!$E:$E,'フォームの回答 1'!$B:$B,"&gt;"&amp;L1,'フォームの回答 1'!$H:$H,"支出",'フォームの回答 1'!$D:$D,$A13)</f>
        <v>0</v>
      </c>
      <c r="L13" s="9">
        <f>SUMIFS('フォームの回答 1'!$E:$E,'フォームの回答 1'!$B:$B,"&gt;="&amp;L1,'フォームの回答 1'!$H:$H,"支出",'フォームの回答 1'!$D:$D,$A13)-SUMIFS('フォームの回答 1'!$E:$E,'フォームの回答 1'!$B:$B,"&gt;"&amp;M1,'フォームの回答 1'!$H:$H,"支出",'フォームの回答 1'!$D:$D,$A13)</f>
        <v>0</v>
      </c>
      <c r="M13" s="9">
        <f>SUMIFS('フォームの回答 1'!$E:$E,'フォームの回答 1'!$B:$B,"&gt;="&amp;M1,'フォームの回答 1'!$H:$H,"支出",'フォームの回答 1'!$D:$D,$A13)-SUMIFS('フォームの回答 1'!$E:$E,'フォームの回答 1'!$B:$B,"&gt;"&amp;N1,'フォームの回答 1'!$H:$H,"支出",'フォームの回答 1'!$D:$D,$A13)</f>
        <v>9270</v>
      </c>
      <c r="N13" s="9">
        <f>SUMIFS('フォームの回答 1'!$E:$E,'フォームの回答 1'!$B:$B,"&gt;="&amp;N1,'フォームの回答 1'!$H:$H,"支出",'フォームの回答 1'!$D:$D,$A13)-SUMIFS('フォームの回答 1'!$E:$E,'フォームの回答 1'!$B:$B,"&gt;"&amp;O1,'フォームの回答 1'!$H:$H,"支出",'フォームの回答 1'!$D:$D,$A13)</f>
        <v>0</v>
      </c>
    </row>
    <row r="14" spans="1:14" ht="15.75" customHeight="1">
      <c r="A14" s="8" t="s">
        <v>45</v>
      </c>
      <c r="B14" s="9">
        <f t="shared" si="2"/>
        <v>334820</v>
      </c>
      <c r="C14" s="9">
        <f>SUMIFS('フォームの回答 1'!$E:$E,'フォームの回答 1'!$B:$B,"&gt;="&amp;C1,'フォームの回答 1'!$H:$H,"支出",'フォームの回答 1'!$D:$D,$A14)-SUMIFS('フォームの回答 1'!$E:$E,'フォームの回答 1'!$B:$B,"&gt;"&amp;D1,'フォームの回答 1'!$H:$H,"支出",'フォームの回答 1'!$D:$D,$A14)</f>
        <v>119601</v>
      </c>
      <c r="D14" s="9">
        <f>SUMIFS('フォームの回答 1'!$E:$E,'フォームの回答 1'!$B:$B,"&gt;="&amp;D1,'フォームの回答 1'!$H:$H,"支出",'フォームの回答 1'!$D:$D,$A14)-SUMIFS('フォームの回答 1'!$E:$E,'フォームの回答 1'!$B:$B,"&gt;"&amp;E1,'フォームの回答 1'!$H:$H,"支出",'フォームの回答 1'!$D:$D,$A14)</f>
        <v>28034</v>
      </c>
      <c r="E14" s="9">
        <f>SUMIFS('フォームの回答 1'!$E:$E,'フォームの回答 1'!$B:$B,"&gt;="&amp;E1,'フォームの回答 1'!$H:$H,"支出",'フォームの回答 1'!$D:$D,$A14)-SUMIFS('フォームの回答 1'!$E:$E,'フォームの回答 1'!$B:$B,"&gt;"&amp;F1,'フォームの回答 1'!$H:$H,"支出",'フォームの回答 1'!$D:$D,$A14)</f>
        <v>36354</v>
      </c>
      <c r="F14" s="9">
        <f>SUMIFS('フォームの回答 1'!$E:$E,'フォームの回答 1'!$B:$B,"&gt;="&amp;F1,'フォームの回答 1'!$H:$H,"支出",'フォームの回答 1'!$D:$D,$A14)-SUMIFS('フォームの回答 1'!$E:$E,'フォームの回答 1'!$B:$B,"&gt;"&amp;G1,'フォームの回答 1'!$H:$H,"支出",'フォームの回答 1'!$D:$D,$A14)</f>
        <v>19489</v>
      </c>
      <c r="G14" s="9">
        <f>SUMIFS('フォームの回答 1'!$E:$E,'フォームの回答 1'!$B:$B,"&gt;="&amp;G1,'フォームの回答 1'!$H:$H,"支出",'フォームの回答 1'!$D:$D,$A14)-SUMIFS('フォームの回答 1'!$E:$E,'フォームの回答 1'!$B:$B,"&gt;"&amp;H1,'フォームの回答 1'!$H:$H,"支出",'フォームの回答 1'!$D:$D,$A14)</f>
        <v>51671</v>
      </c>
      <c r="H14" s="9">
        <f>SUMIFS('フォームの回答 1'!$E:$E,'フォームの回答 1'!$B:$B,"&gt;="&amp;H1,'フォームの回答 1'!$H:$H,"支出",'フォームの回答 1'!$D:$D,$A14)-SUMIFS('フォームの回答 1'!$E:$E,'フォームの回答 1'!$B:$B,"&gt;"&amp;I1,'フォームの回答 1'!$H:$H,"支出",'フォームの回答 1'!$D:$D,$A14)</f>
        <v>57047</v>
      </c>
      <c r="I14" s="9">
        <f>SUMIFS('フォームの回答 1'!$E:$E,'フォームの回答 1'!$B:$B,"&gt;="&amp;I1,'フォームの回答 1'!$H:$H,"支出",'フォームの回答 1'!$D:$D,$A14)-SUMIFS('フォームの回答 1'!$E:$E,'フォームの回答 1'!$B:$B,"&gt;"&amp;J1,'フォームの回答 1'!$H:$H,"支出",'フォームの回答 1'!$D:$D,$A14)</f>
        <v>22624</v>
      </c>
      <c r="J14" s="9">
        <f>SUMIFS('フォームの回答 1'!$E:$E,'フォームの回答 1'!$B:$B,"&gt;="&amp;J1,'フォームの回答 1'!$H:$H,"支出",'フォームの回答 1'!$D:$D,$A14)-SUMIFS('フォームの回答 1'!$E:$E,'フォームの回答 1'!$B:$B,"&gt;"&amp;K1,'フォームの回答 1'!$H:$H,"支出",'フォームの回答 1'!$D:$D,$A14)</f>
        <v>30365</v>
      </c>
      <c r="K14" s="9">
        <f>SUMIFS('フォームの回答 1'!$E:$E,'フォームの回答 1'!$B:$B,"&gt;="&amp;K1,'フォームの回答 1'!$H:$H,"支出",'フォームの回答 1'!$D:$D,$A14)-SUMIFS('フォームの回答 1'!$E:$E,'フォームの回答 1'!$B:$B,"&gt;"&amp;L1,'フォームの回答 1'!$H:$H,"支出",'フォームの回答 1'!$D:$D,$A14)</f>
        <v>27124</v>
      </c>
      <c r="L14" s="9">
        <f>SUMIFS('フォームの回答 1'!$E:$E,'フォームの回答 1'!$B:$B,"&gt;="&amp;L1,'フォームの回答 1'!$H:$H,"支出",'フォームの回答 1'!$D:$D,$A14)-SUMIFS('フォームの回答 1'!$E:$E,'フォームの回答 1'!$B:$B,"&gt;"&amp;M1,'フォームの回答 1'!$H:$H,"支出",'フォームの回答 1'!$D:$D,$A14)</f>
        <v>30946</v>
      </c>
      <c r="M14" s="9">
        <f>SUMIFS('フォームの回答 1'!$E:$E,'フォームの回答 1'!$B:$B,"&gt;="&amp;M1,'フォームの回答 1'!$H:$H,"支出",'フォームの回答 1'!$D:$D,$A14)-SUMIFS('フォームの回答 1'!$E:$E,'フォームの回答 1'!$B:$B,"&gt;"&amp;N1,'フォームの回答 1'!$H:$H,"支出",'フォームの回答 1'!$D:$D,$A14)</f>
        <v>28496</v>
      </c>
      <c r="N14" s="9">
        <f>SUMIFS('フォームの回答 1'!$E:$E,'フォームの回答 1'!$B:$B,"&gt;="&amp;N1,'フォームの回答 1'!$H:$H,"支出",'フォームの回答 1'!$D:$D,$A14)-SUMIFS('フォームの回答 1'!$E:$E,'フォームの回答 1'!$B:$B,"&gt;"&amp;O1,'フォームの回答 1'!$H:$H,"支出",'フォームの回答 1'!$D:$D,$A14)</f>
        <v>149693</v>
      </c>
    </row>
    <row r="15" spans="1:14" ht="15.75" customHeight="1">
      <c r="A15" s="8" t="s">
        <v>46</v>
      </c>
      <c r="B15" s="9">
        <f t="shared" si="2"/>
        <v>39303</v>
      </c>
      <c r="C15" s="9">
        <f>SUMIFS('フォームの回答 1'!$E:$E,'フォームの回答 1'!$B:$B,"&gt;="&amp;C1,'フォームの回答 1'!$H:$H,"支出",'フォームの回答 1'!$D:$D,$A15)-SUMIFS('フォームの回答 1'!$E:$E,'フォームの回答 1'!$B:$B,"&gt;"&amp;D1,'フォームの回答 1'!$H:$H,"支出",'フォームの回答 1'!$D:$D,$A15)</f>
        <v>3461</v>
      </c>
      <c r="D15" s="9">
        <f>SUMIFS('フォームの回答 1'!$E:$E,'フォームの回答 1'!$B:$B,"&gt;="&amp;D1,'フォームの回答 1'!$H:$H,"支出",'フォームの回答 1'!$D:$D,$A15)-SUMIFS('フォームの回答 1'!$E:$E,'フォームの回答 1'!$B:$B,"&gt;"&amp;E1,'フォームの回答 1'!$H:$H,"支出",'フォームの回答 1'!$D:$D,$A15)</f>
        <v>2937</v>
      </c>
      <c r="E15" s="9">
        <f>SUMIFS('フォームの回答 1'!$E:$E,'フォームの回答 1'!$B:$B,"&gt;="&amp;E1,'フォームの回答 1'!$H:$H,"支出",'フォームの回答 1'!$D:$D,$A15)-SUMIFS('フォームの回答 1'!$E:$E,'フォームの回答 1'!$B:$B,"&gt;"&amp;F1,'フォームの回答 1'!$H:$H,"支出",'フォームの回答 1'!$D:$D,$A15)</f>
        <v>8386</v>
      </c>
      <c r="F15" s="9">
        <f>SUMIFS('フォームの回答 1'!$E:$E,'フォームの回答 1'!$B:$B,"&gt;="&amp;F1,'フォームの回答 1'!$H:$H,"支出",'フォームの回答 1'!$D:$D,$A15)-SUMIFS('フォームの回答 1'!$E:$E,'フォームの回答 1'!$B:$B,"&gt;"&amp;G1,'フォームの回答 1'!$H:$H,"支出",'フォームの回答 1'!$D:$D,$A15)</f>
        <v>5490</v>
      </c>
      <c r="G15" s="9">
        <f>SUMIFS('フォームの回答 1'!$E:$E,'フォームの回答 1'!$B:$B,"&gt;="&amp;G1,'フォームの回答 1'!$H:$H,"支出",'フォームの回答 1'!$D:$D,$A15)-SUMIFS('フォームの回答 1'!$E:$E,'フォームの回答 1'!$B:$B,"&gt;"&amp;H1,'フォームの回答 1'!$H:$H,"支出",'フォームの回答 1'!$D:$D,$A15)</f>
        <v>7907</v>
      </c>
      <c r="H15" s="9">
        <f>SUMIFS('フォームの回答 1'!$E:$E,'フォームの回答 1'!$B:$B,"&gt;="&amp;H1,'フォームの回答 1'!$H:$H,"支出",'フォームの回答 1'!$D:$D,$A15)-SUMIFS('フォームの回答 1'!$E:$E,'フォームの回答 1'!$B:$B,"&gt;"&amp;I1,'フォームの回答 1'!$H:$H,"支出",'フォームの回答 1'!$D:$D,$A15)</f>
        <v>4112</v>
      </c>
      <c r="I15" s="9">
        <f>SUMIFS('フォームの回答 1'!$E:$E,'フォームの回答 1'!$B:$B,"&gt;="&amp;I1,'フォームの回答 1'!$H:$H,"支出",'フォームの回答 1'!$D:$D,$A15)-SUMIFS('フォームの回答 1'!$E:$E,'フォームの回答 1'!$B:$B,"&gt;"&amp;J1,'フォームの回答 1'!$H:$H,"支出",'フォームの回答 1'!$D:$D,$A15)</f>
        <v>7010</v>
      </c>
      <c r="J15" s="9">
        <f>SUMIFS('フォームの回答 1'!$E:$E,'フォームの回答 1'!$B:$B,"&gt;="&amp;J1,'フォームの回答 1'!$H:$H,"支出",'フォームの回答 1'!$D:$D,$A15)-SUMIFS('フォームの回答 1'!$E:$E,'フォームの回答 1'!$B:$B,"&gt;"&amp;K1,'フォームの回答 1'!$H:$H,"支出",'フォームの回答 1'!$D:$D,$A15)</f>
        <v>4312</v>
      </c>
      <c r="K15" s="9">
        <f>SUMIFS('フォームの回答 1'!$E:$E,'フォームの回答 1'!$B:$B,"&gt;="&amp;K1,'フォームの回答 1'!$H:$H,"支出",'フォームの回答 1'!$D:$D,$A15)-SUMIFS('フォームの回答 1'!$E:$E,'フォームの回答 1'!$B:$B,"&gt;"&amp;L1,'フォームの回答 1'!$H:$H,"支出",'フォームの回答 1'!$D:$D,$A15)</f>
        <v>3407</v>
      </c>
      <c r="L15" s="9">
        <f>SUMIFS('フォームの回答 1'!$E:$E,'フォームの回答 1'!$B:$B,"&gt;="&amp;L1,'フォームの回答 1'!$H:$H,"支出",'フォームの回答 1'!$D:$D,$A15)-SUMIFS('フォームの回答 1'!$E:$E,'フォームの回答 1'!$B:$B,"&gt;"&amp;M1,'フォームの回答 1'!$H:$H,"支出",'フォームの回答 1'!$D:$D,$A15)</f>
        <v>9253</v>
      </c>
      <c r="M15" s="9">
        <f>SUMIFS('フォームの回答 1'!$E:$E,'フォームの回答 1'!$B:$B,"&gt;="&amp;M1,'フォームの回答 1'!$H:$H,"支出",'フォームの回答 1'!$D:$D,$A15)-SUMIFS('フォームの回答 1'!$E:$E,'フォームの回答 1'!$B:$B,"&gt;"&amp;N1,'フォームの回答 1'!$H:$H,"支出",'フォームの回答 1'!$D:$D,$A15)</f>
        <v>14773</v>
      </c>
      <c r="N15" s="9">
        <f>SUMIFS('フォームの回答 1'!$E:$E,'フォームの回答 1'!$B:$B,"&gt;="&amp;N1,'フォームの回答 1'!$H:$H,"支出",'フォームの回答 1'!$D:$D,$A15)-SUMIFS('フォームの回答 1'!$E:$E,'フォームの回答 1'!$B:$B,"&gt;"&amp;O1,'フォームの回答 1'!$H:$H,"支出",'フォームの回答 1'!$D:$D,$A15)</f>
        <v>38747</v>
      </c>
    </row>
    <row r="16" spans="1:14" ht="15.75" customHeight="1">
      <c r="A16" s="8" t="s">
        <v>47</v>
      </c>
      <c r="B16" s="9">
        <f t="shared" si="2"/>
        <v>509600</v>
      </c>
      <c r="C16" s="9">
        <f>SUMIFS('フォームの回答 1'!$E:$E,'フォームの回答 1'!$B:$B,"&gt;="&amp;C1,'フォームの回答 1'!$H:$H,"支出",'フォームの回答 1'!$D:$D,$A16)-SUMIFS('フォームの回答 1'!$E:$E,'フォームの回答 1'!$B:$B,"&gt;"&amp;D1,'フォームの回答 1'!$H:$H,"支出",'フォームの回答 1'!$D:$D,$A16)</f>
        <v>67000</v>
      </c>
      <c r="D16" s="9">
        <f>SUMIFS('フォームの回答 1'!$E:$E,'フォームの回答 1'!$B:$B,"&gt;="&amp;D1,'フォームの回答 1'!$H:$H,"支出",'フォームの回答 1'!$D:$D,$A16)-SUMIFS('フォームの回答 1'!$E:$E,'フォームの回答 1'!$B:$B,"&gt;"&amp;E1,'フォームの回答 1'!$H:$H,"支出",'フォームの回答 1'!$D:$D,$A16)</f>
        <v>69000</v>
      </c>
      <c r="E16" s="9">
        <f>SUMIFS('フォームの回答 1'!$E:$E,'フォームの回答 1'!$B:$B,"&gt;="&amp;E1,'フォームの回答 1'!$H:$H,"支出",'フォームの回答 1'!$D:$D,$A16)-SUMIFS('フォームの回答 1'!$E:$E,'フォームの回答 1'!$B:$B,"&gt;"&amp;F1,'フォームの回答 1'!$H:$H,"支出",'フォームの回答 1'!$D:$D,$A16)</f>
        <v>67000</v>
      </c>
      <c r="F16" s="9">
        <f>SUMIFS('フォームの回答 1'!$E:$E,'フォームの回答 1'!$B:$B,"&gt;="&amp;F1,'フォームの回答 1'!$H:$H,"支出",'フォームの回答 1'!$D:$D,$A16)-SUMIFS('フォームの回答 1'!$E:$E,'フォームの回答 1'!$B:$B,"&gt;"&amp;G1,'フォームの回答 1'!$H:$H,"支出",'フォームの回答 1'!$D:$D,$A16)</f>
        <v>67000</v>
      </c>
      <c r="G16" s="9">
        <f>SUMIFS('フォームの回答 1'!$E:$E,'フォームの回答 1'!$B:$B,"&gt;="&amp;G1,'フォームの回答 1'!$H:$H,"支出",'フォームの回答 1'!$D:$D,$A16)-SUMIFS('フォームの回答 1'!$E:$E,'フォームの回答 1'!$B:$B,"&gt;"&amp;H1,'フォームの回答 1'!$H:$H,"支出",'フォームの回答 1'!$D:$D,$A16)</f>
        <v>77200</v>
      </c>
      <c r="H16" s="9">
        <f>SUMIFS('フォームの回答 1'!$E:$E,'フォームの回答 1'!$B:$B,"&gt;="&amp;H1,'フォームの回答 1'!$H:$H,"支出",'フォームの回答 1'!$D:$D,$A16)-SUMIFS('フォームの回答 1'!$E:$E,'フォームの回答 1'!$B:$B,"&gt;"&amp;I1,'フォームの回答 1'!$H:$H,"支出",'フォームの回答 1'!$D:$D,$A16)</f>
        <v>81200</v>
      </c>
      <c r="I16" s="9">
        <f>SUMIFS('フォームの回答 1'!$E:$E,'フォームの回答 1'!$B:$B,"&gt;="&amp;I1,'フォームの回答 1'!$H:$H,"支出",'フォームの回答 1'!$D:$D,$A16)-SUMIFS('フォームの回答 1'!$E:$E,'フォームの回答 1'!$B:$B,"&gt;"&amp;J1,'フォームの回答 1'!$H:$H,"支出",'フォームの回答 1'!$D:$D,$A16)</f>
        <v>81200</v>
      </c>
      <c r="J16" s="9">
        <f>SUMIFS('フォームの回答 1'!$E:$E,'フォームの回答 1'!$B:$B,"&gt;="&amp;J1,'フォームの回答 1'!$H:$H,"支出",'フォームの回答 1'!$D:$D,$A16)-SUMIFS('フォームの回答 1'!$E:$E,'フォームの回答 1'!$B:$B,"&gt;"&amp;K1,'フォームの回答 1'!$H:$H,"支出",'フォームの回答 1'!$D:$D,$A16)</f>
        <v>81200</v>
      </c>
      <c r="K16" s="9">
        <f>SUMIFS('フォームの回答 1'!$E:$E,'フォームの回答 1'!$B:$B,"&gt;="&amp;K1,'フォームの回答 1'!$H:$H,"支出",'フォームの回答 1'!$D:$D,$A16)-SUMIFS('フォームの回答 1'!$E:$E,'フォームの回答 1'!$B:$B,"&gt;"&amp;L1,'フォームの回答 1'!$H:$H,"支出",'フォームの回答 1'!$D:$D,$A16)</f>
        <v>81000</v>
      </c>
      <c r="L16" s="9">
        <f>SUMIFS('フォームの回答 1'!$E:$E,'フォームの回答 1'!$B:$B,"&gt;="&amp;L1,'フォームの回答 1'!$H:$H,"支出",'フォームの回答 1'!$D:$D,$A16)-SUMIFS('フォームの回答 1'!$E:$E,'フォームの回答 1'!$B:$B,"&gt;"&amp;M1,'フォームの回答 1'!$H:$H,"支出",'フォームの回答 1'!$D:$D,$A16)</f>
        <v>81000</v>
      </c>
      <c r="M16" s="9">
        <f>SUMIFS('フォームの回答 1'!$E:$E,'フォームの回答 1'!$B:$B,"&gt;="&amp;M1,'フォームの回答 1'!$H:$H,"支出",'フォームの回答 1'!$D:$D,$A16)-SUMIFS('フォームの回答 1'!$E:$E,'フォームの回答 1'!$B:$B,"&gt;"&amp;N1,'フォームの回答 1'!$H:$H,"支出",'フォームの回答 1'!$D:$D,$A16)</f>
        <v>83000</v>
      </c>
      <c r="N16" s="9">
        <f>SUMIFS('フォームの回答 1'!$E:$E,'フォームの回答 1'!$B:$B,"&gt;="&amp;N1,'フォームの回答 1'!$H:$H,"支出",'フォームの回答 1'!$D:$D,$A16)-SUMIFS('フォームの回答 1'!$E:$E,'フォームの回答 1'!$B:$B,"&gt;"&amp;O1,'フォームの回答 1'!$H:$H,"支出",'フォームの回答 1'!$D:$D,$A16)</f>
        <v>409400</v>
      </c>
    </row>
    <row r="17" spans="1:14" ht="15.75" customHeight="1">
      <c r="A17" s="8" t="s">
        <v>48</v>
      </c>
      <c r="B17" s="9">
        <f t="shared" si="2"/>
        <v>40637</v>
      </c>
      <c r="C17" s="9">
        <f>SUMIFS('フォームの回答 1'!$E:$E,'フォームの回答 1'!$B:$B,"&gt;="&amp;C1,'フォームの回答 1'!$H:$H,"支出",'フォームの回答 1'!$D:$D,$A17)-SUMIFS('フォームの回答 1'!$E:$E,'フォームの回答 1'!$B:$B,"&gt;"&amp;D1,'フォームの回答 1'!$H:$H,"支出",'フォームの回答 1'!$D:$D,$A17)</f>
        <v>4432</v>
      </c>
      <c r="D17" s="9">
        <f>SUMIFS('フォームの回答 1'!$E:$E,'フォームの回答 1'!$B:$B,"&gt;="&amp;D1,'フォームの回答 1'!$H:$H,"支出",'フォームの回答 1'!$D:$D,$A17)-SUMIFS('フォームの回答 1'!$E:$E,'フォームの回答 1'!$B:$B,"&gt;"&amp;E1,'フォームの回答 1'!$H:$H,"支出",'フォームの回答 1'!$D:$D,$A17)</f>
        <v>4508</v>
      </c>
      <c r="E17" s="9">
        <f>SUMIFS('フォームの回答 1'!$E:$E,'フォームの回答 1'!$B:$B,"&gt;="&amp;E1,'フォームの回答 1'!$H:$H,"支出",'フォームの回答 1'!$D:$D,$A17)-SUMIFS('フォームの回答 1'!$E:$E,'フォームの回答 1'!$B:$B,"&gt;"&amp;F1,'フォームの回答 1'!$H:$H,"支出",'フォームの回答 1'!$D:$D,$A17)</f>
        <v>10467</v>
      </c>
      <c r="F17" s="9">
        <f>SUMIFS('フォームの回答 1'!$E:$E,'フォームの回答 1'!$B:$B,"&gt;="&amp;F1,'フォームの回答 1'!$H:$H,"支出",'フォームの回答 1'!$D:$D,$A17)-SUMIFS('フォームの回答 1'!$E:$E,'フォームの回答 1'!$B:$B,"&gt;"&amp;G1,'フォームの回答 1'!$H:$H,"支出",'フォームの回答 1'!$D:$D,$A17)</f>
        <v>5360</v>
      </c>
      <c r="G17" s="9">
        <f>SUMIFS('フォームの回答 1'!$E:$E,'フォームの回答 1'!$B:$B,"&gt;="&amp;G1,'フォームの回答 1'!$H:$H,"支出",'フォームの回答 1'!$D:$D,$A17)-SUMIFS('フォームの回答 1'!$E:$E,'フォームの回答 1'!$B:$B,"&gt;"&amp;H1,'フォームの回答 1'!$H:$H,"支出",'フォームの回答 1'!$D:$D,$A17)</f>
        <v>4370</v>
      </c>
      <c r="H17" s="9">
        <f>SUMIFS('フォームの回答 1'!$E:$E,'フォームの回答 1'!$B:$B,"&gt;="&amp;H1,'フォームの回答 1'!$H:$H,"支出",'フォームの回答 1'!$D:$D,$A17)-SUMIFS('フォームの回答 1'!$E:$E,'フォームの回答 1'!$B:$B,"&gt;"&amp;I1,'フォームの回答 1'!$H:$H,"支出",'フォームの回答 1'!$D:$D,$A17)</f>
        <v>5919</v>
      </c>
      <c r="I17" s="9">
        <f>SUMIFS('フォームの回答 1'!$E:$E,'フォームの回答 1'!$B:$B,"&gt;="&amp;I1,'フォームの回答 1'!$H:$H,"支出",'フォームの回答 1'!$D:$D,$A17)-SUMIFS('フォームの回答 1'!$E:$E,'フォームの回答 1'!$B:$B,"&gt;"&amp;J1,'フォームの回答 1'!$H:$H,"支出",'フォームの回答 1'!$D:$D,$A17)</f>
        <v>5581</v>
      </c>
      <c r="J17" s="9">
        <f>SUMIFS('フォームの回答 1'!$E:$E,'フォームの回答 1'!$B:$B,"&gt;="&amp;J1,'フォームの回答 1'!$H:$H,"支出",'フォームの回答 1'!$D:$D,$A17)-SUMIFS('フォームの回答 1'!$E:$E,'フォームの回答 1'!$B:$B,"&gt;"&amp;K1,'フォームの回答 1'!$H:$H,"支出",'フォームの回答 1'!$D:$D,$A17)</f>
        <v>4416</v>
      </c>
      <c r="K17" s="9">
        <f>SUMIFS('フォームの回答 1'!$E:$E,'フォームの回答 1'!$B:$B,"&gt;="&amp;K1,'フォームの回答 1'!$H:$H,"支出",'フォームの回答 1'!$D:$D,$A17)-SUMIFS('フォームの回答 1'!$E:$E,'フォームの回答 1'!$B:$B,"&gt;"&amp;L1,'フォームの回答 1'!$H:$H,"支出",'フォームの回答 1'!$D:$D,$A17)</f>
        <v>10513</v>
      </c>
      <c r="L17" s="9">
        <f>SUMIFS('フォームの回答 1'!$E:$E,'フォームの回答 1'!$B:$B,"&gt;="&amp;L1,'フォームの回答 1'!$H:$H,"支出",'フォームの回答 1'!$D:$D,$A17)-SUMIFS('フォームの回答 1'!$E:$E,'フォームの回答 1'!$B:$B,"&gt;"&amp;M1,'フォームの回答 1'!$H:$H,"支出",'フォームの回答 1'!$D:$D,$A17)</f>
        <v>4514</v>
      </c>
      <c r="M17" s="9">
        <f>SUMIFS('フォームの回答 1'!$E:$E,'フォームの回答 1'!$B:$B,"&gt;="&amp;M1,'フォームの回答 1'!$H:$H,"支出",'フォームの回答 1'!$D:$D,$A17)-SUMIFS('フォームの回答 1'!$E:$E,'フォームの回答 1'!$B:$B,"&gt;"&amp;N1,'フォームの回答 1'!$H:$H,"支出",'フォームの回答 1'!$D:$D,$A17)</f>
        <v>4572</v>
      </c>
      <c r="N17" s="9">
        <f>SUMIFS('フォームの回答 1'!$E:$E,'フォームの回答 1'!$B:$B,"&gt;="&amp;N1,'フォームの回答 1'!$H:$H,"支出",'フォームの回答 1'!$D:$D,$A17)-SUMIFS('フォームの回答 1'!$E:$E,'フォームの回答 1'!$B:$B,"&gt;"&amp;O1,'フォームの回答 1'!$H:$H,"支出",'フォームの回答 1'!$D:$D,$A17)</f>
        <v>43771</v>
      </c>
    </row>
    <row r="18" spans="1:14" ht="15.75" customHeight="1">
      <c r="A18" s="8" t="s">
        <v>49</v>
      </c>
      <c r="B18" s="9">
        <f t="shared" si="2"/>
        <v>59598</v>
      </c>
      <c r="C18" s="9">
        <f>SUMIFS('フォームの回答 1'!$E:$E,'フォームの回答 1'!$B:$B,"&gt;="&amp;C1,'フォームの回答 1'!$H:$H,"支出",'フォームの回答 1'!$D:$D,$A18)-SUMIFS('フォームの回答 1'!$E:$E,'フォームの回答 1'!$B:$B,"&gt;"&amp;D1,'フォームの回答 1'!$H:$H,"支出",'フォームの回答 1'!$D:$D,$A18)</f>
        <v>9980</v>
      </c>
      <c r="D18" s="9">
        <f>SUMIFS('フォームの回答 1'!$E:$E,'フォームの回答 1'!$B:$B,"&gt;="&amp;D1,'フォームの回答 1'!$H:$H,"支出",'フォームの回答 1'!$D:$D,$A18)-SUMIFS('フォームの回答 1'!$E:$E,'フォームの回答 1'!$B:$B,"&gt;"&amp;E1,'フォームの回答 1'!$H:$H,"支出",'フォームの回答 1'!$D:$D,$A18)</f>
        <v>7480</v>
      </c>
      <c r="E18" s="9">
        <f>SUMIFS('フォームの回答 1'!$E:$E,'フォームの回答 1'!$B:$B,"&gt;="&amp;E1,'フォームの回答 1'!$H:$H,"支出",'フォームの回答 1'!$D:$D,$A18)-SUMIFS('フォームの回答 1'!$E:$E,'フォームの回答 1'!$B:$B,"&gt;"&amp;F1,'フォームの回答 1'!$H:$H,"支出",'フォームの回答 1'!$D:$D,$A18)</f>
        <v>12218</v>
      </c>
      <c r="F18" s="9">
        <f>SUMIFS('フォームの回答 1'!$E:$E,'フォームの回答 1'!$B:$B,"&gt;="&amp;F1,'フォームの回答 1'!$H:$H,"支出",'フォームの回答 1'!$D:$D,$A18)-SUMIFS('フォームの回答 1'!$E:$E,'フォームの回答 1'!$B:$B,"&gt;"&amp;G1,'フォームの回答 1'!$H:$H,"支出",'フォームの回答 1'!$D:$D,$A18)</f>
        <v>10660</v>
      </c>
      <c r="G18" s="9">
        <f>SUMIFS('フォームの回答 1'!$E:$E,'フォームの回答 1'!$B:$B,"&gt;="&amp;G1,'フォームの回答 1'!$H:$H,"支出",'フォームの回答 1'!$D:$D,$A18)-SUMIFS('フォームの回答 1'!$E:$E,'フォームの回答 1'!$B:$B,"&gt;"&amp;H1,'フォームの回答 1'!$H:$H,"支出",'フォームの回答 1'!$D:$D,$A18)</f>
        <v>8480</v>
      </c>
      <c r="H18" s="9">
        <f>SUMIFS('フォームの回答 1'!$E:$E,'フォームの回答 1'!$B:$B,"&gt;="&amp;H1,'フォームの回答 1'!$H:$H,"支出",'フォームの回答 1'!$D:$D,$A18)-SUMIFS('フォームの回答 1'!$E:$E,'フォームの回答 1'!$B:$B,"&gt;"&amp;I1,'フォームの回答 1'!$H:$H,"支出",'フォームの回答 1'!$D:$D,$A18)</f>
        <v>3500</v>
      </c>
      <c r="I18" s="9">
        <f>SUMIFS('フォームの回答 1'!$E:$E,'フォームの回答 1'!$B:$B,"&gt;="&amp;I1,'フォームの回答 1'!$H:$H,"支出",'フォームの回答 1'!$D:$D,$A18)-SUMIFS('フォームの回答 1'!$E:$E,'フォームの回答 1'!$B:$B,"&gt;"&amp;J1,'フォームの回答 1'!$H:$H,"支出",'フォームの回答 1'!$D:$D,$A18)</f>
        <v>7280</v>
      </c>
      <c r="J18" s="9">
        <f>SUMIFS('フォームの回答 1'!$E:$E,'フォームの回答 1'!$B:$B,"&gt;="&amp;J1,'フォームの回答 1'!$H:$H,"支出",'フォームの回答 1'!$D:$D,$A18)-SUMIFS('フォームの回答 1'!$E:$E,'フォームの回答 1'!$B:$B,"&gt;"&amp;K1,'フォームの回答 1'!$H:$H,"支出",'フォームの回答 1'!$D:$D,$A18)</f>
        <v>7280</v>
      </c>
      <c r="K18" s="9">
        <f>SUMIFS('フォームの回答 1'!$E:$E,'フォームの回答 1'!$B:$B,"&gt;="&amp;K1,'フォームの回答 1'!$H:$H,"支出",'フォームの回答 1'!$D:$D,$A18)-SUMIFS('フォームの回答 1'!$E:$E,'フォームの回答 1'!$B:$B,"&gt;"&amp;L1,'フォームの回答 1'!$H:$H,"支出",'フォームの回答 1'!$D:$D,$A18)</f>
        <v>10680</v>
      </c>
      <c r="L18" s="9">
        <f>SUMIFS('フォームの回答 1'!$E:$E,'フォームの回答 1'!$B:$B,"&gt;="&amp;L1,'フォームの回答 1'!$H:$H,"支出",'フォームの回答 1'!$D:$D,$A18)-SUMIFS('フォームの回答 1'!$E:$E,'フォームの回答 1'!$B:$B,"&gt;"&amp;M1,'フォームの回答 1'!$H:$H,"支出",'フォームの回答 1'!$D:$D,$A18)</f>
        <v>8480</v>
      </c>
      <c r="M18" s="9">
        <f>SUMIFS('フォームの回答 1'!$E:$E,'フォームの回答 1'!$B:$B,"&gt;="&amp;M1,'フォームの回答 1'!$H:$H,"支出",'フォームの回答 1'!$D:$D,$A18)-SUMIFS('フォームの回答 1'!$E:$E,'フォームの回答 1'!$B:$B,"&gt;"&amp;N1,'フォームの回答 1'!$H:$H,"支出",'フォームの回答 1'!$D:$D,$A18)</f>
        <v>10130</v>
      </c>
      <c r="N18" s="9">
        <f>SUMIFS('フォームの回答 1'!$E:$E,'フォームの回答 1'!$B:$B,"&gt;="&amp;N1,'フォームの回答 1'!$H:$H,"支出",'フォームの回答 1'!$D:$D,$A18)-SUMIFS('フォームの回答 1'!$E:$E,'フォームの回答 1'!$B:$B,"&gt;"&amp;O1,'フォームの回答 1'!$H:$H,"支出",'フォームの回答 1'!$D:$D,$A18)</f>
        <v>31440</v>
      </c>
    </row>
    <row r="19" spans="1:14" ht="15.75" customHeight="1">
      <c r="C19" s="1"/>
    </row>
  </sheetData>
  <mergeCells count="1">
    <mergeCell ref="B5:N5"/>
  </mergeCells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21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cols>
    <col min="1" max="1" width="20.1640625" customWidth="1"/>
  </cols>
  <sheetData>
    <row r="1" spans="1:14" ht="15.75" customHeight="1">
      <c r="A1" s="3"/>
      <c r="B1" s="4" t="s">
        <v>33</v>
      </c>
      <c r="C1" s="5">
        <v>46023</v>
      </c>
      <c r="D1" s="5">
        <v>46054</v>
      </c>
      <c r="E1" s="5">
        <v>46082</v>
      </c>
      <c r="F1" s="5">
        <v>46113</v>
      </c>
      <c r="G1" s="5">
        <v>46143</v>
      </c>
      <c r="H1" s="5">
        <v>46174</v>
      </c>
      <c r="I1" s="5">
        <v>46204</v>
      </c>
      <c r="J1" s="5">
        <v>46235</v>
      </c>
      <c r="K1" s="5">
        <v>46266</v>
      </c>
      <c r="L1" s="5">
        <v>46296</v>
      </c>
      <c r="M1" s="5">
        <v>46327</v>
      </c>
      <c r="N1" s="5">
        <v>46357</v>
      </c>
    </row>
    <row r="2" spans="1:14" ht="15.75" customHeight="1">
      <c r="A2" s="8" t="s">
        <v>34</v>
      </c>
      <c r="B2" s="9">
        <f t="shared" ref="B2:B4" si="0">SUM(C2:H2)</f>
        <v>1758140</v>
      </c>
      <c r="C2" s="9">
        <f>SUMIFS('フォームの回答 1'!$E:$E,'フォームの回答 1'!$B:$B,"&gt;="&amp;C1,'フォームの回答 1'!$H:$H,"収入")-SUMIFS('フォームの回答 1'!$E:$E,'フォームの回答 1'!$B:$B,"&gt;"&amp;D1,'フォームの回答 1'!$H:$H,"収入")</f>
        <v>463915</v>
      </c>
      <c r="D2" s="9">
        <f>SUMIFS('フォームの回答 1'!$E:$E,'フォームの回答 1'!$B:$B,"&gt;="&amp;D1,'フォームの回答 1'!$H:$H,"収入")-SUMIFS('フォームの回答 1'!$E:$E,'フォームの回答 1'!$B:$B,"&gt;"&amp;E1,'フォームの回答 1'!$H:$H,"収入")</f>
        <v>425879</v>
      </c>
      <c r="E2" s="9">
        <f>SUMIFS('フォームの回答 1'!$E:$E,'フォームの回答 1'!$B:$B,"&gt;="&amp;E1,'フォームの回答 1'!$H:$H,"収入")-SUMIFS('フォームの回答 1'!$E:$E,'フォームの回答 1'!$B:$B,"&gt;"&amp;F1,'フォームの回答 1'!$H:$H,"収入")</f>
        <v>417513</v>
      </c>
      <c r="F2" s="9">
        <f>SUMIFS('フォームの回答 1'!$E:$E,'フォームの回答 1'!$B:$B,"&gt;="&amp;F1,'フォームの回答 1'!$H:$H,"収入")-SUMIFS('フォームの回答 1'!$E:$E,'フォームの回答 1'!$B:$B,"&gt;"&amp;G1,'フォームの回答 1'!$H:$H,"収入")</f>
        <v>450833</v>
      </c>
      <c r="G2" s="9">
        <f>SUMIFS('フォームの回答 1'!$E:$E,'フォームの回答 1'!$B:$B,"&gt;="&amp;G1,'フォームの回答 1'!$H:$H,"収入")-SUMIFS('フォームの回答 1'!$E:$E,'フォームの回答 1'!$B:$B,"&gt;"&amp;H1,'フォームの回答 1'!$H:$H,"収入")</f>
        <v>0</v>
      </c>
      <c r="H2" s="9">
        <f>SUMIFS('フォームの回答 1'!$E:$E,'フォームの回答 1'!$B:$B,"&gt;="&amp;H1,'フォームの回答 1'!$H:$H,"収入")-SUMIFS('フォームの回答 1'!$E:$E,'フォームの回答 1'!$B:$B,"&gt;"&amp;I1,'フォームの回答 1'!$H:$H,"収入")</f>
        <v>0</v>
      </c>
      <c r="I2" s="9">
        <f>SUMIFS('フォームの回答 1'!$E:$E,'フォームの回答 1'!$B:$B,"&gt;="&amp;I1,'フォームの回答 1'!$H:$H,"収入")-SUMIFS('フォームの回答 1'!$E:$E,'フォームの回答 1'!$B:$B,"&gt;"&amp;J1,'フォームの回答 1'!$H:$H,"収入")</f>
        <v>0</v>
      </c>
      <c r="J2" s="9">
        <f>SUMIFS('フォームの回答 1'!$E:$E,'フォームの回答 1'!$B:$B,"&gt;="&amp;J1,'フォームの回答 1'!$H:$H,"収入")-SUMIFS('フォームの回答 1'!$E:$E,'フォームの回答 1'!$B:$B,"&gt;"&amp;K1,'フォームの回答 1'!$H:$H,"収入")</f>
        <v>0</v>
      </c>
      <c r="K2" s="9">
        <f>SUMIFS('フォームの回答 1'!$E:$E,'フォームの回答 1'!$B:$B,"&gt;="&amp;K1,'フォームの回答 1'!$H:$H,"収入")-SUMIFS('フォームの回答 1'!$E:$E,'フォームの回答 1'!$B:$B,"&gt;"&amp;L1,'フォームの回答 1'!$H:$H,"収入")</f>
        <v>0</v>
      </c>
      <c r="L2" s="9">
        <f>SUMIFS('フォームの回答 1'!$E:$E,'フォームの回答 1'!$B:$B,"&gt;="&amp;L1,'フォームの回答 1'!$H:$H,"収入")-SUMIFS('フォームの回答 1'!$E:$E,'フォームの回答 1'!$B:$B,"&gt;"&amp;M1,'フォームの回答 1'!$H:$H,"収入")</f>
        <v>0</v>
      </c>
      <c r="M2" s="9">
        <f>SUMIFS('フォームの回答 1'!$E:$E,'フォームの回答 1'!$B:$B,"&gt;="&amp;M1,'フォームの回答 1'!$H:$H,"収入")-SUMIFS('フォームの回答 1'!$E:$E,'フォームの回答 1'!$B:$B,"&gt;"&amp;N1,'フォームの回答 1'!$H:$H,"収入")</f>
        <v>0</v>
      </c>
      <c r="N2" s="9">
        <f>SUMIFS('フォームの回答 1'!$E:$E,'フォームの回答 1'!$B:$B,"&gt;="&amp;N1,'フォームの回答 1'!$H:$H,"収入")-SUMIFS('フォームの回答 1'!$E:$E,'フォームの回答 1'!$B:$B,"&gt;"&amp;O1,'フォームの回答 1'!$H:$H,"収入")</f>
        <v>0</v>
      </c>
    </row>
    <row r="3" spans="1:14" ht="15.75" customHeight="1">
      <c r="A3" s="8" t="s">
        <v>35</v>
      </c>
      <c r="B3" s="9">
        <f t="shared" si="0"/>
        <v>1857637</v>
      </c>
      <c r="C3" s="9">
        <f>SUMIFS('フォームの回答 1'!$E:$E,'フォームの回答 1'!$B:$B,"&gt;="&amp;C1,'フォームの回答 1'!$H:$H,"支出")-SUMIFS('フォームの回答 1'!$E:$E,'フォームの回答 1'!$B:$B,"&gt;"&amp;D1,'フォームの回答 1'!$H:$H,"支出")</f>
        <v>445187</v>
      </c>
      <c r="D3" s="9">
        <f>SUMIFS('フォームの回答 1'!$E:$E,'フォームの回答 1'!$B:$B,"&gt;="&amp;D1,'フォームの回答 1'!$H:$H,"支出")-SUMIFS('フォームの回答 1'!$E:$E,'フォームの回答 1'!$B:$B,"&gt;"&amp;E1,'フォームの回答 1'!$H:$H,"支出")</f>
        <v>428664</v>
      </c>
      <c r="E3" s="9">
        <f>SUMIFS('フォームの回答 1'!$E:$E,'フォームの回答 1'!$B:$B,"&gt;="&amp;E1,'フォームの回答 1'!$H:$H,"支出")-SUMIFS('フォームの回答 1'!$E:$E,'フォームの回答 1'!$B:$B,"&gt;"&amp;F1,'フォームの回答 1'!$H:$H,"支出")</f>
        <v>535984</v>
      </c>
      <c r="F3" s="9">
        <f>SUMIFS('フォームの回答 1'!$E:$E,'フォームの回答 1'!$B:$B,"&gt;="&amp;F1,'フォームの回答 1'!$H:$H,"支出")-SUMIFS('フォームの回答 1'!$E:$E,'フォームの回答 1'!$B:$B,"&gt;"&amp;G1,'フォームの回答 1'!$H:$H,"支出")</f>
        <v>447802</v>
      </c>
      <c r="G3" s="9">
        <f>SUMIFS('フォームの回答 1'!$E:$E,'フォームの回答 1'!$B:$B,"&gt;="&amp;G1,'フォームの回答 1'!$H:$H,"支出")-SUMIFS('フォームの回答 1'!$E:$E,'フォームの回答 1'!$B:$B,"&gt;"&amp;H1,'フォームの回答 1'!$H:$H,"支出")</f>
        <v>0</v>
      </c>
      <c r="H3" s="9">
        <f>SUMIFS('フォームの回答 1'!$E:$E,'フォームの回答 1'!$B:$B,"&gt;="&amp;H1,'フォームの回答 1'!$H:$H,"支出")-SUMIFS('フォームの回答 1'!$E:$E,'フォームの回答 1'!$B:$B,"&gt;"&amp;I1,'フォームの回答 1'!$H:$H,"支出")</f>
        <v>0</v>
      </c>
      <c r="I3" s="9">
        <f>SUMIFS('フォームの回答 1'!$E:$E,'フォームの回答 1'!$B:$B,"&gt;="&amp;I1,'フォームの回答 1'!$H:$H,"支出")-SUMIFS('フォームの回答 1'!$E:$E,'フォームの回答 1'!$B:$B,"&gt;"&amp;J1,'フォームの回答 1'!$H:$H,"支出")</f>
        <v>0</v>
      </c>
      <c r="J3" s="9">
        <f>SUMIFS('フォームの回答 1'!$E:$E,'フォームの回答 1'!$B:$B,"&gt;="&amp;J1,'フォームの回答 1'!$H:$H,"支出")-SUMIFS('フォームの回答 1'!$E:$E,'フォームの回答 1'!$B:$B,"&gt;"&amp;K1,'フォームの回答 1'!$H:$H,"支出")</f>
        <v>0</v>
      </c>
      <c r="K3" s="9">
        <f>SUMIFS('フォームの回答 1'!$E:$E,'フォームの回答 1'!$B:$B,"&gt;="&amp;K1,'フォームの回答 1'!$H:$H,"支出")-SUMIFS('フォームの回答 1'!$E:$E,'フォームの回答 1'!$B:$B,"&gt;"&amp;L1,'フォームの回答 1'!$H:$H,"支出")</f>
        <v>0</v>
      </c>
      <c r="L3" s="9">
        <f>SUMIFS('フォームの回答 1'!$E:$E,'フォームの回答 1'!$B:$B,"&gt;="&amp;L1,'フォームの回答 1'!$H:$H,"支出")-SUMIFS('フォームの回答 1'!$E:$E,'フォームの回答 1'!$B:$B,"&gt;"&amp;M1,'フォームの回答 1'!$H:$H,"支出")</f>
        <v>0</v>
      </c>
      <c r="M3" s="9">
        <f>SUMIFS('フォームの回答 1'!$E:$E,'フォームの回答 1'!$B:$B,"&gt;="&amp;M1,'フォームの回答 1'!$H:$H,"支出")-SUMIFS('フォームの回答 1'!$E:$E,'フォームの回答 1'!$B:$B,"&gt;"&amp;N1,'フォームの回答 1'!$H:$H,"支出")</f>
        <v>0</v>
      </c>
      <c r="N3" s="9">
        <f>SUMIFS('フォームの回答 1'!$E:$E,'フォームの回答 1'!$B:$B,"&gt;="&amp;N1,'フォームの回答 1'!$H:$H,"支出")-SUMIFS('フォームの回答 1'!$E:$E,'フォームの回答 1'!$B:$B,"&gt;"&amp;O1,'フォームの回答 1'!$H:$H,"支出")</f>
        <v>0</v>
      </c>
    </row>
    <row r="4" spans="1:14" ht="15.75" customHeight="1">
      <c r="A4" s="8" t="s">
        <v>36</v>
      </c>
      <c r="B4" s="9">
        <f t="shared" si="0"/>
        <v>-99497</v>
      </c>
      <c r="C4" s="9">
        <f t="shared" ref="C4:N4" si="1">C2-C3</f>
        <v>18728</v>
      </c>
      <c r="D4" s="9">
        <f t="shared" si="1"/>
        <v>-2785</v>
      </c>
      <c r="E4" s="9">
        <f t="shared" si="1"/>
        <v>-118471</v>
      </c>
      <c r="F4" s="9">
        <f t="shared" si="1"/>
        <v>3031</v>
      </c>
      <c r="G4" s="9">
        <f t="shared" si="1"/>
        <v>0</v>
      </c>
      <c r="H4" s="9">
        <f t="shared" si="1"/>
        <v>0</v>
      </c>
      <c r="I4" s="9">
        <f t="shared" si="1"/>
        <v>0</v>
      </c>
      <c r="J4" s="9">
        <f t="shared" si="1"/>
        <v>0</v>
      </c>
      <c r="K4" s="9">
        <f t="shared" si="1"/>
        <v>0</v>
      </c>
      <c r="L4" s="9">
        <f t="shared" si="1"/>
        <v>0</v>
      </c>
      <c r="M4" s="9">
        <f t="shared" si="1"/>
        <v>0</v>
      </c>
      <c r="N4" s="9">
        <f t="shared" si="1"/>
        <v>0</v>
      </c>
    </row>
    <row r="5" spans="1:14" ht="15.75" customHeight="1">
      <c r="A5" s="10"/>
      <c r="B5" s="17" t="s">
        <v>37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9"/>
    </row>
    <row r="6" spans="1:14" ht="15.75" customHeight="1">
      <c r="A6" s="8" t="s">
        <v>38</v>
      </c>
      <c r="B6" s="9">
        <f t="shared" ref="B6:B20" si="2">SUM(C6:I6)</f>
        <v>127244</v>
      </c>
      <c r="C6" s="9">
        <f>SUMIFS('フォームの回答 1'!$E:$E,'フォームの回答 1'!$B:$B,"&gt;="&amp;C1,'フォームの回答 1'!$H:$H,"支出",'フォームの回答 1'!$D:$D,$A6)-SUMIFS('フォームの回答 1'!$E:$E,'フォームの回答 1'!$B:$B,"&gt;"&amp;D1,'フォームの回答 1'!$H:$H,"支出",'フォームの回答 1'!$D:$D,$A6)</f>
        <v>37129</v>
      </c>
      <c r="D6" s="9">
        <f>SUMIFS('フォームの回答 1'!$E:$E,'フォームの回答 1'!$B:$B,"&gt;="&amp;D1,'フォームの回答 1'!$H:$H,"支出",'フォームの回答 1'!$D:$D,$A6)-SUMIFS('フォームの回答 1'!$E:$E,'フォームの回答 1'!$B:$B,"&gt;"&amp;E1,'フォームの回答 1'!$H:$H,"支出",'フォームの回答 1'!$D:$D,$A6)</f>
        <v>26827</v>
      </c>
      <c r="E6" s="9">
        <f>SUMIFS('フォームの回答 1'!$E:$E,'フォームの回答 1'!$B:$B,"&gt;="&amp;E1,'フォームの回答 1'!$H:$H,"支出",'フォームの回答 1'!$D:$D,$A6)-SUMIFS('フォームの回答 1'!$E:$E,'フォームの回答 1'!$B:$B,"&gt;"&amp;F1,'フォームの回答 1'!$H:$H,"支出",'フォームの回答 1'!$D:$D,$A6)</f>
        <v>39943</v>
      </c>
      <c r="F6" s="9">
        <f>SUMIFS('フォームの回答 1'!$E:$E,'フォームの回答 1'!$B:$B,"&gt;="&amp;F1,'フォームの回答 1'!$H:$H,"支出",'フォームの回答 1'!$D:$D,$A6)-SUMIFS('フォームの回答 1'!$E:$E,'フォームの回答 1'!$B:$B,"&gt;"&amp;G1,'フォームの回答 1'!$H:$H,"支出",'フォームの回答 1'!$D:$D,$A6)</f>
        <v>23345</v>
      </c>
      <c r="G6" s="9">
        <f>SUMIFS('フォームの回答 1'!$E:$E,'フォームの回答 1'!$B:$B,"&gt;="&amp;G1,'フォームの回答 1'!$H:$H,"支出",'フォームの回答 1'!$D:$D,$A6)-SUMIFS('フォームの回答 1'!$E:$E,'フォームの回答 1'!$B:$B,"&gt;"&amp;H1,'フォームの回答 1'!$H:$H,"支出",'フォームの回答 1'!$D:$D,$A6)</f>
        <v>0</v>
      </c>
      <c r="H6" s="9">
        <f>SUMIFS('フォームの回答 1'!$E:$E,'フォームの回答 1'!$B:$B,"&gt;="&amp;H1,'フォームの回答 1'!$H:$H,"支出",'フォームの回答 1'!$D:$D,$A6)-SUMIFS('フォームの回答 1'!$E:$E,'フォームの回答 1'!$B:$B,"&gt;"&amp;I1,'フォームの回答 1'!$H:$H,"支出",'フォームの回答 1'!$D:$D,$A6)</f>
        <v>0</v>
      </c>
      <c r="I6" s="9">
        <f>SUMIFS('フォームの回答 1'!$E:$E,'フォームの回答 1'!$B:$B,"&gt;="&amp;I1,'フォームの回答 1'!$H:$H,"支出",'フォームの回答 1'!$D:$D,$A6)-SUMIFS('フォームの回答 1'!$E:$E,'フォームの回答 1'!$B:$B,"&gt;"&amp;J1,'フォームの回答 1'!$H:$H,"支出",'フォームの回答 1'!$D:$D,$A6)</f>
        <v>0</v>
      </c>
      <c r="J6" s="9">
        <f>SUMIFS('フォームの回答 1'!$E:$E,'フォームの回答 1'!$B:$B,"&gt;="&amp;J1,'フォームの回答 1'!$H:$H,"支出",'フォームの回答 1'!$D:$D,$A6)-SUMIFS('フォームの回答 1'!$E:$E,'フォームの回答 1'!$B:$B,"&gt;"&amp;K1,'フォームの回答 1'!$H:$H,"支出",'フォームの回答 1'!$D:$D,$A6)</f>
        <v>0</v>
      </c>
      <c r="K6" s="9">
        <f>SUMIFS('フォームの回答 1'!$E:$E,'フォームの回答 1'!$B:$B,"&gt;="&amp;K1,'フォームの回答 1'!$H:$H,"支出",'フォームの回答 1'!$D:$D,$A6)-SUMIFS('フォームの回答 1'!$E:$E,'フォームの回答 1'!$B:$B,"&gt;"&amp;L1,'フォームの回答 1'!$H:$H,"支出",'フォームの回答 1'!$D:$D,$A6)</f>
        <v>0</v>
      </c>
      <c r="L6" s="9">
        <f>SUMIFS('フォームの回答 1'!$E:$E,'フォームの回答 1'!$B:$B,"&gt;="&amp;L1,'フォームの回答 1'!$H:$H,"支出",'フォームの回答 1'!$D:$D,$A6)-SUMIFS('フォームの回答 1'!$E:$E,'フォームの回答 1'!$B:$B,"&gt;"&amp;M1,'フォームの回答 1'!$H:$H,"支出",'フォームの回答 1'!$D:$D,$A6)</f>
        <v>0</v>
      </c>
      <c r="M6" s="9">
        <f>SUMIFS('フォームの回答 1'!$E:$E,'フォームの回答 1'!$B:$B,"&gt;="&amp;M1,'フォームの回答 1'!$H:$H,"支出",'フォームの回答 1'!$D:$D,$A6)-SUMIFS('フォームの回答 1'!$E:$E,'フォームの回答 1'!$B:$B,"&gt;"&amp;N1,'フォームの回答 1'!$H:$H,"支出",'フォームの回答 1'!$D:$D,$A6)</f>
        <v>0</v>
      </c>
      <c r="N6" s="9">
        <f>SUMIFS('フォームの回答 1'!$E:$E,'フォームの回答 1'!$B:$B,"&gt;="&amp;N1,'フォームの回答 1'!$H:$H,"支出",'フォームの回答 1'!$D:$D,$A6)-SUMIFS('フォームの回答 1'!$E:$E,'フォームの回答 1'!$B:$B,"&gt;"&amp;O1,'フォームの回答 1'!$H:$H,"支出",'フォームの回答 1'!$D:$D,$A6)</f>
        <v>0</v>
      </c>
    </row>
    <row r="7" spans="1:14" ht="15.75" customHeight="1">
      <c r="A7" s="8" t="s">
        <v>52</v>
      </c>
      <c r="B7" s="9">
        <f t="shared" si="2"/>
        <v>108898</v>
      </c>
      <c r="C7" s="9">
        <f>SUMIFS('フォームの回答 1'!$E:$E,'フォームの回答 1'!$B:$B,"&gt;="&amp;C1,'フォームの回答 1'!$H:$H,"支出",'フォームの回答 1'!$D:$D,$A7)-SUMIFS('フォームの回答 1'!$E:$E,'フォームの回答 1'!$B:$B,"&gt;"&amp;D1,'フォームの回答 1'!$H:$H,"支出",'フォームの回答 1'!$D:$D,$A7)</f>
        <v>20134</v>
      </c>
      <c r="D7" s="9">
        <f>SUMIFS('フォームの回答 1'!$E:$E,'フォームの回答 1'!$B:$B,"&gt;="&amp;D1,'フォームの回答 1'!$H:$H,"支出",'フォームの回答 1'!$D:$D,$A7)-SUMIFS('フォームの回答 1'!$E:$E,'フォームの回答 1'!$B:$B,"&gt;"&amp;E1,'フォームの回答 1'!$H:$H,"支出",'フォームの回答 1'!$D:$D,$A7)</f>
        <v>16690</v>
      </c>
      <c r="E7" s="9">
        <f>SUMIFS('フォームの回答 1'!$E:$E,'フォームの回答 1'!$B:$B,"&gt;="&amp;E1,'フォームの回答 1'!$H:$H,"支出",'フォームの回答 1'!$D:$D,$A7)-SUMIFS('フォームの回答 1'!$E:$E,'フォームの回答 1'!$B:$B,"&gt;"&amp;F1,'フォームの回答 1'!$H:$H,"支出",'フォームの回答 1'!$D:$D,$A7)</f>
        <v>21560</v>
      </c>
      <c r="F7" s="9">
        <f>SUMIFS('フォームの回答 1'!$E:$E,'フォームの回答 1'!$B:$B,"&gt;="&amp;F1,'フォームの回答 1'!$H:$H,"支出",'フォームの回答 1'!$D:$D,$A7)-SUMIFS('フォームの回答 1'!$E:$E,'フォームの回答 1'!$B:$B,"&gt;"&amp;G1,'フォームの回答 1'!$H:$H,"支出",'フォームの回答 1'!$D:$D,$A7)</f>
        <v>50514</v>
      </c>
      <c r="G7" s="9">
        <f>SUMIFS('フォームの回答 1'!$E:$E,'フォームの回答 1'!$B:$B,"&gt;="&amp;G2,'フォームの回答 1'!$H:$H,"支出",'フォームの回答 1'!$D:$D,$A7)-SUMIFS('フォームの回答 1'!$E:$E,'フォームの回答 1'!$B:$B,"&gt;"&amp;H2,'フォームの回答 1'!$H:$H,"支出",'フォームの回答 1'!$D:$D,$A7)</f>
        <v>0</v>
      </c>
      <c r="H7" s="9">
        <f>SUMIFS('フォームの回答 1'!$E:$E,'フォームの回答 1'!$B:$B,"&gt;="&amp;H2,'フォームの回答 1'!$H:$H,"支出",'フォームの回答 1'!$D:$D,$A7)-SUMIFS('フォームの回答 1'!$E:$E,'フォームの回答 1'!$B:$B,"&gt;"&amp;I2,'フォームの回答 1'!$H:$H,"支出",'フォームの回答 1'!$D:$D,$A7)</f>
        <v>0</v>
      </c>
      <c r="I7" s="9">
        <f>SUMIFS('フォームの回答 1'!$E:$E,'フォームの回答 1'!$B:$B,"&gt;="&amp;I2,'フォームの回答 1'!$H:$H,"支出",'フォームの回答 1'!$D:$D,$A7)-SUMIFS('フォームの回答 1'!$E:$E,'フォームの回答 1'!$B:$B,"&gt;"&amp;J2,'フォームの回答 1'!$H:$H,"支出",'フォームの回答 1'!$D:$D,$A7)</f>
        <v>0</v>
      </c>
      <c r="J7" s="9">
        <f>SUMIFS('フォームの回答 1'!$E:$E,'フォームの回答 1'!$B:$B,"&gt;="&amp;J2,'フォームの回答 1'!$H:$H,"支出",'フォームの回答 1'!$D:$D,$A7)-SUMIFS('フォームの回答 1'!$E:$E,'フォームの回答 1'!$B:$B,"&gt;"&amp;K2,'フォームの回答 1'!$H:$H,"支出",'フォームの回答 1'!$D:$D,$A7)</f>
        <v>0</v>
      </c>
      <c r="K7" s="9">
        <f>SUMIFS('フォームの回答 1'!$E:$E,'フォームの回答 1'!$B:$B,"&gt;="&amp;K2,'フォームの回答 1'!$H:$H,"支出",'フォームの回答 1'!$D:$D,$A7)-SUMIFS('フォームの回答 1'!$E:$E,'フォームの回答 1'!$B:$B,"&gt;"&amp;L2,'フォームの回答 1'!$H:$H,"支出",'フォームの回答 1'!$D:$D,$A7)</f>
        <v>0</v>
      </c>
      <c r="L7" s="9">
        <f>SUMIFS('フォームの回答 1'!$E:$E,'フォームの回答 1'!$B:$B,"&gt;="&amp;L2,'フォームの回答 1'!$H:$H,"支出",'フォームの回答 1'!$D:$D,$A7)-SUMIFS('フォームの回答 1'!$E:$E,'フォームの回答 1'!$B:$B,"&gt;"&amp;M2,'フォームの回答 1'!$H:$H,"支出",'フォームの回答 1'!$D:$D,$A7)</f>
        <v>0</v>
      </c>
      <c r="M7" s="9">
        <f>SUMIFS('フォームの回答 1'!$E:$E,'フォームの回答 1'!$B:$B,"&gt;="&amp;M2,'フォームの回答 1'!$H:$H,"支出",'フォームの回答 1'!$D:$D,$A7)-SUMIFS('フォームの回答 1'!$E:$E,'フォームの回答 1'!$B:$B,"&gt;"&amp;N2,'フォームの回答 1'!$H:$H,"支出",'フォームの回答 1'!$D:$D,$A7)</f>
        <v>0</v>
      </c>
      <c r="N7" s="9">
        <f>SUMIFS('フォームの回答 1'!$E:$E,'フォームの回答 1'!$B:$B,"&gt;="&amp;N2,'フォームの回答 1'!$H:$H,"支出",'フォームの回答 1'!$D:$D,$A7)-SUMIFS('フォームの回答 1'!$E:$E,'フォームの回答 1'!$B:$B,"&gt;"&amp;O2,'フォームの回答 1'!$H:$H,"支出",'フォームの回答 1'!$D:$D,$A7)</f>
        <v>104668</v>
      </c>
    </row>
    <row r="8" spans="1:14" ht="15.75" customHeight="1">
      <c r="A8" s="8" t="s">
        <v>39</v>
      </c>
      <c r="B8" s="9">
        <f t="shared" si="2"/>
        <v>260820</v>
      </c>
      <c r="C8" s="9">
        <f>SUMIFS('フォームの回答 1'!$E:$E,'フォームの回答 1'!$B:$B,"&gt;="&amp;C1,'フォームの回答 1'!$H:$H,"支出",'フォームの回答 1'!$D:$D,$A8)-SUMIFS('フォームの回答 1'!$E:$E,'フォームの回答 1'!$B:$B,"&gt;"&amp;D1,'フォームの回答 1'!$H:$H,"支出",'フォームの回答 1'!$D:$D,$A8)</f>
        <v>57610</v>
      </c>
      <c r="D8" s="9">
        <f>SUMIFS('フォームの回答 1'!$E:$E,'フォームの回答 1'!$B:$B,"&gt;="&amp;D1,'フォームの回答 1'!$H:$H,"支出",'フォームの回答 1'!$D:$D,$A8)-SUMIFS('フォームの回答 1'!$E:$E,'フォームの回答 1'!$B:$B,"&gt;"&amp;E1,'フォームの回答 1'!$H:$H,"支出",'フォームの回答 1'!$D:$D,$A8)</f>
        <v>64563</v>
      </c>
      <c r="E8" s="9">
        <f>SUMIFS('フォームの回答 1'!$E:$E,'フォームの回答 1'!$B:$B,"&gt;="&amp;E1,'フォームの回答 1'!$H:$H,"支出",'フォームの回答 1'!$D:$D,$A8)-SUMIFS('フォームの回答 1'!$E:$E,'フォームの回答 1'!$B:$B,"&gt;"&amp;F1,'フォームの回答 1'!$H:$H,"支出",'フォームの回答 1'!$D:$D,$A8)</f>
        <v>103406</v>
      </c>
      <c r="F8" s="9">
        <f>SUMIFS('フォームの回答 1'!$E:$E,'フォームの回答 1'!$B:$B,"&gt;="&amp;F1,'フォームの回答 1'!$H:$H,"支出",'フォームの回答 1'!$D:$D,$A8)-SUMIFS('フォームの回答 1'!$E:$E,'フォームの回答 1'!$B:$B,"&gt;"&amp;G1,'フォームの回答 1'!$H:$H,"支出",'フォームの回答 1'!$D:$D,$A8)</f>
        <v>35241</v>
      </c>
      <c r="G8" s="9">
        <f>SUMIFS('フォームの回答 1'!$E:$E,'フォームの回答 1'!$B:$B,"&gt;="&amp;G1,'フォームの回答 1'!$H:$H,"支出",'フォームの回答 1'!$D:$D,$A8)-SUMIFS('フォームの回答 1'!$E:$E,'フォームの回答 1'!$B:$B,"&gt;"&amp;H1,'フォームの回答 1'!$H:$H,"支出",'フォームの回答 1'!$D:$D,$A8)</f>
        <v>0</v>
      </c>
      <c r="H8" s="9">
        <f>SUMIFS('フォームの回答 1'!$E:$E,'フォームの回答 1'!$B:$B,"&gt;="&amp;H1,'フォームの回答 1'!$H:$H,"支出",'フォームの回答 1'!$D:$D,$A8)-SUMIFS('フォームの回答 1'!$E:$E,'フォームの回答 1'!$B:$B,"&gt;"&amp;I1,'フォームの回答 1'!$H:$H,"支出",'フォームの回答 1'!$D:$D,$A8)</f>
        <v>0</v>
      </c>
      <c r="I8" s="9">
        <f>SUMIFS('フォームの回答 1'!$E:$E,'フォームの回答 1'!$B:$B,"&gt;="&amp;I1,'フォームの回答 1'!$H:$H,"支出",'フォームの回答 1'!$D:$D,$A8)-SUMIFS('フォームの回答 1'!$E:$E,'フォームの回答 1'!$B:$B,"&gt;"&amp;J1,'フォームの回答 1'!$H:$H,"支出",'フォームの回答 1'!$D:$D,$A8)</f>
        <v>0</v>
      </c>
      <c r="J8" s="9">
        <f>SUMIFS('フォームの回答 1'!$E:$E,'フォームの回答 1'!$B:$B,"&gt;="&amp;J1,'フォームの回答 1'!$H:$H,"支出",'フォームの回答 1'!$D:$D,$A8)-SUMIFS('フォームの回答 1'!$E:$E,'フォームの回答 1'!$B:$B,"&gt;"&amp;K1,'フォームの回答 1'!$H:$H,"支出",'フォームの回答 1'!$D:$D,$A8)</f>
        <v>0</v>
      </c>
      <c r="K8" s="9">
        <f>SUMIFS('フォームの回答 1'!$E:$E,'フォームの回答 1'!$B:$B,"&gt;="&amp;K1,'フォームの回答 1'!$H:$H,"支出",'フォームの回答 1'!$D:$D,$A8)-SUMIFS('フォームの回答 1'!$E:$E,'フォームの回答 1'!$B:$B,"&gt;"&amp;L1,'フォームの回答 1'!$H:$H,"支出",'フォームの回答 1'!$D:$D,$A8)</f>
        <v>0</v>
      </c>
      <c r="L8" s="9">
        <f>SUMIFS('フォームの回答 1'!$E:$E,'フォームの回答 1'!$B:$B,"&gt;="&amp;L1,'フォームの回答 1'!$H:$H,"支出",'フォームの回答 1'!$D:$D,$A8)-SUMIFS('フォームの回答 1'!$E:$E,'フォームの回答 1'!$B:$B,"&gt;"&amp;M1,'フォームの回答 1'!$H:$H,"支出",'フォームの回答 1'!$D:$D,$A8)</f>
        <v>0</v>
      </c>
      <c r="M8" s="9">
        <f>SUMIFS('フォームの回答 1'!$E:$E,'フォームの回答 1'!$B:$B,"&gt;="&amp;M1,'フォームの回答 1'!$H:$H,"支出",'フォームの回答 1'!$D:$D,$A8)-SUMIFS('フォームの回答 1'!$E:$E,'フォームの回答 1'!$B:$B,"&gt;"&amp;N1,'フォームの回答 1'!$H:$H,"支出",'フォームの回答 1'!$D:$D,$A8)</f>
        <v>0</v>
      </c>
      <c r="N8" s="9">
        <f>SUMIFS('フォームの回答 1'!$E:$E,'フォームの回答 1'!$B:$B,"&gt;="&amp;N1,'フォームの回答 1'!$H:$H,"支出",'フォームの回答 1'!$D:$D,$A8)-SUMIFS('フォームの回答 1'!$E:$E,'フォームの回答 1'!$B:$B,"&gt;"&amp;O1,'フォームの回答 1'!$H:$H,"支出",'フォームの回答 1'!$D:$D,$A8)</f>
        <v>0</v>
      </c>
    </row>
    <row r="9" spans="1:14" ht="15.75" customHeight="1">
      <c r="A9" s="8" t="s">
        <v>53</v>
      </c>
      <c r="B9" s="9">
        <f t="shared" si="2"/>
        <v>-32820</v>
      </c>
      <c r="C9" s="9">
        <f>SUMIFS('フォームの回答 1'!$E:$E,'フォームの回答 1'!$B:$B,"&gt;="&amp;C1,'フォームの回答 1'!$H:$H,"支出",'フォームの回答 1'!$D:$D,$A9)-SUMIFS('フォームの回答 1'!$E:$E,'フォームの回答 1'!$B:$B,"&gt;"&amp;D1,'フォームの回答 1'!$H:$H,"支出",'フォームの回答 1'!$D:$D,$A9)</f>
        <v>24695</v>
      </c>
      <c r="D9" s="9">
        <f>SUMIFS('フォームの回答 1'!$E:$E,'フォームの回答 1'!$B:$B,"&gt;="&amp;D1,'フォームの回答 1'!$H:$H,"支出",'フォームの回答 1'!$D:$D,$A9)-SUMIFS('フォームの回答 1'!$E:$E,'フォームの回答 1'!$B:$B,"&gt;"&amp;E1,'フォームの回答 1'!$H:$H,"支出",'フォームの回答 1'!$D:$D,$A9)</f>
        <v>12670</v>
      </c>
      <c r="E9" s="9">
        <f>SUMIFS('フォームの回答 1'!$E:$E,'フォームの回答 1'!$B:$B,"&gt;="&amp;E2,'フォームの回答 1'!$H:$H,"支出",'フォームの回答 1'!$D:$D,$A9)-SUMIFS('フォームの回答 1'!$E:$E,'フォームの回答 1'!$B:$B,"&gt;"&amp;F2,'フォームの回答 1'!$H:$H,"支出",'フォームの回答 1'!$D:$D,$A9)</f>
        <v>0</v>
      </c>
      <c r="F9" s="9">
        <f>SUMIFS('フォームの回答 1'!$E:$E,'フォームの回答 1'!$B:$B,"&gt;="&amp;F2,'フォームの回答 1'!$H:$H,"支出",'フォームの回答 1'!$D:$D,$A9)-SUMIFS('フォームの回答 1'!$E:$E,'フォームの回答 1'!$B:$B,"&gt;"&amp;G2,'フォームの回答 1'!$H:$H,"支出",'フォームの回答 1'!$D:$D,$A9)</f>
        <v>-70185</v>
      </c>
      <c r="G9" s="9">
        <f>SUMIFS('フォームの回答 1'!$E:$E,'フォームの回答 1'!$B:$B,"&gt;="&amp;G2,'フォームの回答 1'!$H:$H,"支出",'フォームの回答 1'!$D:$D,$A9)-SUMIFS('フォームの回答 1'!$E:$E,'フォームの回答 1'!$B:$B,"&gt;"&amp;H2,'フォームの回答 1'!$H:$H,"支出",'フォームの回答 1'!$D:$D,$A9)</f>
        <v>0</v>
      </c>
      <c r="H9" s="9">
        <f>SUMIFS('フォームの回答 1'!$E:$E,'フォームの回答 1'!$B:$B,"&gt;="&amp;H2,'フォームの回答 1'!$H:$H,"支出",'フォームの回答 1'!$D:$D,$A9)-SUMIFS('フォームの回答 1'!$E:$E,'フォームの回答 1'!$B:$B,"&gt;"&amp;I2,'フォームの回答 1'!$H:$H,"支出",'フォームの回答 1'!$D:$D,$A9)</f>
        <v>0</v>
      </c>
      <c r="I9" s="9">
        <f>SUMIFS('フォームの回答 1'!$E:$E,'フォームの回答 1'!$B:$B,"&gt;="&amp;I2,'フォームの回答 1'!$H:$H,"支出",'フォームの回答 1'!$D:$D,$A9)-SUMIFS('フォームの回答 1'!$E:$E,'フォームの回答 1'!$B:$B,"&gt;"&amp;J2,'フォームの回答 1'!$H:$H,"支出",'フォームの回答 1'!$D:$D,$A9)</f>
        <v>0</v>
      </c>
      <c r="J9" s="9">
        <f>SUMIFS('フォームの回答 1'!$E:$E,'フォームの回答 1'!$B:$B,"&gt;="&amp;J2,'フォームの回答 1'!$H:$H,"支出",'フォームの回答 1'!$D:$D,$A9)-SUMIFS('フォームの回答 1'!$E:$E,'フォームの回答 1'!$B:$B,"&gt;"&amp;K2,'フォームの回答 1'!$H:$H,"支出",'フォームの回答 1'!$D:$D,$A9)</f>
        <v>0</v>
      </c>
      <c r="K9" s="9">
        <f>SUMIFS('フォームの回答 1'!$E:$E,'フォームの回答 1'!$B:$B,"&gt;="&amp;K2,'フォームの回答 1'!$H:$H,"支出",'フォームの回答 1'!$D:$D,$A9)-SUMIFS('フォームの回答 1'!$E:$E,'フォームの回答 1'!$B:$B,"&gt;"&amp;L2,'フォームの回答 1'!$H:$H,"支出",'フォームの回答 1'!$D:$D,$A9)</f>
        <v>0</v>
      </c>
      <c r="L9" s="9">
        <f>SUMIFS('フォームの回答 1'!$E:$E,'フォームの回答 1'!$B:$B,"&gt;="&amp;L2,'フォームの回答 1'!$H:$H,"支出",'フォームの回答 1'!$D:$D,$A9)-SUMIFS('フォームの回答 1'!$E:$E,'フォームの回答 1'!$B:$B,"&gt;"&amp;M2,'フォームの回答 1'!$H:$H,"支出",'フォームの回答 1'!$D:$D,$A9)</f>
        <v>0</v>
      </c>
      <c r="M9" s="9">
        <f>SUMIFS('フォームの回答 1'!$E:$E,'フォームの回答 1'!$B:$B,"&gt;="&amp;M2,'フォームの回答 1'!$H:$H,"支出",'フォームの回答 1'!$D:$D,$A9)-SUMIFS('フォームの回答 1'!$E:$E,'フォームの回答 1'!$B:$B,"&gt;"&amp;N2,'フォームの回答 1'!$H:$H,"支出",'フォームの回答 1'!$D:$D,$A9)</f>
        <v>0</v>
      </c>
      <c r="N9" s="9">
        <f>SUMIFS('フォームの回答 1'!$E:$E,'フォームの回答 1'!$B:$B,"&gt;="&amp;N2,'フォームの回答 1'!$H:$H,"支出",'フォームの回答 1'!$D:$D,$A9)-SUMIFS('フォームの回答 1'!$E:$E,'フォームの回答 1'!$B:$B,"&gt;"&amp;O2,'フォームの回答 1'!$H:$H,"支出",'フォームの回答 1'!$D:$D,$A9)</f>
        <v>70185</v>
      </c>
    </row>
    <row r="10" spans="1:14" ht="15.75" customHeight="1">
      <c r="A10" s="8" t="s">
        <v>40</v>
      </c>
      <c r="B10" s="9">
        <f t="shared" si="2"/>
        <v>173147</v>
      </c>
      <c r="C10" s="9">
        <f>SUMIFS('フォームの回答 1'!$E:$E,'フォームの回答 1'!$B:$B,"&gt;="&amp;C1,'フォームの回答 1'!$H:$H,"支出",'フォームの回答 1'!$D:$D,$A10)-SUMIFS('フォームの回答 1'!$E:$E,'フォームの回答 1'!$B:$B,"&gt;"&amp;D1,'フォームの回答 1'!$H:$H,"支出",'フォームの回答 1'!$D:$D,$A10)</f>
        <v>33949</v>
      </c>
      <c r="D10" s="9">
        <f>SUMIFS('フォームの回答 1'!$E:$E,'フォームの回答 1'!$B:$B,"&gt;="&amp;D1,'フォームの回答 1'!$H:$H,"支出",'フォームの回答 1'!$D:$D,$A10)-SUMIFS('フォームの回答 1'!$E:$E,'フォームの回答 1'!$B:$B,"&gt;"&amp;E1,'フォームの回答 1'!$H:$H,"支出",'フォームの回答 1'!$D:$D,$A10)</f>
        <v>25188</v>
      </c>
      <c r="E10" s="9">
        <f>SUMIFS('フォームの回答 1'!$E:$E,'フォームの回答 1'!$B:$B,"&gt;="&amp;E1,'フォームの回答 1'!$H:$H,"支出",'フォームの回答 1'!$D:$D,$A10)-SUMIFS('フォームの回答 1'!$E:$E,'フォームの回答 1'!$B:$B,"&gt;"&amp;F1,'フォームの回答 1'!$H:$H,"支出",'フォームの回答 1'!$D:$D,$A10)</f>
        <v>65620</v>
      </c>
      <c r="F10" s="9">
        <f>SUMIFS('フォームの回答 1'!$E:$E,'フォームの回答 1'!$B:$B,"&gt;="&amp;F1,'フォームの回答 1'!$H:$H,"支出",'フォームの回答 1'!$D:$D,$A10)-SUMIFS('フォームの回答 1'!$E:$E,'フォームの回答 1'!$B:$B,"&gt;"&amp;G1,'フォームの回答 1'!$H:$H,"支出",'フォームの回答 1'!$D:$D,$A10)</f>
        <v>48390</v>
      </c>
      <c r="G10" s="9">
        <f>SUMIFS('フォームの回答 1'!$E:$E,'フォームの回答 1'!$B:$B,"&gt;="&amp;G1,'フォームの回答 1'!$H:$H,"支出",'フォームの回答 1'!$D:$D,$A10)-SUMIFS('フォームの回答 1'!$E:$E,'フォームの回答 1'!$B:$B,"&gt;"&amp;H1,'フォームの回答 1'!$H:$H,"支出",'フォームの回答 1'!$D:$D,$A10)</f>
        <v>0</v>
      </c>
      <c r="H10" s="9">
        <f>SUMIFS('フォームの回答 1'!$E:$E,'フォームの回答 1'!$B:$B,"&gt;="&amp;H1,'フォームの回答 1'!$H:$H,"支出",'フォームの回答 1'!$D:$D,$A10)-SUMIFS('フォームの回答 1'!$E:$E,'フォームの回答 1'!$B:$B,"&gt;"&amp;I1,'フォームの回答 1'!$H:$H,"支出",'フォームの回答 1'!$D:$D,$A10)</f>
        <v>0</v>
      </c>
      <c r="I10" s="9">
        <f>SUMIFS('フォームの回答 1'!$E:$E,'フォームの回答 1'!$B:$B,"&gt;="&amp;I1,'フォームの回答 1'!$H:$H,"支出",'フォームの回答 1'!$D:$D,$A10)-SUMIFS('フォームの回答 1'!$E:$E,'フォームの回答 1'!$B:$B,"&gt;"&amp;J1,'フォームの回答 1'!$H:$H,"支出",'フォームの回答 1'!$D:$D,$A10)</f>
        <v>0</v>
      </c>
      <c r="J10" s="9">
        <f>SUMIFS('フォームの回答 1'!$E:$E,'フォームの回答 1'!$B:$B,"&gt;="&amp;J1,'フォームの回答 1'!$H:$H,"支出",'フォームの回答 1'!$D:$D,$A10)-SUMIFS('フォームの回答 1'!$E:$E,'フォームの回答 1'!$B:$B,"&gt;"&amp;K1,'フォームの回答 1'!$H:$H,"支出",'フォームの回答 1'!$D:$D,$A10)</f>
        <v>0</v>
      </c>
      <c r="K10" s="9">
        <f>SUMIFS('フォームの回答 1'!$E:$E,'フォームの回答 1'!$B:$B,"&gt;="&amp;K1,'フォームの回答 1'!$H:$H,"支出",'フォームの回答 1'!$D:$D,$A10)-SUMIFS('フォームの回答 1'!$E:$E,'フォームの回答 1'!$B:$B,"&gt;"&amp;L1,'フォームの回答 1'!$H:$H,"支出",'フォームの回答 1'!$D:$D,$A10)</f>
        <v>0</v>
      </c>
      <c r="L10" s="9">
        <f>SUMIFS('フォームの回答 1'!$E:$E,'フォームの回答 1'!$B:$B,"&gt;="&amp;L1,'フォームの回答 1'!$H:$H,"支出",'フォームの回答 1'!$D:$D,$A10)-SUMIFS('フォームの回答 1'!$E:$E,'フォームの回答 1'!$B:$B,"&gt;"&amp;M1,'フォームの回答 1'!$H:$H,"支出",'フォームの回答 1'!$D:$D,$A10)</f>
        <v>0</v>
      </c>
      <c r="M10" s="9">
        <f>SUMIFS('フォームの回答 1'!$E:$E,'フォームの回答 1'!$B:$B,"&gt;="&amp;M1,'フォームの回答 1'!$H:$H,"支出",'フォームの回答 1'!$D:$D,$A10)-SUMIFS('フォームの回答 1'!$E:$E,'フォームの回答 1'!$B:$B,"&gt;"&amp;N1,'フォームの回答 1'!$H:$H,"支出",'フォームの回答 1'!$D:$D,$A10)</f>
        <v>0</v>
      </c>
      <c r="N10" s="9">
        <f>SUMIFS('フォームの回答 1'!$E:$E,'フォームの回答 1'!$B:$B,"&gt;="&amp;N1,'フォームの回答 1'!$H:$H,"支出",'フォームの回答 1'!$D:$D,$A10)-SUMIFS('フォームの回答 1'!$E:$E,'フォームの回答 1'!$B:$B,"&gt;"&amp;O1,'フォームの回答 1'!$H:$H,"支出",'フォームの回答 1'!$D:$D,$A10)</f>
        <v>0</v>
      </c>
    </row>
    <row r="11" spans="1:14" ht="15.75" customHeight="1">
      <c r="A11" s="8" t="s">
        <v>41</v>
      </c>
      <c r="B11" s="9">
        <f t="shared" si="2"/>
        <v>62364</v>
      </c>
      <c r="C11" s="9">
        <f>SUMIFS('フォームの回答 1'!$E:$E,'フォームの回答 1'!$B:$B,"&gt;="&amp;C1,'フォームの回答 1'!$H:$H,"支出",'フォームの回答 1'!$D:$D,$A11)-SUMIFS('フォームの回答 1'!$E:$E,'フォームの回答 1'!$B:$B,"&gt;"&amp;D1,'フォームの回答 1'!$H:$H,"支出",'フォームの回答 1'!$D:$D,$A11)</f>
        <v>11352</v>
      </c>
      <c r="D11" s="9">
        <f>SUMIFS('フォームの回答 1'!$E:$E,'フォームの回答 1'!$B:$B,"&gt;="&amp;D1,'フォームの回答 1'!$H:$H,"支出",'フォームの回答 1'!$D:$D,$A11)-SUMIFS('フォームの回答 1'!$E:$E,'フォームの回答 1'!$B:$B,"&gt;"&amp;E1,'フォームの回答 1'!$H:$H,"支出",'フォームの回答 1'!$D:$D,$A11)</f>
        <v>16702</v>
      </c>
      <c r="E11" s="9">
        <f>SUMIFS('フォームの回答 1'!$E:$E,'フォームの回答 1'!$B:$B,"&gt;="&amp;E1,'フォームの回答 1'!$H:$H,"支出",'フォームの回答 1'!$D:$D,$A11)-SUMIFS('フォームの回答 1'!$E:$E,'フォームの回答 1'!$B:$B,"&gt;"&amp;F1,'フォームの回答 1'!$H:$H,"支出",'フォームの回答 1'!$D:$D,$A11)</f>
        <v>19554</v>
      </c>
      <c r="F11" s="9">
        <f>SUMIFS('フォームの回答 1'!$E:$E,'フォームの回答 1'!$B:$B,"&gt;="&amp;F1,'フォームの回答 1'!$H:$H,"支出",'フォームの回答 1'!$D:$D,$A11)-SUMIFS('フォームの回答 1'!$E:$E,'フォームの回答 1'!$B:$B,"&gt;"&amp;G1,'フォームの回答 1'!$H:$H,"支出",'フォームの回答 1'!$D:$D,$A11)</f>
        <v>14756</v>
      </c>
      <c r="G11" s="9">
        <f>SUMIFS('フォームの回答 1'!$E:$E,'フォームの回答 1'!$B:$B,"&gt;="&amp;G1,'フォームの回答 1'!$H:$H,"支出",'フォームの回答 1'!$D:$D,$A11)-SUMIFS('フォームの回答 1'!$E:$E,'フォームの回答 1'!$B:$B,"&gt;"&amp;H1,'フォームの回答 1'!$H:$H,"支出",'フォームの回答 1'!$D:$D,$A11)</f>
        <v>0</v>
      </c>
      <c r="H11" s="9">
        <f>SUMIFS('フォームの回答 1'!$E:$E,'フォームの回答 1'!$B:$B,"&gt;="&amp;H1,'フォームの回答 1'!$H:$H,"支出",'フォームの回答 1'!$D:$D,$A11)-SUMIFS('フォームの回答 1'!$E:$E,'フォームの回答 1'!$B:$B,"&gt;"&amp;I1,'フォームの回答 1'!$H:$H,"支出",'フォームの回答 1'!$D:$D,$A11)</f>
        <v>0</v>
      </c>
      <c r="I11" s="9">
        <f>SUMIFS('フォームの回答 1'!$E:$E,'フォームの回答 1'!$B:$B,"&gt;="&amp;I1,'フォームの回答 1'!$H:$H,"支出",'フォームの回答 1'!$D:$D,$A11)-SUMIFS('フォームの回答 1'!$E:$E,'フォームの回答 1'!$B:$B,"&gt;"&amp;J1,'フォームの回答 1'!$H:$H,"支出",'フォームの回答 1'!$D:$D,$A11)</f>
        <v>0</v>
      </c>
      <c r="J11" s="9">
        <f>SUMIFS('フォームの回答 1'!$E:$E,'フォームの回答 1'!$B:$B,"&gt;="&amp;J1,'フォームの回答 1'!$H:$H,"支出",'フォームの回答 1'!$D:$D,$A11)-SUMIFS('フォームの回答 1'!$E:$E,'フォームの回答 1'!$B:$B,"&gt;"&amp;K1,'フォームの回答 1'!$H:$H,"支出",'フォームの回答 1'!$D:$D,$A11)</f>
        <v>0</v>
      </c>
      <c r="K11" s="9">
        <f>SUMIFS('フォームの回答 1'!$E:$E,'フォームの回答 1'!$B:$B,"&gt;="&amp;K1,'フォームの回答 1'!$H:$H,"支出",'フォームの回答 1'!$D:$D,$A11)-SUMIFS('フォームの回答 1'!$E:$E,'フォームの回答 1'!$B:$B,"&gt;"&amp;L1,'フォームの回答 1'!$H:$H,"支出",'フォームの回答 1'!$D:$D,$A11)</f>
        <v>0</v>
      </c>
      <c r="L11" s="9">
        <f>SUMIFS('フォームの回答 1'!$E:$E,'フォームの回答 1'!$B:$B,"&gt;="&amp;L1,'フォームの回答 1'!$H:$H,"支出",'フォームの回答 1'!$D:$D,$A11)-SUMIFS('フォームの回答 1'!$E:$E,'フォームの回答 1'!$B:$B,"&gt;"&amp;M1,'フォームの回答 1'!$H:$H,"支出",'フォームの回答 1'!$D:$D,$A11)</f>
        <v>0</v>
      </c>
      <c r="M11" s="9">
        <f>SUMIFS('フォームの回答 1'!$E:$E,'フォームの回答 1'!$B:$B,"&gt;="&amp;M1,'フォームの回答 1'!$H:$H,"支出",'フォームの回答 1'!$D:$D,$A11)-SUMIFS('フォームの回答 1'!$E:$E,'フォームの回答 1'!$B:$B,"&gt;"&amp;N1,'フォームの回答 1'!$H:$H,"支出",'フォームの回答 1'!$D:$D,$A11)</f>
        <v>0</v>
      </c>
      <c r="N11" s="9">
        <f>SUMIFS('フォームの回答 1'!$E:$E,'フォームの回答 1'!$B:$B,"&gt;="&amp;N1,'フォームの回答 1'!$H:$H,"支出",'フォームの回答 1'!$D:$D,$A11)-SUMIFS('フォームの回答 1'!$E:$E,'フォームの回答 1'!$B:$B,"&gt;"&amp;O1,'フォームの回答 1'!$H:$H,"支出",'フォームの回答 1'!$D:$D,$A11)</f>
        <v>0</v>
      </c>
    </row>
    <row r="12" spans="1:14" ht="15.75" customHeight="1">
      <c r="A12" s="8" t="s">
        <v>42</v>
      </c>
      <c r="B12" s="9">
        <f t="shared" si="2"/>
        <v>29126</v>
      </c>
      <c r="C12" s="9">
        <f>SUMIFS('フォームの回答 1'!$E:$E,'フォームの回答 1'!$B:$B,"&gt;="&amp;C1,'フォームの回答 1'!$H:$H,"支出",'フォームの回答 1'!$D:$D,$A12)-SUMIFS('フォームの回答 1'!$E:$E,'フォームの回答 1'!$B:$B,"&gt;"&amp;D1,'フォームの回答 1'!$H:$H,"支出",'フォームの回答 1'!$D:$D,$A12)</f>
        <v>5652</v>
      </c>
      <c r="D12" s="9">
        <f>SUMIFS('フォームの回答 1'!$E:$E,'フォームの回答 1'!$B:$B,"&gt;="&amp;D1,'フォームの回答 1'!$H:$H,"支出",'フォームの回答 1'!$D:$D,$A12)-SUMIFS('フォームの回答 1'!$E:$E,'フォームの回答 1'!$B:$B,"&gt;"&amp;E1,'フォームの回答 1'!$H:$H,"支出",'フォームの回答 1'!$D:$D,$A12)</f>
        <v>6974</v>
      </c>
      <c r="E12" s="9">
        <f>SUMIFS('フォームの回答 1'!$E:$E,'フォームの回答 1'!$B:$B,"&gt;="&amp;E1,'フォームの回答 1'!$H:$H,"支出",'フォームの回答 1'!$D:$D,$A12)-SUMIFS('フォームの回答 1'!$E:$E,'フォームの回答 1'!$B:$B,"&gt;"&amp;F1,'フォームの回答 1'!$H:$H,"支出",'フォームの回答 1'!$D:$D,$A12)</f>
        <v>8910</v>
      </c>
      <c r="F12" s="9">
        <f>SUMIFS('フォームの回答 1'!$E:$E,'フォームの回答 1'!$B:$B,"&gt;="&amp;F1,'フォームの回答 1'!$H:$H,"支出",'フォームの回答 1'!$D:$D,$A12)-SUMIFS('フォームの回答 1'!$E:$E,'フォームの回答 1'!$B:$B,"&gt;"&amp;G1,'フォームの回答 1'!$H:$H,"支出",'フォームの回答 1'!$D:$D,$A12)</f>
        <v>7590</v>
      </c>
      <c r="G12" s="9">
        <f>SUMIFS('フォームの回答 1'!$E:$E,'フォームの回答 1'!$B:$B,"&gt;="&amp;G1,'フォームの回答 1'!$H:$H,"支出",'フォームの回答 1'!$D:$D,$A12)-SUMIFS('フォームの回答 1'!$E:$E,'フォームの回答 1'!$B:$B,"&gt;"&amp;H1,'フォームの回答 1'!$H:$H,"支出",'フォームの回答 1'!$D:$D,$A12)</f>
        <v>0</v>
      </c>
      <c r="H12" s="9">
        <f>SUMIFS('フォームの回答 1'!$E:$E,'フォームの回答 1'!$B:$B,"&gt;="&amp;H1,'フォームの回答 1'!$H:$H,"支出",'フォームの回答 1'!$D:$D,$A12)-SUMIFS('フォームの回答 1'!$E:$E,'フォームの回答 1'!$B:$B,"&gt;"&amp;I1,'フォームの回答 1'!$H:$H,"支出",'フォームの回答 1'!$D:$D,$A12)</f>
        <v>0</v>
      </c>
      <c r="I12" s="9">
        <f>SUMIFS('フォームの回答 1'!$E:$E,'フォームの回答 1'!$B:$B,"&gt;="&amp;I1,'フォームの回答 1'!$H:$H,"支出",'フォームの回答 1'!$D:$D,$A12)-SUMIFS('フォームの回答 1'!$E:$E,'フォームの回答 1'!$B:$B,"&gt;"&amp;J1,'フォームの回答 1'!$H:$H,"支出",'フォームの回答 1'!$D:$D,$A12)</f>
        <v>0</v>
      </c>
      <c r="J12" s="9">
        <f>SUMIFS('フォームの回答 1'!$E:$E,'フォームの回答 1'!$B:$B,"&gt;="&amp;J1,'フォームの回答 1'!$H:$H,"支出",'フォームの回答 1'!$D:$D,$A12)-SUMIFS('フォームの回答 1'!$E:$E,'フォームの回答 1'!$B:$B,"&gt;"&amp;K1,'フォームの回答 1'!$H:$H,"支出",'フォームの回答 1'!$D:$D,$A12)</f>
        <v>0</v>
      </c>
      <c r="K12" s="9">
        <f>SUMIFS('フォームの回答 1'!$E:$E,'フォームの回答 1'!$B:$B,"&gt;="&amp;K1,'フォームの回答 1'!$H:$H,"支出",'フォームの回答 1'!$D:$D,$A12)-SUMIFS('フォームの回答 1'!$E:$E,'フォームの回答 1'!$B:$B,"&gt;"&amp;L1,'フォームの回答 1'!$H:$H,"支出",'フォームの回答 1'!$D:$D,$A12)</f>
        <v>0</v>
      </c>
      <c r="L12" s="9">
        <f>SUMIFS('フォームの回答 1'!$E:$E,'フォームの回答 1'!$B:$B,"&gt;="&amp;L1,'フォームの回答 1'!$H:$H,"支出",'フォームの回答 1'!$D:$D,$A12)-SUMIFS('フォームの回答 1'!$E:$E,'フォームの回答 1'!$B:$B,"&gt;"&amp;M1,'フォームの回答 1'!$H:$H,"支出",'フォームの回答 1'!$D:$D,$A12)</f>
        <v>0</v>
      </c>
      <c r="M12" s="9">
        <f>SUMIFS('フォームの回答 1'!$E:$E,'フォームの回答 1'!$B:$B,"&gt;="&amp;M1,'フォームの回答 1'!$H:$H,"支出",'フォームの回答 1'!$D:$D,$A12)-SUMIFS('フォームの回答 1'!$E:$E,'フォームの回答 1'!$B:$B,"&gt;"&amp;N1,'フォームの回答 1'!$H:$H,"支出",'フォームの回答 1'!$D:$D,$A12)</f>
        <v>0</v>
      </c>
      <c r="N12" s="9">
        <f>SUMIFS('フォームの回答 1'!$E:$E,'フォームの回答 1'!$B:$B,"&gt;="&amp;N1,'フォームの回答 1'!$H:$H,"支出",'フォームの回答 1'!$D:$D,$A12)-SUMIFS('フォームの回答 1'!$E:$E,'フォームの回答 1'!$B:$B,"&gt;"&amp;O1,'フォームの回答 1'!$H:$H,"支出",'フォームの回答 1'!$D:$D,$A12)</f>
        <v>0</v>
      </c>
    </row>
    <row r="13" spans="1:14" ht="15.75" customHeight="1">
      <c r="A13" s="8" t="s">
        <v>5</v>
      </c>
      <c r="B13" s="9">
        <f t="shared" si="2"/>
        <v>372000</v>
      </c>
      <c r="C13" s="9">
        <f>SUMIFS('フォームの回答 1'!$E:$E,'フォームの回答 1'!$B:$B,"&gt;="&amp;C1,'フォームの回答 1'!$H:$H,"支出",'フォームの回答 1'!$D:$D,$A13)-SUMIFS('フォームの回答 1'!$E:$E,'フォームの回答 1'!$B:$B,"&gt;"&amp;D1,'フォームの回答 1'!$H:$H,"支出",'フォームの回答 1'!$D:$D,$A13)</f>
        <v>93000</v>
      </c>
      <c r="D13" s="9">
        <f>SUMIFS('フォームの回答 1'!$E:$E,'フォームの回答 1'!$B:$B,"&gt;="&amp;D1,'フォームの回答 1'!$H:$H,"支出",'フォームの回答 1'!$D:$D,$A13)-SUMIFS('フォームの回答 1'!$E:$E,'フォームの回答 1'!$B:$B,"&gt;"&amp;E1,'フォームの回答 1'!$H:$H,"支出",'フォームの回答 1'!$D:$D,$A13)</f>
        <v>93000</v>
      </c>
      <c r="E13" s="9">
        <f>SUMIFS('フォームの回答 1'!$E:$E,'フォームの回答 1'!$B:$B,"&gt;="&amp;E1,'フォームの回答 1'!$H:$H,"支出",'フォームの回答 1'!$D:$D,$A13)-SUMIFS('フォームの回答 1'!$E:$E,'フォームの回答 1'!$B:$B,"&gt;"&amp;F1,'フォームの回答 1'!$H:$H,"支出",'フォームの回答 1'!$D:$D,$A13)</f>
        <v>93000</v>
      </c>
      <c r="F13" s="9">
        <f>SUMIFS('フォームの回答 1'!$E:$E,'フォームの回答 1'!$B:$B,"&gt;="&amp;F1,'フォームの回答 1'!$H:$H,"支出",'フォームの回答 1'!$D:$D,$A13)-SUMIFS('フォームの回答 1'!$E:$E,'フォームの回答 1'!$B:$B,"&gt;"&amp;G1,'フォームの回答 1'!$H:$H,"支出",'フォームの回答 1'!$D:$D,$A13)</f>
        <v>93000</v>
      </c>
      <c r="G13" s="9">
        <f>SUMIFS('フォームの回答 1'!$E:$E,'フォームの回答 1'!$B:$B,"&gt;="&amp;G1,'フォームの回答 1'!$H:$H,"支出",'フォームの回答 1'!$D:$D,$A13)-SUMIFS('フォームの回答 1'!$E:$E,'フォームの回答 1'!$B:$B,"&gt;"&amp;H1,'フォームの回答 1'!$H:$H,"支出",'フォームの回答 1'!$D:$D,$A13)</f>
        <v>0</v>
      </c>
      <c r="H13" s="9">
        <f>SUMIFS('フォームの回答 1'!$E:$E,'フォームの回答 1'!$B:$B,"&gt;="&amp;H1,'フォームの回答 1'!$H:$H,"支出",'フォームの回答 1'!$D:$D,$A13)-SUMIFS('フォームの回答 1'!$E:$E,'フォームの回答 1'!$B:$B,"&gt;"&amp;I1,'フォームの回答 1'!$H:$H,"支出",'フォームの回答 1'!$D:$D,$A13)</f>
        <v>0</v>
      </c>
      <c r="I13" s="9">
        <f>SUMIFS('フォームの回答 1'!$E:$E,'フォームの回答 1'!$B:$B,"&gt;="&amp;I1,'フォームの回答 1'!$H:$H,"支出",'フォームの回答 1'!$D:$D,$A13)-SUMIFS('フォームの回答 1'!$E:$E,'フォームの回答 1'!$B:$B,"&gt;"&amp;J1,'フォームの回答 1'!$H:$H,"支出",'フォームの回答 1'!$D:$D,$A13)</f>
        <v>0</v>
      </c>
      <c r="J13" s="9">
        <f>SUMIFS('フォームの回答 1'!$E:$E,'フォームの回答 1'!$B:$B,"&gt;="&amp;J1,'フォームの回答 1'!$H:$H,"支出",'フォームの回答 1'!$D:$D,$A13)-SUMIFS('フォームの回答 1'!$E:$E,'フォームの回答 1'!$B:$B,"&gt;"&amp;K1,'フォームの回答 1'!$H:$H,"支出",'フォームの回答 1'!$D:$D,$A13)</f>
        <v>0</v>
      </c>
      <c r="K13" s="9">
        <f>SUMIFS('フォームの回答 1'!$E:$E,'フォームの回答 1'!$B:$B,"&gt;="&amp;K1,'フォームの回答 1'!$H:$H,"支出",'フォームの回答 1'!$D:$D,$A13)-SUMIFS('フォームの回答 1'!$E:$E,'フォームの回答 1'!$B:$B,"&gt;"&amp;L1,'フォームの回答 1'!$H:$H,"支出",'フォームの回答 1'!$D:$D,$A13)</f>
        <v>0</v>
      </c>
      <c r="L13" s="9">
        <f>SUMIFS('フォームの回答 1'!$E:$E,'フォームの回答 1'!$B:$B,"&gt;="&amp;L1,'フォームの回答 1'!$H:$H,"支出",'フォームの回答 1'!$D:$D,$A13)-SUMIFS('フォームの回答 1'!$E:$E,'フォームの回答 1'!$B:$B,"&gt;"&amp;M1,'フォームの回答 1'!$H:$H,"支出",'フォームの回答 1'!$D:$D,$A13)</f>
        <v>0</v>
      </c>
      <c r="M13" s="9">
        <f>SUMIFS('フォームの回答 1'!$E:$E,'フォームの回答 1'!$B:$B,"&gt;="&amp;M1,'フォームの回答 1'!$H:$H,"支出",'フォームの回答 1'!$D:$D,$A13)-SUMIFS('フォームの回答 1'!$E:$E,'フォームの回答 1'!$B:$B,"&gt;"&amp;N1,'フォームの回答 1'!$H:$H,"支出",'フォームの回答 1'!$D:$D,$A13)</f>
        <v>0</v>
      </c>
      <c r="N13" s="9">
        <f>SUMIFS('フォームの回答 1'!$E:$E,'フォームの回答 1'!$B:$B,"&gt;="&amp;N1,'フォームの回答 1'!$H:$H,"支出",'フォームの回答 1'!$D:$D,$A13)-SUMIFS('フォームの回答 1'!$E:$E,'フォームの回答 1'!$B:$B,"&gt;"&amp;O1,'フォームの回答 1'!$H:$H,"支出",'フォームの回答 1'!$D:$D,$A13)</f>
        <v>0</v>
      </c>
    </row>
    <row r="14" spans="1:14" ht="15.75" customHeight="1">
      <c r="A14" s="8" t="s">
        <v>43</v>
      </c>
      <c r="B14" s="9">
        <f t="shared" si="2"/>
        <v>1097</v>
      </c>
      <c r="C14" s="9">
        <f>SUMIFS('フォームの回答 1'!$E:$E,'フォームの回答 1'!$B:$B,"&gt;="&amp;C1,'フォームの回答 1'!$H:$H,"支出",'フォームの回答 1'!$D:$D,$A14)-SUMIFS('フォームの回答 1'!$E:$E,'フォームの回答 1'!$B:$B,"&gt;"&amp;D1,'フォームの回答 1'!$H:$H,"支出",'フォームの回答 1'!$D:$D,$A14)</f>
        <v>0</v>
      </c>
      <c r="D14" s="9">
        <f>SUMIFS('フォームの回答 1'!$E:$E,'フォームの回答 1'!$B:$B,"&gt;="&amp;D1,'フォームの回答 1'!$H:$H,"支出",'フォームの回答 1'!$D:$D,$A14)-SUMIFS('フォームの回答 1'!$E:$E,'フォームの回答 1'!$B:$B,"&gt;"&amp;E1,'フォームの回答 1'!$H:$H,"支出",'フォームの回答 1'!$D:$D,$A14)</f>
        <v>0</v>
      </c>
      <c r="E14" s="9">
        <f>SUMIFS('フォームの回答 1'!$E:$E,'フォームの回答 1'!$B:$B,"&gt;="&amp;E1,'フォームの回答 1'!$H:$H,"支出",'フォームの回答 1'!$D:$D,$A14)-SUMIFS('フォームの回答 1'!$E:$E,'フォームの回答 1'!$B:$B,"&gt;"&amp;F1,'フォームの回答 1'!$H:$H,"支出",'フォームの回答 1'!$D:$D,$A14)</f>
        <v>0</v>
      </c>
      <c r="F14" s="9">
        <f>SUMIFS('フォームの回答 1'!$E:$E,'フォームの回答 1'!$B:$B,"&gt;="&amp;F1,'フォームの回答 1'!$H:$H,"支出",'フォームの回答 1'!$D:$D,$A14)-SUMIFS('フォームの回答 1'!$E:$E,'フォームの回答 1'!$B:$B,"&gt;"&amp;G1,'フォームの回答 1'!$H:$H,"支出",'フォームの回答 1'!$D:$D,$A14)</f>
        <v>1097</v>
      </c>
      <c r="G14" s="9">
        <f>SUMIFS('フォームの回答 1'!$E:$E,'フォームの回答 1'!$B:$B,"&gt;="&amp;G1,'フォームの回答 1'!$H:$H,"支出",'フォームの回答 1'!$D:$D,$A14)-SUMIFS('フォームの回答 1'!$E:$E,'フォームの回答 1'!$B:$B,"&gt;"&amp;H1,'フォームの回答 1'!$H:$H,"支出",'フォームの回答 1'!$D:$D,$A14)</f>
        <v>0</v>
      </c>
      <c r="H14" s="9">
        <f>SUMIFS('フォームの回答 1'!$E:$E,'フォームの回答 1'!$B:$B,"&gt;="&amp;H1,'フォームの回答 1'!$H:$H,"支出",'フォームの回答 1'!$D:$D,$A14)-SUMIFS('フォームの回答 1'!$E:$E,'フォームの回答 1'!$B:$B,"&gt;"&amp;I1,'フォームの回答 1'!$H:$H,"支出",'フォームの回答 1'!$D:$D,$A14)</f>
        <v>0</v>
      </c>
      <c r="I14" s="9">
        <f>SUMIFS('フォームの回答 1'!$E:$E,'フォームの回答 1'!$B:$B,"&gt;="&amp;I1,'フォームの回答 1'!$H:$H,"支出",'フォームの回答 1'!$D:$D,$A14)-SUMIFS('フォームの回答 1'!$E:$E,'フォームの回答 1'!$B:$B,"&gt;"&amp;J1,'フォームの回答 1'!$H:$H,"支出",'フォームの回答 1'!$D:$D,$A14)</f>
        <v>0</v>
      </c>
      <c r="J14" s="9">
        <f>SUMIFS('フォームの回答 1'!$E:$E,'フォームの回答 1'!$B:$B,"&gt;="&amp;J1,'フォームの回答 1'!$H:$H,"支出",'フォームの回答 1'!$D:$D,$A14)-SUMIFS('フォームの回答 1'!$E:$E,'フォームの回答 1'!$B:$B,"&gt;"&amp;K1,'フォームの回答 1'!$H:$H,"支出",'フォームの回答 1'!$D:$D,$A14)</f>
        <v>0</v>
      </c>
      <c r="K14" s="9">
        <f>SUMIFS('フォームの回答 1'!$E:$E,'フォームの回答 1'!$B:$B,"&gt;="&amp;K1,'フォームの回答 1'!$H:$H,"支出",'フォームの回答 1'!$D:$D,$A14)-SUMIFS('フォームの回答 1'!$E:$E,'フォームの回答 1'!$B:$B,"&gt;"&amp;L1,'フォームの回答 1'!$H:$H,"支出",'フォームの回答 1'!$D:$D,$A14)</f>
        <v>0</v>
      </c>
      <c r="L14" s="9">
        <f>SUMIFS('フォームの回答 1'!$E:$E,'フォームの回答 1'!$B:$B,"&gt;="&amp;L1,'フォームの回答 1'!$H:$H,"支出",'フォームの回答 1'!$D:$D,$A14)-SUMIFS('フォームの回答 1'!$E:$E,'フォームの回答 1'!$B:$B,"&gt;"&amp;M1,'フォームの回答 1'!$H:$H,"支出",'フォームの回答 1'!$D:$D,$A14)</f>
        <v>0</v>
      </c>
      <c r="M14" s="9">
        <f>SUMIFS('フォームの回答 1'!$E:$E,'フォームの回答 1'!$B:$B,"&gt;="&amp;M1,'フォームの回答 1'!$H:$H,"支出",'フォームの回答 1'!$D:$D,$A14)-SUMIFS('フォームの回答 1'!$E:$E,'フォームの回答 1'!$B:$B,"&gt;"&amp;N1,'フォームの回答 1'!$H:$H,"支出",'フォームの回答 1'!$D:$D,$A14)</f>
        <v>0</v>
      </c>
      <c r="N14" s="9">
        <f>SUMIFS('フォームの回答 1'!$E:$E,'フォームの回答 1'!$B:$B,"&gt;="&amp;N1,'フォームの回答 1'!$H:$H,"支出",'フォームの回答 1'!$D:$D,$A14)-SUMIFS('フォームの回答 1'!$E:$E,'フォームの回答 1'!$B:$B,"&gt;"&amp;O1,'フォームの回答 1'!$H:$H,"支出",'フォームの回答 1'!$D:$D,$A14)</f>
        <v>0</v>
      </c>
    </row>
    <row r="15" spans="1:14" ht="15.75" customHeight="1">
      <c r="A15" s="8" t="s">
        <v>44</v>
      </c>
      <c r="B15" s="9">
        <f t="shared" si="2"/>
        <v>0</v>
      </c>
      <c r="C15" s="9">
        <f>SUMIFS('フォームの回答 1'!$E:$E,'フォームの回答 1'!$B:$B,"&gt;="&amp;C1,'フォームの回答 1'!$H:$H,"支出",'フォームの回答 1'!$D:$D,$A15)-SUMIFS('フォームの回答 1'!$E:$E,'フォームの回答 1'!$B:$B,"&gt;"&amp;D1,'フォームの回答 1'!$H:$H,"支出",'フォームの回答 1'!$D:$D,$A15)</f>
        <v>0</v>
      </c>
      <c r="D15" s="9">
        <f>SUMIFS('フォームの回答 1'!$E:$E,'フォームの回答 1'!$B:$B,"&gt;="&amp;D1,'フォームの回答 1'!$H:$H,"支出",'フォームの回答 1'!$D:$D,$A15)-SUMIFS('フォームの回答 1'!$E:$E,'フォームの回答 1'!$B:$B,"&gt;"&amp;E1,'フォームの回答 1'!$H:$H,"支出",'フォームの回答 1'!$D:$D,$A15)</f>
        <v>0</v>
      </c>
      <c r="E15" s="9">
        <f>SUMIFS('フォームの回答 1'!$E:$E,'フォームの回答 1'!$B:$B,"&gt;="&amp;E1,'フォームの回答 1'!$H:$H,"支出",'フォームの回答 1'!$D:$D,$A15)-SUMIFS('フォームの回答 1'!$E:$E,'フォームの回答 1'!$B:$B,"&gt;"&amp;F1,'フォームの回答 1'!$H:$H,"支出",'フォームの回答 1'!$D:$D,$A15)</f>
        <v>0</v>
      </c>
      <c r="F15" s="9">
        <f>SUMIFS('フォームの回答 1'!$E:$E,'フォームの回答 1'!$B:$B,"&gt;="&amp;F1,'フォームの回答 1'!$H:$H,"支出",'フォームの回答 1'!$D:$D,$A15)-SUMIFS('フォームの回答 1'!$E:$E,'フォームの回答 1'!$B:$B,"&gt;"&amp;G1,'フォームの回答 1'!$H:$H,"支出",'フォームの回答 1'!$D:$D,$A15)</f>
        <v>0</v>
      </c>
      <c r="G15" s="9">
        <f>SUMIFS('フォームの回答 1'!$E:$E,'フォームの回答 1'!$B:$B,"&gt;="&amp;G1,'フォームの回答 1'!$H:$H,"支出",'フォームの回答 1'!$D:$D,$A15)-SUMIFS('フォームの回答 1'!$E:$E,'フォームの回答 1'!$B:$B,"&gt;"&amp;H1,'フォームの回答 1'!$H:$H,"支出",'フォームの回答 1'!$D:$D,$A15)</f>
        <v>0</v>
      </c>
      <c r="H15" s="9">
        <f>SUMIFS('フォームの回答 1'!$E:$E,'フォームの回答 1'!$B:$B,"&gt;="&amp;H1,'フォームの回答 1'!$H:$H,"支出",'フォームの回答 1'!$D:$D,$A15)-SUMIFS('フォームの回答 1'!$E:$E,'フォームの回答 1'!$B:$B,"&gt;"&amp;I1,'フォームの回答 1'!$H:$H,"支出",'フォームの回答 1'!$D:$D,$A15)</f>
        <v>0</v>
      </c>
      <c r="I15" s="9">
        <f>SUMIFS('フォームの回答 1'!$E:$E,'フォームの回答 1'!$B:$B,"&gt;="&amp;I1,'フォームの回答 1'!$H:$H,"支出",'フォームの回答 1'!$D:$D,$A15)-SUMIFS('フォームの回答 1'!$E:$E,'フォームの回答 1'!$B:$B,"&gt;"&amp;J1,'フォームの回答 1'!$H:$H,"支出",'フォームの回答 1'!$D:$D,$A15)</f>
        <v>0</v>
      </c>
      <c r="J15" s="9">
        <f>SUMIFS('フォームの回答 1'!$E:$E,'フォームの回答 1'!$B:$B,"&gt;="&amp;J1,'フォームの回答 1'!$H:$H,"支出",'フォームの回答 1'!$D:$D,$A15)-SUMIFS('フォームの回答 1'!$E:$E,'フォームの回答 1'!$B:$B,"&gt;"&amp;K1,'フォームの回答 1'!$H:$H,"支出",'フォームの回答 1'!$D:$D,$A15)</f>
        <v>0</v>
      </c>
      <c r="K15" s="9">
        <f>SUMIFS('フォームの回答 1'!$E:$E,'フォームの回答 1'!$B:$B,"&gt;="&amp;K1,'フォームの回答 1'!$H:$H,"支出",'フォームの回答 1'!$D:$D,$A15)-SUMIFS('フォームの回答 1'!$E:$E,'フォームの回答 1'!$B:$B,"&gt;"&amp;L1,'フォームの回答 1'!$H:$H,"支出",'フォームの回答 1'!$D:$D,$A15)</f>
        <v>0</v>
      </c>
      <c r="L15" s="9">
        <f>SUMIFS('フォームの回答 1'!$E:$E,'フォームの回答 1'!$B:$B,"&gt;="&amp;L1,'フォームの回答 1'!$H:$H,"支出",'フォームの回答 1'!$D:$D,$A15)-SUMIFS('フォームの回答 1'!$E:$E,'フォームの回答 1'!$B:$B,"&gt;"&amp;M1,'フォームの回答 1'!$H:$H,"支出",'フォームの回答 1'!$D:$D,$A15)</f>
        <v>0</v>
      </c>
      <c r="M15" s="9">
        <f>SUMIFS('フォームの回答 1'!$E:$E,'フォームの回答 1'!$B:$B,"&gt;="&amp;M1,'フォームの回答 1'!$H:$H,"支出",'フォームの回答 1'!$D:$D,$A15)-SUMIFS('フォームの回答 1'!$E:$E,'フォームの回答 1'!$B:$B,"&gt;"&amp;N1,'フォームの回答 1'!$H:$H,"支出",'フォームの回答 1'!$D:$D,$A15)</f>
        <v>0</v>
      </c>
      <c r="N15" s="9">
        <f>SUMIFS('フォームの回答 1'!$E:$E,'フォームの回答 1'!$B:$B,"&gt;="&amp;N1,'フォームの回答 1'!$H:$H,"支出",'フォームの回答 1'!$D:$D,$A15)-SUMIFS('フォームの回答 1'!$E:$E,'フォームの回答 1'!$B:$B,"&gt;"&amp;O1,'フォームの回答 1'!$H:$H,"支出",'フォームの回答 1'!$D:$D,$A15)</f>
        <v>0</v>
      </c>
    </row>
    <row r="16" spans="1:14" ht="15.75" customHeight="1">
      <c r="A16" s="8" t="s">
        <v>45</v>
      </c>
      <c r="B16" s="9">
        <f t="shared" si="2"/>
        <v>117240</v>
      </c>
      <c r="C16" s="9">
        <f>SUMIFS('フォームの回答 1'!$E:$E,'フォームの回答 1'!$B:$B,"&gt;="&amp;C1,'フォームの回答 1'!$H:$H,"支出",'フォームの回答 1'!$D:$D,$A16)-SUMIFS('フォームの回答 1'!$E:$E,'フォームの回答 1'!$B:$B,"&gt;"&amp;D1,'フォームの回答 1'!$H:$H,"支出",'フォームの回答 1'!$D:$D,$A16)</f>
        <v>30280</v>
      </c>
      <c r="D16" s="9">
        <f>SUMIFS('フォームの回答 1'!$E:$E,'フォームの回答 1'!$B:$B,"&gt;="&amp;D1,'フォームの回答 1'!$H:$H,"支出",'フォームの回答 1'!$D:$D,$A16)-SUMIFS('フォームの回答 1'!$E:$E,'フォームの回答 1'!$B:$B,"&gt;"&amp;E1,'フォームの回答 1'!$H:$H,"支出",'フォームの回答 1'!$D:$D,$A16)</f>
        <v>36715</v>
      </c>
      <c r="E16" s="9">
        <f>SUMIFS('フォームの回答 1'!$E:$E,'フォームの回答 1'!$B:$B,"&gt;="&amp;E1,'フォームの回答 1'!$H:$H,"支出",'フォームの回答 1'!$D:$D,$A16)-SUMIFS('フォームの回答 1'!$E:$E,'フォームの回答 1'!$B:$B,"&gt;"&amp;F1,'フォームの回答 1'!$H:$H,"支出",'フォームの回答 1'!$D:$D,$A16)</f>
        <v>31256</v>
      </c>
      <c r="F16" s="9">
        <f>SUMIFS('フォームの回答 1'!$E:$E,'フォームの回答 1'!$B:$B,"&gt;="&amp;F1,'フォームの回答 1'!$H:$H,"支出",'フォームの回答 1'!$D:$D,$A16)-SUMIFS('フォームの回答 1'!$E:$E,'フォームの回答 1'!$B:$B,"&gt;"&amp;G1,'フォームの回答 1'!$H:$H,"支出",'フォームの回答 1'!$D:$D,$A16)</f>
        <v>18989</v>
      </c>
      <c r="G16" s="9">
        <f>SUMIFS('フォームの回答 1'!$E:$E,'フォームの回答 1'!$B:$B,"&gt;="&amp;G1,'フォームの回答 1'!$H:$H,"支出",'フォームの回答 1'!$D:$D,$A16)-SUMIFS('フォームの回答 1'!$E:$E,'フォームの回答 1'!$B:$B,"&gt;"&amp;H1,'フォームの回答 1'!$H:$H,"支出",'フォームの回答 1'!$D:$D,$A16)</f>
        <v>0</v>
      </c>
      <c r="H16" s="9">
        <f>SUMIFS('フォームの回答 1'!$E:$E,'フォームの回答 1'!$B:$B,"&gt;="&amp;H1,'フォームの回答 1'!$H:$H,"支出",'フォームの回答 1'!$D:$D,$A16)-SUMIFS('フォームの回答 1'!$E:$E,'フォームの回答 1'!$B:$B,"&gt;"&amp;I1,'フォームの回答 1'!$H:$H,"支出",'フォームの回答 1'!$D:$D,$A16)</f>
        <v>0</v>
      </c>
      <c r="I16" s="9">
        <f>SUMIFS('フォームの回答 1'!$E:$E,'フォームの回答 1'!$B:$B,"&gt;="&amp;I1,'フォームの回答 1'!$H:$H,"支出",'フォームの回答 1'!$D:$D,$A16)-SUMIFS('フォームの回答 1'!$E:$E,'フォームの回答 1'!$B:$B,"&gt;"&amp;J1,'フォームの回答 1'!$H:$H,"支出",'フォームの回答 1'!$D:$D,$A16)</f>
        <v>0</v>
      </c>
      <c r="J16" s="9">
        <f>SUMIFS('フォームの回答 1'!$E:$E,'フォームの回答 1'!$B:$B,"&gt;="&amp;J1,'フォームの回答 1'!$H:$H,"支出",'フォームの回答 1'!$D:$D,$A16)-SUMIFS('フォームの回答 1'!$E:$E,'フォームの回答 1'!$B:$B,"&gt;"&amp;K1,'フォームの回答 1'!$H:$H,"支出",'フォームの回答 1'!$D:$D,$A16)</f>
        <v>0</v>
      </c>
      <c r="K16" s="9">
        <f>SUMIFS('フォームの回答 1'!$E:$E,'フォームの回答 1'!$B:$B,"&gt;="&amp;K1,'フォームの回答 1'!$H:$H,"支出",'フォームの回答 1'!$D:$D,$A16)-SUMIFS('フォームの回答 1'!$E:$E,'フォームの回答 1'!$B:$B,"&gt;"&amp;L1,'フォームの回答 1'!$H:$H,"支出",'フォームの回答 1'!$D:$D,$A16)</f>
        <v>0</v>
      </c>
      <c r="L16" s="9">
        <f>SUMIFS('フォームの回答 1'!$E:$E,'フォームの回答 1'!$B:$B,"&gt;="&amp;L1,'フォームの回答 1'!$H:$H,"支出",'フォームの回答 1'!$D:$D,$A16)-SUMIFS('フォームの回答 1'!$E:$E,'フォームの回答 1'!$B:$B,"&gt;"&amp;M1,'フォームの回答 1'!$H:$H,"支出",'フォームの回答 1'!$D:$D,$A16)</f>
        <v>0</v>
      </c>
      <c r="M16" s="9">
        <f>SUMIFS('フォームの回答 1'!$E:$E,'フォームの回答 1'!$B:$B,"&gt;="&amp;M1,'フォームの回答 1'!$H:$H,"支出",'フォームの回答 1'!$D:$D,$A16)-SUMIFS('フォームの回答 1'!$E:$E,'フォームの回答 1'!$B:$B,"&gt;"&amp;N1,'フォームの回答 1'!$H:$H,"支出",'フォームの回答 1'!$D:$D,$A16)</f>
        <v>0</v>
      </c>
      <c r="N16" s="9">
        <f>SUMIFS('フォームの回答 1'!$E:$E,'フォームの回答 1'!$B:$B,"&gt;="&amp;N1,'フォームの回答 1'!$H:$H,"支出",'フォームの回答 1'!$D:$D,$A16)-SUMIFS('フォームの回答 1'!$E:$E,'フォームの回答 1'!$B:$B,"&gt;"&amp;O1,'フォームの回答 1'!$H:$H,"支出",'フォームの回答 1'!$D:$D,$A16)</f>
        <v>0</v>
      </c>
    </row>
    <row r="17" spans="1:14" ht="15.75" customHeight="1">
      <c r="A17" s="8" t="s">
        <v>46</v>
      </c>
      <c r="B17" s="9">
        <f t="shared" si="2"/>
        <v>34947</v>
      </c>
      <c r="C17" s="9">
        <f>SUMIFS('フォームの回答 1'!$E:$E,'フォームの回答 1'!$B:$B,"&gt;="&amp;C1,'フォームの回答 1'!$H:$H,"支出",'フォームの回答 1'!$D:$D,$A17)-SUMIFS('フォームの回答 1'!$E:$E,'フォームの回答 1'!$B:$B,"&gt;"&amp;D1,'フォームの回答 1'!$H:$H,"支出",'フォームの回答 1'!$D:$D,$A17)</f>
        <v>13782</v>
      </c>
      <c r="D17" s="9">
        <f>SUMIFS('フォームの回答 1'!$E:$E,'フォームの回答 1'!$B:$B,"&gt;="&amp;D1,'フォームの回答 1'!$H:$H,"支出",'フォームの回答 1'!$D:$D,$A17)-SUMIFS('フォームの回答 1'!$E:$E,'フォームの回答 1'!$B:$B,"&gt;"&amp;E1,'フォームの回答 1'!$H:$H,"支出",'フォームの回答 1'!$D:$D,$A17)</f>
        <v>7810</v>
      </c>
      <c r="E17" s="9">
        <f>SUMIFS('フォームの回答 1'!$E:$E,'フォームの回答 1'!$B:$B,"&gt;="&amp;E1,'フォームの回答 1'!$H:$H,"支出",'フォームの回答 1'!$D:$D,$A17)-SUMIFS('フォームの回答 1'!$E:$E,'フォームの回答 1'!$B:$B,"&gt;"&amp;F1,'フォームの回答 1'!$H:$H,"支出",'フォームの回答 1'!$D:$D,$A17)</f>
        <v>6380</v>
      </c>
      <c r="F17" s="9">
        <f>SUMIFS('フォームの回答 1'!$E:$E,'フォームの回答 1'!$B:$B,"&gt;="&amp;F1,'フォームの回答 1'!$H:$H,"支出",'フォームの回答 1'!$D:$D,$A17)-SUMIFS('フォームの回答 1'!$E:$E,'フォームの回答 1'!$B:$B,"&gt;"&amp;G1,'フォームの回答 1'!$H:$H,"支出",'フォームの回答 1'!$D:$D,$A17)</f>
        <v>6975</v>
      </c>
      <c r="G17" s="9">
        <f>SUMIFS('フォームの回答 1'!$E:$E,'フォームの回答 1'!$B:$B,"&gt;="&amp;G1,'フォームの回答 1'!$H:$H,"支出",'フォームの回答 1'!$D:$D,$A17)-SUMIFS('フォームの回答 1'!$E:$E,'フォームの回答 1'!$B:$B,"&gt;"&amp;H1,'フォームの回答 1'!$H:$H,"支出",'フォームの回答 1'!$D:$D,$A17)</f>
        <v>0</v>
      </c>
      <c r="H17" s="9">
        <f>SUMIFS('フォームの回答 1'!$E:$E,'フォームの回答 1'!$B:$B,"&gt;="&amp;H1,'フォームの回答 1'!$H:$H,"支出",'フォームの回答 1'!$D:$D,$A17)-SUMIFS('フォームの回答 1'!$E:$E,'フォームの回答 1'!$B:$B,"&gt;"&amp;I1,'フォームの回答 1'!$H:$H,"支出",'フォームの回答 1'!$D:$D,$A17)</f>
        <v>0</v>
      </c>
      <c r="I17" s="9">
        <f>SUMIFS('フォームの回答 1'!$E:$E,'フォームの回答 1'!$B:$B,"&gt;="&amp;I1,'フォームの回答 1'!$H:$H,"支出",'フォームの回答 1'!$D:$D,$A17)-SUMIFS('フォームの回答 1'!$E:$E,'フォームの回答 1'!$B:$B,"&gt;"&amp;J1,'フォームの回答 1'!$H:$H,"支出",'フォームの回答 1'!$D:$D,$A17)</f>
        <v>0</v>
      </c>
      <c r="J17" s="9">
        <f>SUMIFS('フォームの回答 1'!$E:$E,'フォームの回答 1'!$B:$B,"&gt;="&amp;J1,'フォームの回答 1'!$H:$H,"支出",'フォームの回答 1'!$D:$D,$A17)-SUMIFS('フォームの回答 1'!$E:$E,'フォームの回答 1'!$B:$B,"&gt;"&amp;K1,'フォームの回答 1'!$H:$H,"支出",'フォームの回答 1'!$D:$D,$A17)</f>
        <v>0</v>
      </c>
      <c r="K17" s="9">
        <f>SUMIFS('フォームの回答 1'!$E:$E,'フォームの回答 1'!$B:$B,"&gt;="&amp;K1,'フォームの回答 1'!$H:$H,"支出",'フォームの回答 1'!$D:$D,$A17)-SUMIFS('フォームの回答 1'!$E:$E,'フォームの回答 1'!$B:$B,"&gt;"&amp;L1,'フォームの回答 1'!$H:$H,"支出",'フォームの回答 1'!$D:$D,$A17)</f>
        <v>0</v>
      </c>
      <c r="L17" s="9">
        <f>SUMIFS('フォームの回答 1'!$E:$E,'フォームの回答 1'!$B:$B,"&gt;="&amp;L1,'フォームの回答 1'!$H:$H,"支出",'フォームの回答 1'!$D:$D,$A17)-SUMIFS('フォームの回答 1'!$E:$E,'フォームの回答 1'!$B:$B,"&gt;"&amp;M1,'フォームの回答 1'!$H:$H,"支出",'フォームの回答 1'!$D:$D,$A17)</f>
        <v>0</v>
      </c>
      <c r="M17" s="9">
        <f>SUMIFS('フォームの回答 1'!$E:$E,'フォームの回答 1'!$B:$B,"&gt;="&amp;M1,'フォームの回答 1'!$H:$H,"支出",'フォームの回答 1'!$D:$D,$A17)-SUMIFS('フォームの回答 1'!$E:$E,'フォームの回答 1'!$B:$B,"&gt;"&amp;N1,'フォームの回答 1'!$H:$H,"支出",'フォームの回答 1'!$D:$D,$A17)</f>
        <v>0</v>
      </c>
      <c r="N17" s="9">
        <f>SUMIFS('フォームの回答 1'!$E:$E,'フォームの回答 1'!$B:$B,"&gt;="&amp;N1,'フォームの回答 1'!$H:$H,"支出",'フォームの回答 1'!$D:$D,$A17)-SUMIFS('フォームの回答 1'!$E:$E,'フォームの回答 1'!$B:$B,"&gt;"&amp;O1,'フォームの回答 1'!$H:$H,"支出",'フォームの回答 1'!$D:$D,$A17)</f>
        <v>0</v>
      </c>
    </row>
    <row r="18" spans="1:14" ht="15.75" customHeight="1">
      <c r="A18" s="8" t="s">
        <v>47</v>
      </c>
      <c r="B18" s="9">
        <f t="shared" si="2"/>
        <v>326400</v>
      </c>
      <c r="C18" s="9">
        <f>SUMIFS('フォームの回答 1'!$E:$E,'フォームの回答 1'!$B:$B,"&gt;="&amp;C1,'フォームの回答 1'!$H:$H,"支出",'フォームの回答 1'!$D:$D,$A18)-SUMIFS('フォームの回答 1'!$E:$E,'フォームの回答 1'!$B:$B,"&gt;"&amp;D1,'フォームの回答 1'!$H:$H,"支出",'フォームの回答 1'!$D:$D,$A18)</f>
        <v>81600</v>
      </c>
      <c r="D18" s="9">
        <f>SUMIFS('フォームの回答 1'!$E:$E,'フォームの回答 1'!$B:$B,"&gt;="&amp;D1,'フォームの回答 1'!$H:$H,"支出",'フォームの回答 1'!$D:$D,$A18)-SUMIFS('フォームの回答 1'!$E:$E,'フォームの回答 1'!$B:$B,"&gt;"&amp;E1,'フォームの回答 1'!$H:$H,"支出",'フォームの回答 1'!$D:$D,$A18)</f>
        <v>81600</v>
      </c>
      <c r="E18" s="9">
        <f>SUMIFS('フォームの回答 1'!$E:$E,'フォームの回答 1'!$B:$B,"&gt;="&amp;E1,'フォームの回答 1'!$H:$H,"支出",'フォームの回答 1'!$D:$D,$A18)-SUMIFS('フォームの回答 1'!$E:$E,'フォームの回答 1'!$B:$B,"&gt;"&amp;F1,'フォームの回答 1'!$H:$H,"支出",'フォームの回答 1'!$D:$D,$A18)</f>
        <v>81600</v>
      </c>
      <c r="F18" s="9">
        <f>SUMIFS('フォームの回答 1'!$E:$E,'フォームの回答 1'!$B:$B,"&gt;="&amp;F1,'フォームの回答 1'!$H:$H,"支出",'フォームの回答 1'!$D:$D,$A18)-SUMIFS('フォームの回答 1'!$E:$E,'フォームの回答 1'!$B:$B,"&gt;"&amp;G1,'フォームの回答 1'!$H:$H,"支出",'フォームの回答 1'!$D:$D,$A18)</f>
        <v>81600</v>
      </c>
      <c r="G18" s="9">
        <f>SUMIFS('フォームの回答 1'!$E:$E,'フォームの回答 1'!$B:$B,"&gt;="&amp;G1,'フォームの回答 1'!$H:$H,"支出",'フォームの回答 1'!$D:$D,$A18)-SUMIFS('フォームの回答 1'!$E:$E,'フォームの回答 1'!$B:$B,"&gt;"&amp;H1,'フォームの回答 1'!$H:$H,"支出",'フォームの回答 1'!$D:$D,$A18)</f>
        <v>0</v>
      </c>
      <c r="H18" s="9">
        <f>SUMIFS('フォームの回答 1'!$E:$E,'フォームの回答 1'!$B:$B,"&gt;="&amp;H1,'フォームの回答 1'!$H:$H,"支出",'フォームの回答 1'!$D:$D,$A18)-SUMIFS('フォームの回答 1'!$E:$E,'フォームの回答 1'!$B:$B,"&gt;"&amp;I1,'フォームの回答 1'!$H:$H,"支出",'フォームの回答 1'!$D:$D,$A18)</f>
        <v>0</v>
      </c>
      <c r="I18" s="9">
        <f>SUMIFS('フォームの回答 1'!$E:$E,'フォームの回答 1'!$B:$B,"&gt;="&amp;I1,'フォームの回答 1'!$H:$H,"支出",'フォームの回答 1'!$D:$D,$A18)-SUMIFS('フォームの回答 1'!$E:$E,'フォームの回答 1'!$B:$B,"&gt;"&amp;J1,'フォームの回答 1'!$H:$H,"支出",'フォームの回答 1'!$D:$D,$A18)</f>
        <v>0</v>
      </c>
      <c r="J18" s="9">
        <f>SUMIFS('フォームの回答 1'!$E:$E,'フォームの回答 1'!$B:$B,"&gt;="&amp;J1,'フォームの回答 1'!$H:$H,"支出",'フォームの回答 1'!$D:$D,$A18)-SUMIFS('フォームの回答 1'!$E:$E,'フォームの回答 1'!$B:$B,"&gt;"&amp;K1,'フォームの回答 1'!$H:$H,"支出",'フォームの回答 1'!$D:$D,$A18)</f>
        <v>0</v>
      </c>
      <c r="K18" s="9">
        <f>SUMIFS('フォームの回答 1'!$E:$E,'フォームの回答 1'!$B:$B,"&gt;="&amp;K1,'フォームの回答 1'!$H:$H,"支出",'フォームの回答 1'!$D:$D,$A18)-SUMIFS('フォームの回答 1'!$E:$E,'フォームの回答 1'!$B:$B,"&gt;"&amp;L1,'フォームの回答 1'!$H:$H,"支出",'フォームの回答 1'!$D:$D,$A18)</f>
        <v>0</v>
      </c>
      <c r="L18" s="9">
        <f>SUMIFS('フォームの回答 1'!$E:$E,'フォームの回答 1'!$B:$B,"&gt;="&amp;L1,'フォームの回答 1'!$H:$H,"支出",'フォームの回答 1'!$D:$D,$A18)-SUMIFS('フォームの回答 1'!$E:$E,'フォームの回答 1'!$B:$B,"&gt;"&amp;M1,'フォームの回答 1'!$H:$H,"支出",'フォームの回答 1'!$D:$D,$A18)</f>
        <v>0</v>
      </c>
      <c r="M18" s="9">
        <f>SUMIFS('フォームの回答 1'!$E:$E,'フォームの回答 1'!$B:$B,"&gt;="&amp;M1,'フォームの回答 1'!$H:$H,"支出",'フォームの回答 1'!$D:$D,$A18)-SUMIFS('フォームの回答 1'!$E:$E,'フォームの回答 1'!$B:$B,"&gt;"&amp;N1,'フォームの回答 1'!$H:$H,"支出",'フォームの回答 1'!$D:$D,$A18)</f>
        <v>0</v>
      </c>
      <c r="N18" s="9">
        <f>SUMIFS('フォームの回答 1'!$E:$E,'フォームの回答 1'!$B:$B,"&gt;="&amp;N1,'フォームの回答 1'!$H:$H,"支出",'フォームの回答 1'!$D:$D,$A18)-SUMIFS('フォームの回答 1'!$E:$E,'フォームの回答 1'!$B:$B,"&gt;"&amp;O1,'フォームの回答 1'!$H:$H,"支出",'フォームの回答 1'!$D:$D,$A18)</f>
        <v>0</v>
      </c>
    </row>
    <row r="19" spans="1:14" ht="15.75" customHeight="1">
      <c r="A19" s="8" t="s">
        <v>48</v>
      </c>
      <c r="B19" s="9">
        <f t="shared" si="2"/>
        <v>37499</v>
      </c>
      <c r="C19" s="9">
        <f>SUMIFS('フォームの回答 1'!$E:$E,'フォームの回答 1'!$B:$B,"&gt;="&amp;C1,'フォームの回答 1'!$H:$H,"支出",'フォームの回答 1'!$D:$D,$A19)-SUMIFS('フォームの回答 1'!$E:$E,'フォームの回答 1'!$B:$B,"&gt;"&amp;D1,'フォームの回答 1'!$H:$H,"支出",'フォームの回答 1'!$D:$D,$A19)</f>
        <v>8468</v>
      </c>
      <c r="D19" s="9">
        <f>SUMIFS('フォームの回答 1'!$E:$E,'フォームの回答 1'!$B:$B,"&gt;="&amp;D1,'フォームの回答 1'!$H:$H,"支出",'フォームの回答 1'!$D:$D,$A19)-SUMIFS('フォームの回答 1'!$E:$E,'フォームの回答 1'!$B:$B,"&gt;"&amp;E1,'フォームの回答 1'!$H:$H,"支出",'フォームの回答 1'!$D:$D,$A19)</f>
        <v>8341</v>
      </c>
      <c r="E19" s="9">
        <f>SUMIFS('フォームの回答 1'!$E:$E,'フォームの回答 1'!$B:$B,"&gt;="&amp;E1,'フォームの回答 1'!$H:$H,"支出",'フォームの回答 1'!$D:$D,$A19)-SUMIFS('フォームの回答 1'!$E:$E,'フォームの回答 1'!$B:$B,"&gt;"&amp;F1,'フォームの回答 1'!$H:$H,"支出",'フォームの回答 1'!$D:$D,$A19)</f>
        <v>14580</v>
      </c>
      <c r="F19" s="9">
        <f>SUMIFS('フォームの回答 1'!$E:$E,'フォームの回答 1'!$B:$B,"&gt;="&amp;F1,'フォームの回答 1'!$H:$H,"支出",'フォームの回答 1'!$D:$D,$A19)-SUMIFS('フォームの回答 1'!$E:$E,'フォームの回答 1'!$B:$B,"&gt;"&amp;G1,'フォームの回答 1'!$H:$H,"支出",'フォームの回答 1'!$D:$D,$A19)</f>
        <v>6110</v>
      </c>
      <c r="G19" s="9">
        <f>SUMIFS('フォームの回答 1'!$E:$E,'フォームの回答 1'!$B:$B,"&gt;="&amp;G1,'フォームの回答 1'!$H:$H,"支出",'フォームの回答 1'!$D:$D,$A19)-SUMIFS('フォームの回答 1'!$E:$E,'フォームの回答 1'!$B:$B,"&gt;"&amp;H1,'フォームの回答 1'!$H:$H,"支出",'フォームの回答 1'!$D:$D,$A19)</f>
        <v>0</v>
      </c>
      <c r="H19" s="9">
        <f>SUMIFS('フォームの回答 1'!$E:$E,'フォームの回答 1'!$B:$B,"&gt;="&amp;H1,'フォームの回答 1'!$H:$H,"支出",'フォームの回答 1'!$D:$D,$A19)-SUMIFS('フォームの回答 1'!$E:$E,'フォームの回答 1'!$B:$B,"&gt;"&amp;I1,'フォームの回答 1'!$H:$H,"支出",'フォームの回答 1'!$D:$D,$A19)</f>
        <v>0</v>
      </c>
      <c r="I19" s="9">
        <f>SUMIFS('フォームの回答 1'!$E:$E,'フォームの回答 1'!$B:$B,"&gt;="&amp;I1,'フォームの回答 1'!$H:$H,"支出",'フォームの回答 1'!$D:$D,$A19)-SUMIFS('フォームの回答 1'!$E:$E,'フォームの回答 1'!$B:$B,"&gt;"&amp;J1,'フォームの回答 1'!$H:$H,"支出",'フォームの回答 1'!$D:$D,$A19)</f>
        <v>0</v>
      </c>
      <c r="J19" s="9">
        <f>SUMIFS('フォームの回答 1'!$E:$E,'フォームの回答 1'!$B:$B,"&gt;="&amp;J1,'フォームの回答 1'!$H:$H,"支出",'フォームの回答 1'!$D:$D,$A19)-SUMIFS('フォームの回答 1'!$E:$E,'フォームの回答 1'!$B:$B,"&gt;"&amp;K1,'フォームの回答 1'!$H:$H,"支出",'フォームの回答 1'!$D:$D,$A19)</f>
        <v>0</v>
      </c>
      <c r="K19" s="9">
        <f>SUMIFS('フォームの回答 1'!$E:$E,'フォームの回答 1'!$B:$B,"&gt;="&amp;K1,'フォームの回答 1'!$H:$H,"支出",'フォームの回答 1'!$D:$D,$A19)-SUMIFS('フォームの回答 1'!$E:$E,'フォームの回答 1'!$B:$B,"&gt;"&amp;L1,'フォームの回答 1'!$H:$H,"支出",'フォームの回答 1'!$D:$D,$A19)</f>
        <v>0</v>
      </c>
      <c r="L19" s="9">
        <f>SUMIFS('フォームの回答 1'!$E:$E,'フォームの回答 1'!$B:$B,"&gt;="&amp;L1,'フォームの回答 1'!$H:$H,"支出",'フォームの回答 1'!$D:$D,$A19)-SUMIFS('フォームの回答 1'!$E:$E,'フォームの回答 1'!$B:$B,"&gt;"&amp;M1,'フォームの回答 1'!$H:$H,"支出",'フォームの回答 1'!$D:$D,$A19)</f>
        <v>0</v>
      </c>
      <c r="M19" s="9">
        <f>SUMIFS('フォームの回答 1'!$E:$E,'フォームの回答 1'!$B:$B,"&gt;="&amp;M1,'フォームの回答 1'!$H:$H,"支出",'フォームの回答 1'!$D:$D,$A19)-SUMIFS('フォームの回答 1'!$E:$E,'フォームの回答 1'!$B:$B,"&gt;"&amp;N1,'フォームの回答 1'!$H:$H,"支出",'フォームの回答 1'!$D:$D,$A19)</f>
        <v>0</v>
      </c>
      <c r="N19" s="9">
        <f>SUMIFS('フォームの回答 1'!$E:$E,'フォームの回答 1'!$B:$B,"&gt;="&amp;N1,'フォームの回答 1'!$H:$H,"支出",'フォームの回答 1'!$D:$D,$A19)-SUMIFS('フォームの回答 1'!$E:$E,'フォームの回答 1'!$B:$B,"&gt;"&amp;O1,'フォームの回答 1'!$H:$H,"支出",'フォームの回答 1'!$D:$D,$A19)</f>
        <v>0</v>
      </c>
    </row>
    <row r="20" spans="1:14" ht="15.75" customHeight="1">
      <c r="A20" s="8" t="s">
        <v>49</v>
      </c>
      <c r="B20" s="9">
        <f t="shared" si="2"/>
        <v>20260</v>
      </c>
      <c r="C20" s="9">
        <f>SUMIFS('フォームの回答 1'!$E:$E,'フォームの回答 1'!$B:$B,"&gt;="&amp;C1,'フォームの回答 1'!$H:$H,"支出",'フォームの回答 1'!$D:$D,$A20)-SUMIFS('フォームの回答 1'!$E:$E,'フォームの回答 1'!$B:$B,"&gt;"&amp;D1,'フォームの回答 1'!$H:$H,"支出",'フォームの回答 1'!$D:$D,$A20)</f>
        <v>7980</v>
      </c>
      <c r="D20" s="9">
        <f>SUMIFS('フォームの回答 1'!$E:$E,'フォームの回答 1'!$B:$B,"&gt;="&amp;D1,'フォームの回答 1'!$H:$H,"支出",'フォームの回答 1'!$D:$D,$A20)-SUMIFS('フォームの回答 1'!$E:$E,'フォームの回答 1'!$B:$B,"&gt;"&amp;E1,'フォームの回答 1'!$H:$H,"支出",'フォームの回答 1'!$D:$D,$A20)</f>
        <v>7980</v>
      </c>
      <c r="E20" s="9">
        <f>SUMIFS('フォームの回答 1'!$E:$E,'フォームの回答 1'!$B:$B,"&gt;="&amp;E1,'フォームの回答 1'!$H:$H,"支出",'フォームの回答 1'!$D:$D,$A20)-SUMIFS('フォームの回答 1'!$E:$E,'フォームの回答 1'!$B:$B,"&gt;"&amp;F1,'フォームの回答 1'!$H:$H,"支出",'フォームの回答 1'!$D:$D,$A20)</f>
        <v>2500</v>
      </c>
      <c r="F20" s="9">
        <f>SUMIFS('フォームの回答 1'!$E:$E,'フォームの回答 1'!$B:$B,"&gt;="&amp;F1,'フォームの回答 1'!$H:$H,"支出",'フォームの回答 1'!$D:$D,$A20)-SUMIFS('フォームの回答 1'!$E:$E,'フォームの回答 1'!$B:$B,"&gt;"&amp;G1,'フォームの回答 1'!$H:$H,"支出",'フォームの回答 1'!$D:$D,$A20)</f>
        <v>1800</v>
      </c>
      <c r="G20" s="9">
        <f>SUMIFS('フォームの回答 1'!$E:$E,'フォームの回答 1'!$B:$B,"&gt;="&amp;G1,'フォームの回答 1'!$H:$H,"支出",'フォームの回答 1'!$D:$D,$A20)-SUMIFS('フォームの回答 1'!$E:$E,'フォームの回答 1'!$B:$B,"&gt;"&amp;H1,'フォームの回答 1'!$H:$H,"支出",'フォームの回答 1'!$D:$D,$A20)</f>
        <v>0</v>
      </c>
      <c r="H20" s="9">
        <f>SUMIFS('フォームの回答 1'!$E:$E,'フォームの回答 1'!$B:$B,"&gt;="&amp;H1,'フォームの回答 1'!$H:$H,"支出",'フォームの回答 1'!$D:$D,$A20)-SUMIFS('フォームの回答 1'!$E:$E,'フォームの回答 1'!$B:$B,"&gt;"&amp;I1,'フォームの回答 1'!$H:$H,"支出",'フォームの回答 1'!$D:$D,$A20)</f>
        <v>0</v>
      </c>
      <c r="I20" s="9">
        <f>SUMIFS('フォームの回答 1'!$E:$E,'フォームの回答 1'!$B:$B,"&gt;="&amp;I1,'フォームの回答 1'!$H:$H,"支出",'フォームの回答 1'!$D:$D,$A20)-SUMIFS('フォームの回答 1'!$E:$E,'フォームの回答 1'!$B:$B,"&gt;"&amp;J1,'フォームの回答 1'!$H:$H,"支出",'フォームの回答 1'!$D:$D,$A20)</f>
        <v>0</v>
      </c>
      <c r="J20" s="9">
        <f>SUMIFS('フォームの回答 1'!$E:$E,'フォームの回答 1'!$B:$B,"&gt;="&amp;J1,'フォームの回答 1'!$H:$H,"支出",'フォームの回答 1'!$D:$D,$A20)-SUMIFS('フォームの回答 1'!$E:$E,'フォームの回答 1'!$B:$B,"&gt;"&amp;K1,'フォームの回答 1'!$H:$H,"支出",'フォームの回答 1'!$D:$D,$A20)</f>
        <v>0</v>
      </c>
      <c r="K20" s="9">
        <f>SUMIFS('フォームの回答 1'!$E:$E,'フォームの回答 1'!$B:$B,"&gt;="&amp;K1,'フォームの回答 1'!$H:$H,"支出",'フォームの回答 1'!$D:$D,$A20)-SUMIFS('フォームの回答 1'!$E:$E,'フォームの回答 1'!$B:$B,"&gt;"&amp;L1,'フォームの回答 1'!$H:$H,"支出",'フォームの回答 1'!$D:$D,$A20)</f>
        <v>0</v>
      </c>
      <c r="L20" s="9">
        <f>SUMIFS('フォームの回答 1'!$E:$E,'フォームの回答 1'!$B:$B,"&gt;="&amp;L1,'フォームの回答 1'!$H:$H,"支出",'フォームの回答 1'!$D:$D,$A20)-SUMIFS('フォームの回答 1'!$E:$E,'フォームの回答 1'!$B:$B,"&gt;"&amp;M1,'フォームの回答 1'!$H:$H,"支出",'フォームの回答 1'!$D:$D,$A20)</f>
        <v>0</v>
      </c>
      <c r="M20" s="9">
        <f>SUMIFS('フォームの回答 1'!$E:$E,'フォームの回答 1'!$B:$B,"&gt;="&amp;M1,'フォームの回答 1'!$H:$H,"支出",'フォームの回答 1'!$D:$D,$A20)-SUMIFS('フォームの回答 1'!$E:$E,'フォームの回答 1'!$B:$B,"&gt;"&amp;N1,'フォームの回答 1'!$H:$H,"支出",'フォームの回答 1'!$D:$D,$A20)</f>
        <v>0</v>
      </c>
      <c r="N20" s="9">
        <f>SUMIFS('フォームの回答 1'!$E:$E,'フォームの回答 1'!$B:$B,"&gt;="&amp;N1,'フォームの回答 1'!$H:$H,"支出",'フォームの回答 1'!$D:$D,$A20)-SUMIFS('フォームの回答 1'!$E:$E,'フォームの回答 1'!$B:$B,"&gt;"&amp;O1,'フォームの回答 1'!$H:$H,"支出",'フォームの回答 1'!$D:$D,$A20)</f>
        <v>0</v>
      </c>
    </row>
    <row r="21" spans="1:14" ht="15.75" customHeight="1">
      <c r="C21" s="1"/>
    </row>
  </sheetData>
  <mergeCells count="1">
    <mergeCell ref="B5:N5"/>
  </mergeCells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L71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cols>
    <col min="35" max="35" width="20.33203125" customWidth="1"/>
  </cols>
  <sheetData>
    <row r="1" spans="1:36" ht="15.75" customHeight="1">
      <c r="B1" s="20" t="s">
        <v>54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spans="1:36" ht="15.75" customHeight="1">
      <c r="B2" s="2" t="s">
        <v>29</v>
      </c>
      <c r="C2" s="11">
        <v>45292</v>
      </c>
      <c r="D2" s="11">
        <v>45293</v>
      </c>
      <c r="E2" s="11">
        <v>45294</v>
      </c>
      <c r="F2" s="11">
        <v>45295</v>
      </c>
      <c r="G2" s="11">
        <v>45296</v>
      </c>
      <c r="H2" s="11">
        <v>45297</v>
      </c>
      <c r="I2" s="11">
        <v>45298</v>
      </c>
      <c r="J2" s="11">
        <v>45299</v>
      </c>
      <c r="K2" s="11">
        <v>45300</v>
      </c>
      <c r="L2" s="11">
        <v>45301</v>
      </c>
      <c r="M2" s="11">
        <v>45302</v>
      </c>
      <c r="N2" s="11">
        <v>45303</v>
      </c>
      <c r="O2" s="11">
        <v>45304</v>
      </c>
      <c r="P2" s="11">
        <v>45305</v>
      </c>
      <c r="Q2" s="11">
        <v>45306</v>
      </c>
      <c r="R2" s="11">
        <v>45307</v>
      </c>
      <c r="S2" s="11">
        <v>45308</v>
      </c>
      <c r="T2" s="11">
        <v>45309</v>
      </c>
      <c r="U2" s="11">
        <v>45310</v>
      </c>
      <c r="V2" s="11">
        <v>45311</v>
      </c>
      <c r="W2" s="11">
        <v>45312</v>
      </c>
      <c r="X2" s="11">
        <v>45313</v>
      </c>
      <c r="Y2" s="11">
        <v>45314</v>
      </c>
      <c r="Z2" s="11">
        <v>45315</v>
      </c>
      <c r="AA2" s="11">
        <v>45316</v>
      </c>
      <c r="AB2" s="11">
        <v>45317</v>
      </c>
      <c r="AC2" s="11">
        <v>45318</v>
      </c>
      <c r="AD2" s="11">
        <v>45319</v>
      </c>
      <c r="AE2" s="11">
        <v>45320</v>
      </c>
      <c r="AF2" s="11">
        <v>45321</v>
      </c>
      <c r="AG2" s="11">
        <v>45322</v>
      </c>
      <c r="AI2" s="2" t="s">
        <v>55</v>
      </c>
    </row>
    <row r="3" spans="1:36" ht="15.75" customHeight="1">
      <c r="A3" s="2" t="s">
        <v>34</v>
      </c>
      <c r="B3" s="1">
        <f>SUM(V3:AG3)</f>
        <v>322710</v>
      </c>
      <c r="C3" s="1">
        <f>SUMIFS('フォームの回答 1'!$E:$E,'フォームの回答 1'!$B:$B,C2,'フォームの回答 1'!$H:$H,$A3)</f>
        <v>0</v>
      </c>
      <c r="D3" s="1">
        <f>SUMIFS('フォームの回答 1'!$E:$E,'フォームの回答 1'!$B:$B,D2,'フォームの回答 1'!$H:$H,$A3)</f>
        <v>0</v>
      </c>
      <c r="E3" s="1">
        <f>SUMIFS('フォームの回答 1'!$E:$E,'フォームの回答 1'!$B:$B,E2,'フォームの回答 1'!$H:$H,$A3)</f>
        <v>0</v>
      </c>
      <c r="F3" s="1">
        <f>SUMIFS('フォームの回答 1'!$E:$E,'フォームの回答 1'!$B:$B,F2,'フォームの回答 1'!$H:$H,$A3)</f>
        <v>8600</v>
      </c>
      <c r="G3" s="1">
        <f>SUMIFS('フォームの回答 1'!$E:$E,'フォームの回答 1'!$B:$B,G2,'フォームの回答 1'!$H:$H,$A3)</f>
        <v>0</v>
      </c>
      <c r="H3" s="1">
        <f>SUMIFS('フォームの回答 1'!$E:$E,'フォームの回答 1'!$B:$B,H2,'フォームの回答 1'!$H:$H,$A3)</f>
        <v>0</v>
      </c>
      <c r="I3" s="1">
        <f>SUMIFS('フォームの回答 1'!$E:$E,'フォームの回答 1'!$B:$B,I2,'フォームの回答 1'!$H:$H,$A3)</f>
        <v>2010</v>
      </c>
      <c r="J3" s="1">
        <f>SUMIFS('フォームの回答 1'!$E:$E,'フォームの回答 1'!$B:$B,J2,'フォームの回答 1'!$H:$H,$A3)</f>
        <v>0</v>
      </c>
      <c r="K3" s="1">
        <f>SUMIFS('フォームの回答 1'!$E:$E,'フォームの回答 1'!$B:$B,K2,'フォームの回答 1'!$H:$H,$A3)</f>
        <v>14020</v>
      </c>
      <c r="L3" s="1">
        <f>SUMIFS('フォームの回答 1'!$E:$E,'フォームの回答 1'!$B:$B,L2,'フォームの回答 1'!$H:$H,$A3)</f>
        <v>45440</v>
      </c>
      <c r="M3" s="1">
        <f>SUMIFS('フォームの回答 1'!$E:$E,'フォームの回答 1'!$B:$B,M2,'フォームの回答 1'!$H:$H,$A3)</f>
        <v>0</v>
      </c>
      <c r="N3" s="1">
        <f>SUMIFS('フォームの回答 1'!$E:$E,'フォームの回答 1'!$B:$B,N2,'フォームの回答 1'!$H:$H,$A3)</f>
        <v>0</v>
      </c>
      <c r="O3" s="1">
        <f>SUMIFS('フォームの回答 1'!$E:$E,'フォームの回答 1'!$B:$B,O2,'フォームの回答 1'!$H:$H,$A3)</f>
        <v>0</v>
      </c>
      <c r="P3" s="1">
        <f>SUMIFS('フォームの回答 1'!$E:$E,'フォームの回答 1'!$B:$B,P2,'フォームの回答 1'!$H:$H,$A3)</f>
        <v>0</v>
      </c>
      <c r="Q3" s="1">
        <f>SUMIFS('フォームの回答 1'!$E:$E,'フォームの回答 1'!$B:$B,Q2,'フォームの回答 1'!$H:$H,$A3)</f>
        <v>0</v>
      </c>
      <c r="R3" s="1">
        <f>SUMIFS('フォームの回答 1'!$E:$E,'フォームの回答 1'!$B:$B,R2,'フォームの回答 1'!$H:$H,$A3)</f>
        <v>0</v>
      </c>
      <c r="S3" s="1">
        <f>SUMIFS('フォームの回答 1'!$E:$E,'フォームの回答 1'!$B:$B,S2,'フォームの回答 1'!$H:$H,$A3)</f>
        <v>100000</v>
      </c>
      <c r="T3" s="1">
        <f>SUMIFS('フォームの回答 1'!$E:$E,'フォームの回答 1'!$B:$B,T2,'フォームの回答 1'!$H:$H,$A3)</f>
        <v>0</v>
      </c>
      <c r="U3" s="1">
        <f>SUMIFS('フォームの回答 1'!$E:$E,'フォームの回答 1'!$B:$B,U2,'フォームの回答 1'!$H:$H,$A3)</f>
        <v>0</v>
      </c>
      <c r="V3" s="1">
        <f>SUMIFS('フォームの回答 1'!$E:$E,'フォームの回答 1'!$B:$B,V2,'フォームの回答 1'!$H:$H,$A3)</f>
        <v>0</v>
      </c>
      <c r="W3" s="1">
        <f>SUMIFS('フォームの回答 1'!$E:$E,'フォームの回答 1'!$B:$B,W2,'フォームの回答 1'!$H:$H,$A3)</f>
        <v>0</v>
      </c>
      <c r="X3" s="1">
        <f>SUMIFS('フォームの回答 1'!$E:$E,'フォームの回答 1'!$B:$B,X2,'フォームの回答 1'!$H:$H,$A3)</f>
        <v>0</v>
      </c>
      <c r="Y3" s="1">
        <f>SUMIFS('フォームの回答 1'!$E:$E,'フォームの回答 1'!$B:$B,Y2,'フォームの回答 1'!$H:$H,$A3)</f>
        <v>0</v>
      </c>
      <c r="Z3" s="1">
        <f>SUMIFS('フォームの回答 1'!$E:$E,'フォームの回答 1'!$B:$B,Z2,'フォームの回答 1'!$H:$H,$A3)</f>
        <v>0</v>
      </c>
      <c r="AA3" s="1">
        <f>SUMIFS('フォームの回答 1'!$E:$E,'フォームの回答 1'!$B:$B,AA2,'フォームの回答 1'!$H:$H,$A3)</f>
        <v>288710</v>
      </c>
      <c r="AB3" s="1">
        <f>SUMIFS('フォームの回答 1'!$E:$E,'フォームの回答 1'!$B:$B,AB2,'フォームの回答 1'!$H:$H,$A3)</f>
        <v>0</v>
      </c>
      <c r="AC3" s="1">
        <f>SUMIFS('フォームの回答 1'!$E:$E,'フォームの回答 1'!$B:$B,AC2,'フォームの回答 1'!$H:$H,$A3)</f>
        <v>4000</v>
      </c>
      <c r="AD3" s="1">
        <f>SUMIFS('フォームの回答 1'!$E:$E,'フォームの回答 1'!$B:$B,AD2,'フォームの回答 1'!$H:$H,$A3)</f>
        <v>0</v>
      </c>
      <c r="AE3" s="1">
        <f>SUMIFS('フォームの回答 1'!$E:$E,'フォームの回答 1'!$B:$B,AE2,'フォームの回答 1'!$H:$H,$A3)</f>
        <v>0</v>
      </c>
      <c r="AF3" s="1">
        <f>SUMIFS('フォームの回答 1'!$E:$E,'フォームの回答 1'!$B:$B,AF2,'フォームの回答 1'!$H:$H,$A3)</f>
        <v>0</v>
      </c>
      <c r="AG3" s="1">
        <f>SUMIFS('フォームの回答 1'!$E:$E,'フォームの回答 1'!$B:$B,AG2,'フォームの回答 1'!$H:$H,$A3)</f>
        <v>30000</v>
      </c>
      <c r="AI3" s="1">
        <f>161547</f>
        <v>161547</v>
      </c>
    </row>
    <row r="4" spans="1:36" ht="15.75" customHeight="1">
      <c r="A4" s="2" t="s">
        <v>35</v>
      </c>
      <c r="B4" s="1">
        <f>SUM(V4:AG4)</f>
        <v>363205</v>
      </c>
      <c r="C4" s="1">
        <f>SUMIFS('フォームの回答 1'!$E:$E,'フォームの回答 1'!$B:$B,C2,'フォームの回答 1'!$H:$H,$A4,'フォームの回答 1'!$F:$F,"Cash")</f>
        <v>1616</v>
      </c>
      <c r="D4" s="1">
        <f>SUMIFS('フォームの回答 1'!$E:$E,'フォームの回答 1'!$B:$B,D2,'フォームの回答 1'!$H:$H,$A4,'フォームの回答 1'!$F:$F,"Cash")</f>
        <v>2270</v>
      </c>
      <c r="E4" s="1">
        <f>SUMIFS('フォームの回答 1'!$E:$E,'フォームの回答 1'!$B:$B,E2,'フォームの回答 1'!$H:$H,$A4,'フォームの回答 1'!$F:$F,"Cash")</f>
        <v>22641</v>
      </c>
      <c r="F4" s="1">
        <f>SUMIFS('フォームの回答 1'!$E:$E,'フォームの回答 1'!$B:$B,F2,'フォームの回答 1'!$H:$H,$A4,'フォームの回答 1'!$F:$F,"Cash")</f>
        <v>5569</v>
      </c>
      <c r="G4" s="1">
        <f>SUMIFS('フォームの回答 1'!$E:$E,'フォームの回答 1'!$B:$B,G2,'フォームの回答 1'!$H:$H,$A4,'フォームの回答 1'!$F:$F,"Cash")</f>
        <v>11848</v>
      </c>
      <c r="H4" s="1">
        <f>SUMIFS('フォームの回答 1'!$E:$E,'フォームの回答 1'!$B:$B,H2,'フォームの回答 1'!$H:$H,$A4,'フォームの回答 1'!$F:$F,"Cash")</f>
        <v>1295</v>
      </c>
      <c r="I4" s="1">
        <f>SUMIFS('フォームの回答 1'!$E:$E,'フォームの回答 1'!$B:$B,I2,'フォームの回答 1'!$H:$H,$A4,'フォームの回答 1'!$F:$F,"Cash")</f>
        <v>2540</v>
      </c>
      <c r="J4" s="1">
        <f>SUMIFS('フォームの回答 1'!$E:$E,'フォームの回答 1'!$B:$B,J2,'フォームの回答 1'!$H:$H,$A4,'フォームの回答 1'!$F:$F,"Cash")</f>
        <v>4160</v>
      </c>
      <c r="K4" s="1">
        <f>SUMIFS('フォームの回答 1'!$E:$E,'フォームの回答 1'!$B:$B,K2,'フォームの回答 1'!$H:$H,$A4,'フォームの回答 1'!$F:$F,"Cash")</f>
        <v>0</v>
      </c>
      <c r="L4" s="1">
        <f>SUMIFS('フォームの回答 1'!$E:$E,'フォームの回答 1'!$B:$B,L2,'フォームの回答 1'!$H:$H,$A4,'フォームの回答 1'!$F:$F,"Cash")</f>
        <v>265</v>
      </c>
      <c r="M4" s="1">
        <f>SUMIFS('フォームの回答 1'!$E:$E,'フォームの回答 1'!$B:$B,M2,'フォームの回答 1'!$H:$H,$A4,'フォームの回答 1'!$F:$F,"Cash")</f>
        <v>1868</v>
      </c>
      <c r="N4" s="1">
        <f>SUMIFS('フォームの回答 1'!$E:$E,'フォームの回答 1'!$B:$B,N2,'フォームの回答 1'!$H:$H,$A4,'フォームの回答 1'!$F:$F,"Cash")</f>
        <v>939</v>
      </c>
      <c r="O4" s="1">
        <f>SUMIFS('フォームの回答 1'!$E:$E,'フォームの回答 1'!$B:$B,O2,'フォームの回答 1'!$H:$H,$A4,'フォームの回答 1'!$F:$F,"Cash")</f>
        <v>2133</v>
      </c>
      <c r="P4" s="1">
        <f>SUMIFS('フォームの回答 1'!$E:$E,'フォームの回答 1'!$B:$B,P2,'フォームの回答 1'!$H:$H,$A4,'フォームの回答 1'!$F:$F,"Cash")</f>
        <v>1343</v>
      </c>
      <c r="Q4" s="1">
        <f>SUMIFS('フォームの回答 1'!$E:$E,'フォームの回答 1'!$B:$B,Q2,'フォームの回答 1'!$H:$H,$A4,'フォームの回答 1'!$F:$F,"Cash")</f>
        <v>1100</v>
      </c>
      <c r="R4" s="1">
        <f>SUMIFS('フォームの回答 1'!$E:$E,'フォームの回答 1'!$B:$B,R2,'フォームの回答 1'!$H:$H,$A4,'フォームの回答 1'!$F:$F,"Cash")</f>
        <v>7526</v>
      </c>
      <c r="S4" s="1">
        <f>SUMIFS('フォームの回答 1'!$E:$E,'フォームの回答 1'!$B:$B,S2,'フォームの回答 1'!$H:$H,$A4,'フォームの回答 1'!$F:$F,"Cash")</f>
        <v>83547</v>
      </c>
      <c r="T4" s="1">
        <f>SUMIFS('フォームの回答 1'!$E:$E,'フォームの回答 1'!$B:$B,T2,'フォームの回答 1'!$H:$H,$A4,'フォームの回答 1'!$F:$F,"Cash")</f>
        <v>1287</v>
      </c>
      <c r="U4" s="1">
        <f>SUMIFS('フォームの回答 1'!$E:$E,'フォームの回答 1'!$B:$B,U2,'フォームの回答 1'!$H:$H,$A4,'フォームの回答 1'!$F:$F,"Cash")</f>
        <v>1689</v>
      </c>
      <c r="V4" s="1">
        <f>SUMIFS('フォームの回答 1'!$E:$E,'フォームの回答 1'!$B:$B,V2,'フォームの回答 1'!$H:$H,$A4,'フォームの回答 1'!$F:$F,"Cash")</f>
        <v>1229</v>
      </c>
      <c r="W4" s="1">
        <f>SUMIFS('フォームの回答 1'!$E:$E,'フォームの回答 1'!$B:$B,W2,'フォームの回答 1'!$H:$H,$A4,'フォームの回答 1'!$F:$F,"Cash")</f>
        <v>2248</v>
      </c>
      <c r="X4" s="1">
        <f>SUMIFS('フォームの回答 1'!$E:$E,'フォームの回答 1'!$B:$B,X2,'フォームの回答 1'!$H:$H,$A4,'フォームの回答 1'!$F:$F,"Cash")</f>
        <v>1210</v>
      </c>
      <c r="Y4" s="1">
        <f>SUMIFS('フォームの回答 1'!$E:$E,'フォームの回答 1'!$B:$B,Y2,'フォームの回答 1'!$H:$H,$A4,'フォームの回答 1'!$F:$F,"Cash")</f>
        <v>1182</v>
      </c>
      <c r="Z4" s="1">
        <f>SUMIFS('フォームの回答 1'!$E:$E,'フォームの回答 1'!$B:$B,Z2,'フォームの回答 1'!$H:$H,$A4,'フォームの回答 1'!$F:$F,"Cash")</f>
        <v>1000</v>
      </c>
      <c r="AA4" s="1">
        <f>SUMIFS('フォームの回答 1'!$E:$E,'フォームの回答 1'!$B:$B,AA2,'フォームの回答 1'!$H:$H,$A4,'フォームの回答 1'!$F:$F,"Cash")</f>
        <v>4480</v>
      </c>
      <c r="AB4" s="1">
        <f>SUMIFS('フォームの回答 1'!$E:$E,'フォームの回答 1'!$B:$B,AB2,'フォームの回答 1'!$H:$H,$A4,'フォームの回答 1'!$F:$F,"Cash")</f>
        <v>31506</v>
      </c>
      <c r="AC4" s="1">
        <f>SUMIFS('フォームの回答 1'!$E:$E,'フォームの回答 1'!$B:$B,AC2,'フォームの回答 1'!$H:$H,$A4,'フォームの回答 1'!$F:$F,"Cash")+AI3</f>
        <v>169227</v>
      </c>
      <c r="AD4" s="1">
        <f>SUMIFS('フォームの回答 1'!$E:$E,'フォームの回答 1'!$B:$B,AD2,'フォームの回答 1'!$H:$H,$A4,'フォームの回答 1'!$F:$F,"Cash")</f>
        <v>2673</v>
      </c>
      <c r="AE4" s="1">
        <f>SUMIFS('フォームの回答 1'!$E:$E,'フォームの回答 1'!$B:$B,AE2,'フォームの回答 1'!$H:$H,$A4,'フォームの回答 1'!$F:$F,"Cash")</f>
        <v>145804</v>
      </c>
      <c r="AF4" s="1">
        <f>SUMIFS('フォームの回答 1'!$E:$E,'フォームの回答 1'!$B:$B,AF2,'フォームの回答 1'!$H:$H,$A4,'フォームの回答 1'!$F:$F,"Cash")</f>
        <v>1000</v>
      </c>
      <c r="AG4" s="1">
        <f>SUMIFS('フォームの回答 1'!$E:$E,'フォームの回答 1'!$B:$B,AG2,'フォームの回答 1'!$H:$H,$A4,'フォームの回答 1'!$F:$F,"Cash")</f>
        <v>1646</v>
      </c>
      <c r="AJ4" s="1"/>
    </row>
    <row r="5" spans="1:36" ht="15.75" customHeight="1">
      <c r="A5" s="2" t="s">
        <v>32</v>
      </c>
      <c r="C5" s="1">
        <f>【Daily】2023年!AG35+C3-C4</f>
        <v>53654</v>
      </c>
      <c r="D5" s="1">
        <f t="shared" ref="D5:AG5" si="0">C5+D3-D4</f>
        <v>51384</v>
      </c>
      <c r="E5" s="1">
        <f t="shared" si="0"/>
        <v>28743</v>
      </c>
      <c r="F5" s="1">
        <f t="shared" si="0"/>
        <v>31774</v>
      </c>
      <c r="G5" s="1">
        <f t="shared" si="0"/>
        <v>19926</v>
      </c>
      <c r="H5" s="1">
        <f t="shared" si="0"/>
        <v>18631</v>
      </c>
      <c r="I5" s="1">
        <f t="shared" si="0"/>
        <v>18101</v>
      </c>
      <c r="J5" s="1">
        <f t="shared" si="0"/>
        <v>13941</v>
      </c>
      <c r="K5" s="1">
        <f t="shared" si="0"/>
        <v>27961</v>
      </c>
      <c r="L5" s="1">
        <f t="shared" si="0"/>
        <v>73136</v>
      </c>
      <c r="M5" s="1">
        <f t="shared" si="0"/>
        <v>71268</v>
      </c>
      <c r="N5" s="1">
        <f t="shared" si="0"/>
        <v>70329</v>
      </c>
      <c r="O5" s="1">
        <f t="shared" si="0"/>
        <v>68196</v>
      </c>
      <c r="P5" s="1">
        <f t="shared" si="0"/>
        <v>66853</v>
      </c>
      <c r="Q5" s="1">
        <f t="shared" si="0"/>
        <v>65753</v>
      </c>
      <c r="R5" s="1">
        <f t="shared" si="0"/>
        <v>58227</v>
      </c>
      <c r="S5" s="1">
        <f t="shared" si="0"/>
        <v>74680</v>
      </c>
      <c r="T5" s="1">
        <f t="shared" si="0"/>
        <v>73393</v>
      </c>
      <c r="U5" s="1">
        <f t="shared" si="0"/>
        <v>71704</v>
      </c>
      <c r="V5" s="1">
        <f t="shared" si="0"/>
        <v>70475</v>
      </c>
      <c r="W5" s="1">
        <f t="shared" si="0"/>
        <v>68227</v>
      </c>
      <c r="X5" s="1">
        <f t="shared" si="0"/>
        <v>67017</v>
      </c>
      <c r="Y5" s="1">
        <f t="shared" si="0"/>
        <v>65835</v>
      </c>
      <c r="Z5" s="1">
        <f t="shared" si="0"/>
        <v>64835</v>
      </c>
      <c r="AA5" s="1">
        <f t="shared" si="0"/>
        <v>349065</v>
      </c>
      <c r="AB5" s="1">
        <f t="shared" si="0"/>
        <v>317559</v>
      </c>
      <c r="AC5" s="1">
        <f t="shared" si="0"/>
        <v>152332</v>
      </c>
      <c r="AD5" s="1">
        <f t="shared" si="0"/>
        <v>149659</v>
      </c>
      <c r="AE5" s="1">
        <f t="shared" si="0"/>
        <v>3855</v>
      </c>
      <c r="AF5" s="1">
        <f t="shared" si="0"/>
        <v>2855</v>
      </c>
      <c r="AG5" s="1">
        <f t="shared" si="0"/>
        <v>31209</v>
      </c>
      <c r="AJ5" s="1"/>
    </row>
    <row r="7" spans="1:36" ht="15.75" customHeight="1">
      <c r="B7" s="20" t="s">
        <v>56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12"/>
      <c r="AG7" s="12"/>
    </row>
    <row r="8" spans="1:36" ht="15.75" customHeight="1">
      <c r="B8" s="2" t="s">
        <v>29</v>
      </c>
      <c r="C8" s="11">
        <v>45323</v>
      </c>
      <c r="D8" s="11">
        <v>45324</v>
      </c>
      <c r="E8" s="11">
        <v>45325</v>
      </c>
      <c r="F8" s="11">
        <v>45326</v>
      </c>
      <c r="G8" s="11">
        <v>45327</v>
      </c>
      <c r="H8" s="11">
        <v>45328</v>
      </c>
      <c r="I8" s="11">
        <v>45329</v>
      </c>
      <c r="J8" s="11">
        <v>45330</v>
      </c>
      <c r="K8" s="11">
        <v>45331</v>
      </c>
      <c r="L8" s="11">
        <v>45332</v>
      </c>
      <c r="M8" s="11">
        <v>45333</v>
      </c>
      <c r="N8" s="11">
        <v>45334</v>
      </c>
      <c r="O8" s="11">
        <v>45335</v>
      </c>
      <c r="P8" s="11">
        <v>45336</v>
      </c>
      <c r="Q8" s="11">
        <v>45337</v>
      </c>
      <c r="R8" s="11">
        <v>45338</v>
      </c>
      <c r="S8" s="11">
        <v>45339</v>
      </c>
      <c r="T8" s="11">
        <v>45340</v>
      </c>
      <c r="U8" s="11">
        <v>45341</v>
      </c>
      <c r="V8" s="11">
        <v>45342</v>
      </c>
      <c r="W8" s="11">
        <v>45343</v>
      </c>
      <c r="X8" s="11">
        <v>45344</v>
      </c>
      <c r="Y8" s="11">
        <v>45345</v>
      </c>
      <c r="Z8" s="11">
        <v>45346</v>
      </c>
      <c r="AA8" s="11">
        <v>45347</v>
      </c>
      <c r="AB8" s="11">
        <v>45348</v>
      </c>
      <c r="AC8" s="11">
        <v>45349</v>
      </c>
      <c r="AD8" s="11">
        <v>45350</v>
      </c>
      <c r="AE8" s="11">
        <v>45351</v>
      </c>
      <c r="AF8" s="11"/>
      <c r="AG8" s="11"/>
      <c r="AI8" s="2" t="s">
        <v>57</v>
      </c>
    </row>
    <row r="9" spans="1:36" ht="15.75" customHeight="1">
      <c r="A9" s="2" t="s">
        <v>34</v>
      </c>
      <c r="B9" s="1">
        <f>SUM(V9:AG9)</f>
        <v>377823</v>
      </c>
      <c r="C9" s="1">
        <f>SUMIFS('フォームの回答 1'!$E:$E,'フォームの回答 1'!$B:$B,C8,'フォームの回答 1'!$H:$H,$A9)</f>
        <v>0</v>
      </c>
      <c r="D9" s="1">
        <f>SUMIFS('フォームの回答 1'!$E:$E,'フォームの回答 1'!$B:$B,D8,'フォームの回答 1'!$H:$H,$A9)</f>
        <v>0</v>
      </c>
      <c r="E9" s="1">
        <f>SUMIFS('フォームの回答 1'!$E:$E,'フォームの回答 1'!$B:$B,E8,'フォームの回答 1'!$H:$H,$A9)</f>
        <v>0</v>
      </c>
      <c r="F9" s="1">
        <f>SUMIFS('フォームの回答 1'!$E:$E,'フォームの回答 1'!$B:$B,F8,'フォームの回答 1'!$H:$H,$A9)</f>
        <v>0</v>
      </c>
      <c r="G9" s="1">
        <f>SUMIFS('フォームの回答 1'!$E:$E,'フォームの回答 1'!$B:$B,G8,'フォームの回答 1'!$H:$H,$A9)</f>
        <v>0</v>
      </c>
      <c r="H9" s="1">
        <f>SUMIFS('フォームの回答 1'!$E:$E,'フォームの回答 1'!$B:$B,H8,'フォームの回答 1'!$H:$H,$A9)</f>
        <v>78070</v>
      </c>
      <c r="I9" s="1">
        <f>SUMIFS('フォームの回答 1'!$E:$E,'フォームの回答 1'!$B:$B,I8,'フォームの回答 1'!$H:$H,$A9)</f>
        <v>0</v>
      </c>
      <c r="J9" s="1">
        <f>SUMIFS('フォームの回答 1'!$E:$E,'フォームの回答 1'!$B:$B,J8,'フォームの回答 1'!$H:$H,$A9)</f>
        <v>0</v>
      </c>
      <c r="K9" s="1">
        <f>SUMIFS('フォームの回答 1'!$E:$E,'フォームの回答 1'!$B:$B,K8,'フォームの回答 1'!$H:$H,$A9)</f>
        <v>0</v>
      </c>
      <c r="L9" s="1">
        <f>SUMIFS('フォームの回答 1'!$E:$E,'フォームの回答 1'!$B:$B,L8,'フォームの回答 1'!$H:$H,$A9)</f>
        <v>0</v>
      </c>
      <c r="M9" s="1">
        <f>SUMIFS('フォームの回答 1'!$E:$E,'フォームの回答 1'!$B:$B,M8,'フォームの回答 1'!$H:$H,$A9)</f>
        <v>0</v>
      </c>
      <c r="N9" s="1">
        <f>SUMIFS('フォームの回答 1'!$E:$E,'フォームの回答 1'!$B:$B,N8,'フォームの回答 1'!$H:$H,$A9)</f>
        <v>0</v>
      </c>
      <c r="O9" s="1">
        <f>SUMIFS('フォームの回答 1'!$E:$E,'フォームの回答 1'!$B:$B,O8,'フォームの回答 1'!$H:$H,$A9)</f>
        <v>0</v>
      </c>
      <c r="P9" s="1">
        <f>SUMIFS('フォームの回答 1'!$E:$E,'フォームの回答 1'!$B:$B,P8,'フォームの回答 1'!$H:$H,$A9)</f>
        <v>0</v>
      </c>
      <c r="Q9" s="1">
        <f>SUMIFS('フォームの回答 1'!$E:$E,'フォームの回答 1'!$B:$B,Q8,'フォームの回答 1'!$H:$H,$A9)</f>
        <v>0</v>
      </c>
      <c r="R9" s="1">
        <f>SUMIFS('フォームの回答 1'!$E:$E,'フォームの回答 1'!$B:$B,R8,'フォームの回答 1'!$H:$H,$A9)</f>
        <v>0</v>
      </c>
      <c r="S9" s="1">
        <f>SUMIFS('フォームの回答 1'!$E:$E,'フォームの回答 1'!$B:$B,S8,'フォームの回答 1'!$H:$H,$A9)</f>
        <v>0</v>
      </c>
      <c r="T9" s="1">
        <f>SUMIFS('フォームの回答 1'!$E:$E,'フォームの回答 1'!$B:$B,T8,'フォームの回答 1'!$H:$H,$A9)</f>
        <v>0</v>
      </c>
      <c r="U9" s="1">
        <f>SUMIFS('フォームの回答 1'!$E:$E,'フォームの回答 1'!$B:$B,U8,'フォームの回答 1'!$H:$H,$A9)</f>
        <v>0</v>
      </c>
      <c r="V9" s="1">
        <f>SUMIFS('フォームの回答 1'!$E:$E,'フォームの回答 1'!$B:$B,V8,'フォームの回答 1'!$H:$H,$A9)+AJ11</f>
        <v>0</v>
      </c>
      <c r="W9" s="1">
        <f>SUMIFS('フォームの回答 1'!$E:$E,'フォームの回答 1'!$B:$B,W8,'フォームの回答 1'!$H:$H,$A9)</f>
        <v>0</v>
      </c>
      <c r="X9" s="1">
        <f>SUMIFS('フォームの回答 1'!$E:$E,'フォームの回答 1'!$B:$B,X8,'フォームの回答 1'!$H:$H,$A9)</f>
        <v>377823</v>
      </c>
      <c r="Y9" s="1">
        <f>SUMIFS('フォームの回答 1'!$E:$E,'フォームの回答 1'!$B:$B,Y8,'フォームの回答 1'!$H:$H,$A9)</f>
        <v>0</v>
      </c>
      <c r="Z9" s="1">
        <f>SUMIFS('フォームの回答 1'!$E:$E,'フォームの回答 1'!$B:$B,Z8,'フォームの回答 1'!$H:$H,$A9)</f>
        <v>0</v>
      </c>
      <c r="AA9" s="1">
        <f>SUMIFS('フォームの回答 1'!$E:$E,'フォームの回答 1'!$B:$B,AA8,'フォームの回答 1'!$H:$H,$A9)</f>
        <v>0</v>
      </c>
      <c r="AB9" s="1">
        <f>SUMIFS('フォームの回答 1'!$E:$E,'フォームの回答 1'!$B:$B,AB8,'フォームの回答 1'!$H:$H,$A9)</f>
        <v>0</v>
      </c>
      <c r="AC9" s="1">
        <f>SUMIFS('フォームの回答 1'!$E:$E,'フォームの回答 1'!$B:$B,AC8,'フォームの回答 1'!$H:$H,$A9)</f>
        <v>0</v>
      </c>
      <c r="AD9" s="1">
        <f>SUMIFS('フォームの回答 1'!$E:$E,'フォームの回答 1'!$B:$B,AD8,'フォームの回答 1'!$H:$H,$A9)</f>
        <v>0</v>
      </c>
      <c r="AE9" s="1">
        <f>SUMIFS('フォームの回答 1'!$E:$E,'フォームの回答 1'!$B:$B,AE8,'フォームの回答 1'!$H:$H,$A9)</f>
        <v>0</v>
      </c>
      <c r="AF9" s="1"/>
      <c r="AG9" s="1"/>
      <c r="AI9" s="1">
        <f>188506</f>
        <v>188506</v>
      </c>
    </row>
    <row r="10" spans="1:36" ht="15.75" customHeight="1">
      <c r="A10" s="2" t="s">
        <v>35</v>
      </c>
      <c r="B10" s="1">
        <f>SUM(V10:AG10)</f>
        <v>383264</v>
      </c>
      <c r="C10" s="1">
        <f>SUMIFS('フォームの回答 1'!$E:$E,'フォームの回答 1'!$B:$B,C8,'フォームの回答 1'!$H:$H,$A10,'フォームの回答 1'!$F:$F,"Cash")</f>
        <v>1500</v>
      </c>
      <c r="D10" s="1">
        <f>SUMIFS('フォームの回答 1'!$E:$E,'フォームの回答 1'!$B:$B,D8,'フォームの回答 1'!$H:$H,$A10,'フォームの回答 1'!$F:$F,"Cash")</f>
        <v>8450</v>
      </c>
      <c r="E10" s="1">
        <f>SUMIFS('フォームの回答 1'!$E:$E,'フォームの回答 1'!$B:$B,E8,'フォームの回答 1'!$H:$H,$A10,'フォームの回答 1'!$F:$F,"Cash")</f>
        <v>5065</v>
      </c>
      <c r="F10" s="1">
        <f>SUMIFS('フォームの回答 1'!$E:$E,'フォームの回答 1'!$B:$B,F8,'フォームの回答 1'!$H:$H,$A10,'フォームの回答 1'!$F:$F,"Cash")</f>
        <v>1887</v>
      </c>
      <c r="G10" s="1">
        <f>SUMIFS('フォームの回答 1'!$E:$E,'フォームの回答 1'!$B:$B,G8,'フォームの回答 1'!$H:$H,$A10,'フォームの回答 1'!$F:$F,"Cash")</f>
        <v>12000</v>
      </c>
      <c r="H10" s="1">
        <f>SUMIFS('フォームの回答 1'!$E:$E,'フォームの回答 1'!$B:$B,H8,'フォームの回答 1'!$H:$H,$A10,'フォームの回答 1'!$F:$F,"Cash")</f>
        <v>358</v>
      </c>
      <c r="I10" s="1">
        <f>SUMIFS('フォームの回答 1'!$E:$E,'フォームの回答 1'!$B:$B,I8,'フォームの回答 1'!$H:$H,$A10,'フォームの回答 1'!$F:$F,"Cash")</f>
        <v>4596</v>
      </c>
      <c r="J10" s="1">
        <f>SUMIFS('フォームの回答 1'!$E:$E,'フォームの回答 1'!$B:$B,J8,'フォームの回答 1'!$H:$H,$A10,'フォームの回答 1'!$F:$F,"Cash")</f>
        <v>1496</v>
      </c>
      <c r="K10" s="1">
        <f>SUMIFS('フォームの回答 1'!$E:$E,'フォームの回答 1'!$B:$B,K8,'フォームの回答 1'!$H:$H,$A10,'フォームの回答 1'!$F:$F,"Cash")</f>
        <v>2565</v>
      </c>
      <c r="L10" s="1">
        <f>SUMIFS('フォームの回答 1'!$E:$E,'フォームの回答 1'!$B:$B,L8,'フォームの回答 1'!$H:$H,$A10,'フォームの回答 1'!$F:$F,"Cash")</f>
        <v>2685</v>
      </c>
      <c r="M10" s="1">
        <f>SUMIFS('フォームの回答 1'!$E:$E,'フォームの回答 1'!$B:$B,M8,'フォームの回答 1'!$H:$H,$A10,'フォームの回答 1'!$F:$F,"Cash")</f>
        <v>1960</v>
      </c>
      <c r="N10" s="1">
        <f>SUMIFS('フォームの回答 1'!$E:$E,'フォームの回答 1'!$B:$B,N8,'フォームの回答 1'!$H:$H,$A10,'フォームの回答 1'!$F:$F,"Cash")</f>
        <v>2707</v>
      </c>
      <c r="O10" s="1">
        <f>SUMIFS('フォームの回答 1'!$E:$E,'フォームの回答 1'!$B:$B,O8,'フォームの回答 1'!$H:$H,$A10,'フォームの回答 1'!$F:$F,"Cash")</f>
        <v>2904</v>
      </c>
      <c r="P10" s="1">
        <f>SUMIFS('フォームの回答 1'!$E:$E,'フォームの回答 1'!$B:$B,P8,'フォームの回答 1'!$H:$H,$A10,'フォームの回答 1'!$F:$F,"Cash")</f>
        <v>5866</v>
      </c>
      <c r="Q10" s="1">
        <f>SUMIFS('フォームの回答 1'!$E:$E,'フォームの回答 1'!$B:$B,Q8,'フォームの回答 1'!$H:$H,$A10,'フォームの回答 1'!$F:$F,"Cash")</f>
        <v>1440</v>
      </c>
      <c r="R10" s="1">
        <f>SUMIFS('フォームの回答 1'!$E:$E,'フォームの回答 1'!$B:$B,R8,'フォームの回答 1'!$H:$H,$A10,'フォームの回答 1'!$F:$F,"Cash")</f>
        <v>2230</v>
      </c>
      <c r="S10" s="1">
        <f>SUMIFS('フォームの回答 1'!$E:$E,'フォームの回答 1'!$B:$B,S8,'フォームの回答 1'!$H:$H,$A10,'フォームの回答 1'!$F:$F,"Cash")</f>
        <v>4877</v>
      </c>
      <c r="T10" s="1">
        <f>SUMIFS('フォームの回答 1'!$E:$E,'フォームの回答 1'!$B:$B,T8,'フォームの回答 1'!$H:$H,$A10,'フォームの回答 1'!$F:$F,"Cash")</f>
        <v>687</v>
      </c>
      <c r="U10" s="1">
        <f>SUMIFS('フォームの回答 1'!$E:$E,'フォームの回答 1'!$B:$B,U8,'フォームの回答 1'!$H:$H,$A10,'フォームの回答 1'!$F:$F,"Cash")</f>
        <v>3600</v>
      </c>
      <c r="V10" s="1">
        <f>SUMIFS('フォームの回答 1'!$E:$E,'フォームの回答 1'!$B:$B,V8,'フォームの回答 1'!$H:$H,$A10,'フォームの回答 1'!$F:$F,"Cash")</f>
        <v>2666</v>
      </c>
      <c r="W10" s="1">
        <f>SUMIFS('フォームの回答 1'!$E:$E,'フォームの回答 1'!$B:$B,W8,'フォームの回答 1'!$H:$H,$A10,'フォームの回答 1'!$F:$F,"Cash")</f>
        <v>0</v>
      </c>
      <c r="X10" s="1">
        <f>SUMIFS('フォームの回答 1'!$E:$E,'フォームの回答 1'!$B:$B,X8,'フォームの回答 1'!$H:$H,$A10,'フォームの回答 1'!$F:$F,"Cash")</f>
        <v>2300</v>
      </c>
      <c r="Y10" s="1">
        <f>SUMIFS('フォームの回答 1'!$E:$E,'フォームの回答 1'!$B:$B,Y8,'フォームの回答 1'!$H:$H,$A10,'フォームの回答 1'!$F:$F,"Cash")</f>
        <v>1800</v>
      </c>
      <c r="Z10" s="1">
        <f>SUMIFS('フォームの回答 1'!$E:$E,'フォームの回答 1'!$B:$B,Z8,'フォームの回答 1'!$H:$H,$A10,'フォームの回答 1'!$F:$F,"Cash")</f>
        <v>1488</v>
      </c>
      <c r="AA10" s="1">
        <f>SUMIFS('フォームの回答 1'!$E:$E,'フォームの回答 1'!$B:$B,AA8,'フォームの回答 1'!$H:$H,$A10,'フォームの回答 1'!$F:$F,"Cash")</f>
        <v>2854</v>
      </c>
      <c r="AB10" s="1">
        <f>SUMIFS('フォームの回答 1'!$E:$E,'フォームの回答 1'!$B:$B,AB8,'フォームの回答 1'!$H:$H,$A10,'フォームの回答 1'!$F:$F,"Cash")</f>
        <v>15262</v>
      </c>
      <c r="AC10" s="1">
        <f>SUMIFS('フォームの回答 1'!$E:$E,'フォームの回答 1'!$B:$B,AC8,'フォームの回答 1'!$H:$H,$A10,'フォームの回答 1'!$F:$F,"Cash")+AI9</f>
        <v>354904</v>
      </c>
      <c r="AD10" s="1">
        <f>SUMIFS('フォームの回答 1'!$E:$E,'フォームの回答 1'!$B:$B,AD8,'フォームの回答 1'!$H:$H,$A10,'フォームの回答 1'!$F:$F,"Cash")</f>
        <v>0</v>
      </c>
      <c r="AE10" s="1">
        <f>SUMIFS('フォームの回答 1'!$E:$E,'フォームの回答 1'!$B:$B,AE8,'フォームの回答 1'!$H:$H,$A10,'フォームの回答 1'!$F:$F,"Cash")</f>
        <v>1990</v>
      </c>
      <c r="AF10" s="1"/>
      <c r="AG10" s="1"/>
    </row>
    <row r="11" spans="1:36" ht="15.75" customHeight="1">
      <c r="A11" s="2" t="s">
        <v>32</v>
      </c>
      <c r="C11" s="1">
        <f>AG5+C9-C10</f>
        <v>29709</v>
      </c>
      <c r="D11" s="1">
        <f t="shared" ref="D11:AE11" si="1">C11+D9-D10</f>
        <v>21259</v>
      </c>
      <c r="E11" s="1">
        <f t="shared" si="1"/>
        <v>16194</v>
      </c>
      <c r="F11" s="1">
        <f t="shared" si="1"/>
        <v>14307</v>
      </c>
      <c r="G11" s="1">
        <f t="shared" si="1"/>
        <v>2307</v>
      </c>
      <c r="H11" s="1">
        <f t="shared" si="1"/>
        <v>80019</v>
      </c>
      <c r="I11" s="1">
        <f t="shared" si="1"/>
        <v>75423</v>
      </c>
      <c r="J11" s="1">
        <f t="shared" si="1"/>
        <v>73927</v>
      </c>
      <c r="K11" s="1">
        <f t="shared" si="1"/>
        <v>71362</v>
      </c>
      <c r="L11" s="1">
        <f t="shared" si="1"/>
        <v>68677</v>
      </c>
      <c r="M11" s="1">
        <f t="shared" si="1"/>
        <v>66717</v>
      </c>
      <c r="N11" s="1">
        <f t="shared" si="1"/>
        <v>64010</v>
      </c>
      <c r="O11" s="1">
        <f t="shared" si="1"/>
        <v>61106</v>
      </c>
      <c r="P11" s="1">
        <f t="shared" si="1"/>
        <v>55240</v>
      </c>
      <c r="Q11" s="1">
        <f t="shared" si="1"/>
        <v>53800</v>
      </c>
      <c r="R11" s="1">
        <f t="shared" si="1"/>
        <v>51570</v>
      </c>
      <c r="S11" s="1">
        <f t="shared" si="1"/>
        <v>46693</v>
      </c>
      <c r="T11" s="1">
        <f t="shared" si="1"/>
        <v>46006</v>
      </c>
      <c r="U11" s="1">
        <f t="shared" si="1"/>
        <v>42406</v>
      </c>
      <c r="V11" s="1">
        <f t="shared" si="1"/>
        <v>39740</v>
      </c>
      <c r="W11" s="1">
        <f t="shared" si="1"/>
        <v>39740</v>
      </c>
      <c r="X11" s="1">
        <f t="shared" si="1"/>
        <v>415263</v>
      </c>
      <c r="Y11" s="1">
        <f t="shared" si="1"/>
        <v>413463</v>
      </c>
      <c r="Z11" s="1">
        <f t="shared" si="1"/>
        <v>411975</v>
      </c>
      <c r="AA11" s="1">
        <f t="shared" si="1"/>
        <v>409121</v>
      </c>
      <c r="AB11" s="1">
        <f t="shared" si="1"/>
        <v>393859</v>
      </c>
      <c r="AC11" s="1">
        <f t="shared" si="1"/>
        <v>38955</v>
      </c>
      <c r="AD11" s="1">
        <f t="shared" si="1"/>
        <v>38955</v>
      </c>
      <c r="AE11" s="1">
        <f t="shared" si="1"/>
        <v>36965</v>
      </c>
      <c r="AJ11" s="1"/>
    </row>
    <row r="12" spans="1:36" ht="15.75" customHeight="1">
      <c r="AJ12" s="1"/>
    </row>
    <row r="13" spans="1:36" ht="15.75" customHeight="1">
      <c r="B13" s="20" t="s">
        <v>58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J13" s="1"/>
    </row>
    <row r="14" spans="1:36" ht="15.75" customHeight="1">
      <c r="B14" s="2" t="s">
        <v>29</v>
      </c>
      <c r="C14" s="11">
        <v>45352</v>
      </c>
      <c r="D14" s="11">
        <v>45353</v>
      </c>
      <c r="E14" s="11">
        <v>45354</v>
      </c>
      <c r="F14" s="11">
        <v>45355</v>
      </c>
      <c r="G14" s="11">
        <v>45356</v>
      </c>
      <c r="H14" s="11">
        <v>45357</v>
      </c>
      <c r="I14" s="11">
        <v>45358</v>
      </c>
      <c r="J14" s="11">
        <v>45359</v>
      </c>
      <c r="K14" s="11">
        <v>45360</v>
      </c>
      <c r="L14" s="11">
        <v>45361</v>
      </c>
      <c r="M14" s="11">
        <v>45362</v>
      </c>
      <c r="N14" s="11">
        <v>45363</v>
      </c>
      <c r="O14" s="11">
        <v>45364</v>
      </c>
      <c r="P14" s="11">
        <v>45365</v>
      </c>
      <c r="Q14" s="11">
        <v>45366</v>
      </c>
      <c r="R14" s="11">
        <v>45367</v>
      </c>
      <c r="S14" s="11">
        <v>45368</v>
      </c>
      <c r="T14" s="11">
        <v>45369</v>
      </c>
      <c r="U14" s="11">
        <v>45370</v>
      </c>
      <c r="V14" s="11">
        <v>45371</v>
      </c>
      <c r="W14" s="11">
        <v>45372</v>
      </c>
      <c r="X14" s="11">
        <v>45373</v>
      </c>
      <c r="Y14" s="11">
        <v>45374</v>
      </c>
      <c r="Z14" s="11">
        <v>45375</v>
      </c>
      <c r="AA14" s="11">
        <v>45376</v>
      </c>
      <c r="AB14" s="11">
        <v>45377</v>
      </c>
      <c r="AC14" s="11">
        <v>45378</v>
      </c>
      <c r="AD14" s="11">
        <v>45379</v>
      </c>
      <c r="AE14" s="11">
        <v>45380</v>
      </c>
      <c r="AF14" s="11">
        <v>45381</v>
      </c>
      <c r="AG14" s="11">
        <v>45382</v>
      </c>
      <c r="AI14" s="2" t="s">
        <v>59</v>
      </c>
      <c r="AJ14" s="1"/>
    </row>
    <row r="15" spans="1:36" ht="15.75" customHeight="1">
      <c r="A15" s="2" t="s">
        <v>34</v>
      </c>
      <c r="B15" s="1">
        <f>SUM(V15:AG15)</f>
        <v>343450</v>
      </c>
      <c r="C15" s="1">
        <f>SUMIFS('フォームの回答 1'!$E:$E,'フォームの回答 1'!$B:$B,C14,'フォームの回答 1'!$H:$H,$A15)</f>
        <v>0</v>
      </c>
      <c r="D15" s="1">
        <f>SUMIFS('フォームの回答 1'!$E:$E,'フォームの回答 1'!$B:$B,D14,'フォームの回答 1'!$H:$H,$A15)</f>
        <v>0</v>
      </c>
      <c r="E15" s="1">
        <f>SUMIFS('フォームの回答 1'!$E:$E,'フォームの回答 1'!$B:$B,E14,'フォームの回答 1'!$H:$H,$A15)</f>
        <v>0</v>
      </c>
      <c r="F15" s="1">
        <f>SUMIFS('フォームの回答 1'!$E:$E,'フォームの回答 1'!$B:$B,F14,'フォームの回答 1'!$H:$H,$A15)</f>
        <v>0</v>
      </c>
      <c r="G15" s="1">
        <f>SUMIFS('フォームの回答 1'!$E:$E,'フォームの回答 1'!$B:$B,G14,'フォームの回答 1'!$H:$H,$A15)</f>
        <v>18840</v>
      </c>
      <c r="H15" s="1">
        <f>SUMIFS('フォームの回答 1'!$E:$E,'フォームの回答 1'!$B:$B,H14,'フォームの回答 1'!$H:$H,$A15)</f>
        <v>200</v>
      </c>
      <c r="I15" s="1">
        <f>SUMIFS('フォームの回答 1'!$E:$E,'フォームの回答 1'!$B:$B,I14,'フォームの回答 1'!$H:$H,$A15)</f>
        <v>0</v>
      </c>
      <c r="J15" s="1">
        <f>SUMIFS('フォームの回答 1'!$E:$E,'フォームの回答 1'!$B:$B,J14,'フォームの回答 1'!$H:$H,$A15)</f>
        <v>50000</v>
      </c>
      <c r="K15" s="1">
        <f>SUMIFS('フォームの回答 1'!$E:$E,'フォームの回答 1'!$B:$B,K14,'フォームの回答 1'!$H:$H,$A15)</f>
        <v>2000</v>
      </c>
      <c r="L15" s="1">
        <f>SUMIFS('フォームの回答 1'!$E:$E,'フォームの回答 1'!$B:$B,L14,'フォームの回答 1'!$H:$H,$A15)</f>
        <v>26800</v>
      </c>
      <c r="M15" s="1">
        <f>SUMIFS('フォームの回答 1'!$E:$E,'フォームの回答 1'!$B:$B,M14,'フォームの回答 1'!$H:$H,$A15)</f>
        <v>0</v>
      </c>
      <c r="N15" s="1">
        <f>SUMIFS('フォームの回答 1'!$E:$E,'フォームの回答 1'!$B:$B,N14,'フォームの回答 1'!$H:$H,$A15)</f>
        <v>2530</v>
      </c>
      <c r="O15" s="1">
        <f>SUMIFS('フォームの回答 1'!$E:$E,'フォームの回答 1'!$B:$B,O14,'フォームの回答 1'!$H:$H,$A15)</f>
        <v>0</v>
      </c>
      <c r="P15" s="1">
        <f>SUMIFS('フォームの回答 1'!$E:$E,'フォームの回答 1'!$B:$B,P14,'フォームの回答 1'!$H:$H,$A15)</f>
        <v>0</v>
      </c>
      <c r="Q15" s="1">
        <f>SUMIFS('フォームの回答 1'!$E:$E,'フォームの回答 1'!$B:$B,Q14,'フォームの回答 1'!$H:$H,$A15)</f>
        <v>0</v>
      </c>
      <c r="R15" s="1">
        <f>SUMIFS('フォームの回答 1'!$E:$E,'フォームの回答 1'!$B:$B,R14,'フォームの回答 1'!$H:$H,$A15)</f>
        <v>0</v>
      </c>
      <c r="S15" s="1">
        <f>SUMIFS('フォームの回答 1'!$E:$E,'フォームの回答 1'!$B:$B,S14,'フォームの回答 1'!$H:$H,$A15)</f>
        <v>0</v>
      </c>
      <c r="T15" s="1">
        <f>SUMIFS('フォームの回答 1'!$E:$E,'フォームの回答 1'!$B:$B,T14,'フォームの回答 1'!$H:$H,$A15)</f>
        <v>0</v>
      </c>
      <c r="U15" s="1">
        <f>SUMIFS('フォームの回答 1'!$E:$E,'フォームの回答 1'!$B:$B,U14,'フォームの回答 1'!$H:$H,$A15)</f>
        <v>0</v>
      </c>
      <c r="V15" s="1">
        <f>SUMIFS('フォームの回答 1'!$E:$E,'フォームの回答 1'!$B:$B,V14,'フォームの回答 1'!$H:$H,$A15)</f>
        <v>0</v>
      </c>
      <c r="W15" s="1">
        <f>SUMIFS('フォームの回答 1'!$E:$E,'フォームの回答 1'!$B:$B,W14,'フォームの回答 1'!$H:$H,$A15)</f>
        <v>0</v>
      </c>
      <c r="X15" s="1">
        <f>SUMIFS('フォームの回答 1'!$E:$E,'フォームの回答 1'!$B:$B,X14,'フォームの回答 1'!$H:$H,$A15)</f>
        <v>0</v>
      </c>
      <c r="Y15" s="1">
        <f>SUMIFS('フォームの回答 1'!$E:$E,'フォームの回答 1'!$B:$B,Y14,'フォームの回答 1'!$H:$H,$A15)</f>
        <v>0</v>
      </c>
      <c r="Z15" s="1">
        <f>SUMIFS('フォームの回答 1'!$E:$E,'フォームの回答 1'!$B:$B,Z14,'フォームの回答 1'!$H:$H,$A15)</f>
        <v>0</v>
      </c>
      <c r="AA15" s="1">
        <f>SUMIFS('フォームの回答 1'!$E:$E,'フォームの回答 1'!$B:$B,AA14,'フォームの回答 1'!$H:$H,$A15)</f>
        <v>343450</v>
      </c>
      <c r="AB15" s="1">
        <f>SUMIFS('フォームの回答 1'!$E:$E,'フォームの回答 1'!$B:$B,AB14,'フォームの回答 1'!$H:$H,$A15)+AJ23</f>
        <v>0</v>
      </c>
      <c r="AC15" s="1">
        <f>SUMIFS('フォームの回答 1'!$E:$E,'フォームの回答 1'!$B:$B,AC14,'フォームの回答 1'!$H:$H,$A15)</f>
        <v>0</v>
      </c>
      <c r="AD15" s="1">
        <f>SUMIFS('フォームの回答 1'!$E:$E,'フォームの回答 1'!$B:$B,AD14,'フォームの回答 1'!$H:$H,$A15)</f>
        <v>0</v>
      </c>
      <c r="AE15" s="1">
        <f>SUMIFS('フォームの回答 1'!$E:$E,'フォームの回答 1'!$B:$B,AE14,'フォームの回答 1'!$H:$H,$A15)</f>
        <v>0</v>
      </c>
      <c r="AF15" s="1">
        <f>SUMIFS('フォームの回答 1'!$E:$E,'フォームの回答 1'!$B:$B,AF14,'フォームの回答 1'!$H:$H,$A15)</f>
        <v>0</v>
      </c>
      <c r="AG15" s="1">
        <f>SUMIFS('フォームの回答 1'!$E:$E,'フォームの回答 1'!$B:$B,AG14,'フォームの回答 1'!$H:$H,$A15)</f>
        <v>0</v>
      </c>
      <c r="AI15" s="13">
        <f>149159</f>
        <v>149159</v>
      </c>
      <c r="AJ15" s="1"/>
    </row>
    <row r="16" spans="1:36" ht="15.75" customHeight="1">
      <c r="A16" s="2" t="s">
        <v>35</v>
      </c>
      <c r="B16" s="1">
        <f>SUM(V16:AG16)</f>
        <v>352998</v>
      </c>
      <c r="C16" s="1">
        <f>SUMIFS('フォームの回答 1'!$E:$E,'フォームの回答 1'!$B:$B,C14,'フォームの回答 1'!$H:$H,$A16,'フォームの回答 1'!$F:$F,"Cash")</f>
        <v>880</v>
      </c>
      <c r="D16" s="1">
        <f>SUMIFS('フォームの回答 1'!$E:$E,'フォームの回答 1'!$B:$B,D14,'フォームの回答 1'!$H:$H,$A16,'フォームの回答 1'!$F:$F,"Cash")</f>
        <v>4833</v>
      </c>
      <c r="E16" s="1">
        <f>SUMIFS('フォームの回答 1'!$E:$E,'フォームの回答 1'!$B:$B,E14,'フォームの回答 1'!$H:$H,$A16,'フォームの回答 1'!$F:$F,"Cash")</f>
        <v>4307</v>
      </c>
      <c r="F16" s="1">
        <f>SUMIFS('フォームの回答 1'!$E:$E,'フォームの回答 1'!$B:$B,F14,'フォームの回答 1'!$H:$H,$A16,'フォームの回答 1'!$F:$F,"Cash")</f>
        <v>0</v>
      </c>
      <c r="G16" s="1">
        <f>SUMIFS('フォームの回答 1'!$E:$E,'フォームの回答 1'!$B:$B,G14,'フォームの回答 1'!$H:$H,$A16,'フォームの回答 1'!$F:$F,"Cash")</f>
        <v>1206</v>
      </c>
      <c r="H16" s="1">
        <f>SUMIFS('フォームの回答 1'!$E:$E,'フォームの回答 1'!$B:$B,H14,'フォームの回答 1'!$H:$H,$A16,'フォームの回答 1'!$F:$F,"Cash")</f>
        <v>1577</v>
      </c>
      <c r="I16" s="1">
        <f>SUMIFS('フォームの回答 1'!$E:$E,'フォームの回答 1'!$B:$B,I14,'フォームの回答 1'!$H:$H,$A16,'フォームの回答 1'!$F:$F,"Cash")</f>
        <v>1962</v>
      </c>
      <c r="J16" s="1">
        <f>SUMIFS('フォームの回答 1'!$E:$E,'フォームの回答 1'!$B:$B,J14,'フォームの回答 1'!$H:$H,$A16,'フォームの回答 1'!$F:$F,"Cash")</f>
        <v>6500</v>
      </c>
      <c r="K16" s="1">
        <f>SUMIFS('フォームの回答 1'!$E:$E,'フォームの回答 1'!$B:$B,K14,'フォームの回答 1'!$H:$H,$A16,'フォームの回答 1'!$F:$F,"Cash")</f>
        <v>1240</v>
      </c>
      <c r="L16" s="1">
        <f>SUMIFS('フォームの回答 1'!$E:$E,'フォームの回答 1'!$B:$B,L14,'フォームの回答 1'!$H:$H,$A16,'フォームの回答 1'!$F:$F,"Cash")</f>
        <v>46380</v>
      </c>
      <c r="M16" s="1">
        <f>SUMIFS('フォームの回答 1'!$E:$E,'フォームの回答 1'!$B:$B,M14,'フォームの回答 1'!$H:$H,$A16,'フォームの回答 1'!$F:$F,"Cash")</f>
        <v>5969</v>
      </c>
      <c r="N16" s="1">
        <f>SUMIFS('フォームの回答 1'!$E:$E,'フォームの回答 1'!$B:$B,N14,'フォームの回答 1'!$H:$H,$A16,'フォームの回答 1'!$F:$F,"Cash")</f>
        <v>6954</v>
      </c>
      <c r="O16" s="1">
        <f>SUMIFS('フォームの回答 1'!$E:$E,'フォームの回答 1'!$B:$B,O14,'フォームの回答 1'!$H:$H,$A16,'フォームの回答 1'!$F:$F,"Cash")</f>
        <v>913</v>
      </c>
      <c r="P16" s="1">
        <f>SUMIFS('フォームの回答 1'!$E:$E,'フォームの回答 1'!$B:$B,P14,'フォームの回答 1'!$H:$H,$A16,'フォームの回答 1'!$F:$F,"Cash")</f>
        <v>5649</v>
      </c>
      <c r="Q16" s="1">
        <f>SUMIFS('フォームの回答 1'!$E:$E,'フォームの回答 1'!$B:$B,Q14,'フォームの回答 1'!$H:$H,$A16,'フォームの回答 1'!$F:$F,"Cash")</f>
        <v>720</v>
      </c>
      <c r="R16" s="1">
        <f>SUMIFS('フォームの回答 1'!$E:$E,'フォームの回答 1'!$B:$B,R14,'フォームの回答 1'!$H:$H,$A16,'フォームの回答 1'!$F:$F,"Cash")</f>
        <v>360</v>
      </c>
      <c r="S16" s="1">
        <f>SUMIFS('フォームの回答 1'!$E:$E,'フォームの回答 1'!$B:$B,S14,'フォームの回答 1'!$H:$H,$A16,'フォームの回答 1'!$F:$F,"Cash")</f>
        <v>1144</v>
      </c>
      <c r="T16" s="1">
        <f>SUMIFS('フォームの回答 1'!$E:$E,'フォームの回答 1'!$B:$B,T14,'フォームの回答 1'!$H:$H,$A16,'フォームの回答 1'!$F:$F,"Cash")</f>
        <v>1100</v>
      </c>
      <c r="U16" s="1">
        <f>SUMIFS('フォームの回答 1'!$E:$E,'フォームの回答 1'!$B:$B,U14,'フォームの回答 1'!$H:$H,$A16,'フォームの回答 1'!$F:$F,"Cash")</f>
        <v>1004</v>
      </c>
      <c r="V16" s="1">
        <f>SUMIFS('フォームの回答 1'!$E:$E,'フォームの回答 1'!$B:$B,V14,'フォームの回答 1'!$H:$H,$A16,'フォームの回答 1'!$F:$F,"Cash")</f>
        <v>1839</v>
      </c>
      <c r="W16" s="1">
        <f>SUMIFS('フォームの回答 1'!$E:$E,'フォームの回答 1'!$B:$B,W14,'フォームの回答 1'!$H:$H,$A16,'フォームの回答 1'!$F:$F,"Cash")</f>
        <v>0</v>
      </c>
      <c r="X16" s="1">
        <f>SUMIFS('フォームの回答 1'!$E:$E,'フォームの回答 1'!$B:$B,X14,'フォームの回答 1'!$H:$H,$A16,'フォームの回答 1'!$F:$F,"Cash")</f>
        <v>2114</v>
      </c>
      <c r="Y16" s="1">
        <f>SUMIFS('フォームの回答 1'!$E:$E,'フォームの回答 1'!$B:$B,Y14,'フォームの回答 1'!$H:$H,$A16,'フォームの回答 1'!$F:$F,"Cash")</f>
        <v>6060</v>
      </c>
      <c r="Z16" s="1">
        <f>SUMIFS('フォームの回答 1'!$E:$E,'フォームの回答 1'!$B:$B,Z14,'フォームの回答 1'!$H:$H,$A16,'フォームの回答 1'!$F:$F,"Cash")</f>
        <v>2339</v>
      </c>
      <c r="AA16" s="1">
        <f>SUMIFS('フォームの回答 1'!$E:$E,'フォームの回答 1'!$B:$B,AA14,'フォームの回答 1'!$H:$H,$A16,'フォームの回答 1'!$F:$F,"Cash")</f>
        <v>1231</v>
      </c>
      <c r="AB16" s="1">
        <f>SUMIFS('フォームの回答 1'!$E:$E,'フォームの回答 1'!$B:$B,AB14,'フォームの回答 1'!$H:$H,$A16,'フォームの回答 1'!$F:$F,"Cash")</f>
        <v>1872</v>
      </c>
      <c r="AC16" s="1">
        <f>SUMIFS('フォームの回答 1'!$E:$E,'フォームの回答 1'!$B:$B,AC14,'フォームの回答 1'!$H:$H,$A16,'フォームの回答 1'!$F:$F,"Cash")+AI15</f>
        <v>327629</v>
      </c>
      <c r="AD16" s="1">
        <f>SUMIFS('フォームの回答 1'!$E:$E,'フォームの回答 1'!$B:$B,AD14,'フォームの回答 1'!$H:$H,$A16,'フォームの回答 1'!$F:$F,"Cash")</f>
        <v>975</v>
      </c>
      <c r="AE16" s="1">
        <f>SUMIFS('フォームの回答 1'!$E:$E,'フォームの回答 1'!$B:$B,AE14,'フォームの回答 1'!$H:$H,$A16,'フォームの回答 1'!$F:$F,"Cash")</f>
        <v>327</v>
      </c>
      <c r="AF16" s="1">
        <f>SUMIFS('フォームの回答 1'!$E:$E,'フォームの回答 1'!$B:$B,AF14,'フォームの回答 1'!$H:$H,$A16,'フォームの回答 1'!$F:$F,"Cash")</f>
        <v>3701</v>
      </c>
      <c r="AG16" s="1">
        <f>SUMIFS('フォームの回答 1'!$E:$E,'フォームの回答 1'!$B:$B,AG14,'フォームの回答 1'!$H:$H,$A16,'フォームの回答 1'!$F:$F,"Cash")</f>
        <v>4911</v>
      </c>
      <c r="AJ16" s="1"/>
    </row>
    <row r="17" spans="1:38" ht="15.75" customHeight="1">
      <c r="A17" s="2" t="s">
        <v>32</v>
      </c>
      <c r="C17" s="1">
        <f>AE11+C15-C16</f>
        <v>36085</v>
      </c>
      <c r="D17" s="1">
        <f t="shared" ref="D17:AG17" si="2">C17+D15-D16</f>
        <v>31252</v>
      </c>
      <c r="E17" s="1">
        <f t="shared" si="2"/>
        <v>26945</v>
      </c>
      <c r="F17" s="1">
        <f t="shared" si="2"/>
        <v>26945</v>
      </c>
      <c r="G17" s="1">
        <f t="shared" si="2"/>
        <v>44579</v>
      </c>
      <c r="H17" s="1">
        <f t="shared" si="2"/>
        <v>43202</v>
      </c>
      <c r="I17" s="1">
        <f t="shared" si="2"/>
        <v>41240</v>
      </c>
      <c r="J17" s="1">
        <f t="shared" si="2"/>
        <v>84740</v>
      </c>
      <c r="K17" s="1">
        <f t="shared" si="2"/>
        <v>85500</v>
      </c>
      <c r="L17" s="1">
        <f t="shared" si="2"/>
        <v>65920</v>
      </c>
      <c r="M17" s="1">
        <f t="shared" si="2"/>
        <v>59951</v>
      </c>
      <c r="N17" s="1">
        <f t="shared" si="2"/>
        <v>55527</v>
      </c>
      <c r="O17" s="1">
        <f t="shared" si="2"/>
        <v>54614</v>
      </c>
      <c r="P17" s="1">
        <f t="shared" si="2"/>
        <v>48965</v>
      </c>
      <c r="Q17" s="1">
        <f t="shared" si="2"/>
        <v>48245</v>
      </c>
      <c r="R17" s="1">
        <f t="shared" si="2"/>
        <v>47885</v>
      </c>
      <c r="S17" s="1">
        <f t="shared" si="2"/>
        <v>46741</v>
      </c>
      <c r="T17" s="1">
        <f t="shared" si="2"/>
        <v>45641</v>
      </c>
      <c r="U17" s="1">
        <f t="shared" si="2"/>
        <v>44637</v>
      </c>
      <c r="V17" s="1">
        <f t="shared" si="2"/>
        <v>42798</v>
      </c>
      <c r="W17" s="1">
        <f t="shared" si="2"/>
        <v>42798</v>
      </c>
      <c r="X17" s="1">
        <f t="shared" si="2"/>
        <v>40684</v>
      </c>
      <c r="Y17" s="1">
        <f t="shared" si="2"/>
        <v>34624</v>
      </c>
      <c r="Z17" s="1">
        <f t="shared" si="2"/>
        <v>32285</v>
      </c>
      <c r="AA17" s="1">
        <f t="shared" si="2"/>
        <v>374504</v>
      </c>
      <c r="AB17" s="1">
        <f t="shared" si="2"/>
        <v>372632</v>
      </c>
      <c r="AC17" s="1">
        <f t="shared" si="2"/>
        <v>45003</v>
      </c>
      <c r="AD17" s="1">
        <f t="shared" si="2"/>
        <v>44028</v>
      </c>
      <c r="AE17" s="1">
        <f t="shared" si="2"/>
        <v>43701</v>
      </c>
      <c r="AF17" s="1">
        <f t="shared" si="2"/>
        <v>40000</v>
      </c>
      <c r="AG17" s="1">
        <f t="shared" si="2"/>
        <v>35089</v>
      </c>
      <c r="AJ17" s="1"/>
    </row>
    <row r="18" spans="1:38" ht="15.75" customHeight="1">
      <c r="AJ18" s="1"/>
    </row>
    <row r="19" spans="1:38" ht="15.75" customHeight="1">
      <c r="B19" s="20" t="s">
        <v>60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12"/>
      <c r="AI19" s="2" t="s">
        <v>61</v>
      </c>
      <c r="AJ19" s="1"/>
    </row>
    <row r="20" spans="1:38" ht="15.75" customHeight="1">
      <c r="B20" s="2" t="s">
        <v>29</v>
      </c>
      <c r="C20" s="11">
        <v>45383</v>
      </c>
      <c r="D20" s="11">
        <v>45384</v>
      </c>
      <c r="E20" s="11">
        <v>45385</v>
      </c>
      <c r="F20" s="11">
        <v>45386</v>
      </c>
      <c r="G20" s="11">
        <v>45387</v>
      </c>
      <c r="H20" s="11">
        <v>45388</v>
      </c>
      <c r="I20" s="11">
        <v>45389</v>
      </c>
      <c r="J20" s="11">
        <v>45390</v>
      </c>
      <c r="K20" s="11">
        <v>45391</v>
      </c>
      <c r="L20" s="11">
        <v>45392</v>
      </c>
      <c r="M20" s="11">
        <v>45393</v>
      </c>
      <c r="N20" s="11">
        <v>45394</v>
      </c>
      <c r="O20" s="11">
        <v>45395</v>
      </c>
      <c r="P20" s="11">
        <v>45396</v>
      </c>
      <c r="Q20" s="11">
        <v>45397</v>
      </c>
      <c r="R20" s="11">
        <v>45398</v>
      </c>
      <c r="S20" s="11">
        <v>45399</v>
      </c>
      <c r="T20" s="11">
        <v>45400</v>
      </c>
      <c r="U20" s="11">
        <v>45401</v>
      </c>
      <c r="V20" s="11">
        <v>45402</v>
      </c>
      <c r="W20" s="11">
        <v>45403</v>
      </c>
      <c r="X20" s="11">
        <v>45404</v>
      </c>
      <c r="Y20" s="11">
        <v>45405</v>
      </c>
      <c r="Z20" s="11">
        <v>45406</v>
      </c>
      <c r="AA20" s="11">
        <v>45407</v>
      </c>
      <c r="AB20" s="11">
        <v>45408</v>
      </c>
      <c r="AC20" s="11">
        <v>45409</v>
      </c>
      <c r="AD20" s="11">
        <v>45410</v>
      </c>
      <c r="AE20" s="11">
        <v>45411</v>
      </c>
      <c r="AF20" s="11">
        <v>45412</v>
      </c>
      <c r="AG20" s="11"/>
      <c r="AI20" s="13">
        <f>115462</f>
        <v>115462</v>
      </c>
      <c r="AJ20" s="1"/>
      <c r="AL20" s="14"/>
    </row>
    <row r="21" spans="1:38" ht="15.75" customHeight="1">
      <c r="A21" s="2" t="s">
        <v>34</v>
      </c>
      <c r="B21" s="1">
        <f>SUM(V21:AG21)</f>
        <v>351790</v>
      </c>
      <c r="C21" s="1">
        <f>SUMIFS('フォームの回答 1'!$E:$E,'フォームの回答 1'!$B:$B,C20,'フォームの回答 1'!$H:$H,$A21)</f>
        <v>0</v>
      </c>
      <c r="D21" s="1">
        <f>SUMIFS('フォームの回答 1'!$E:$E,'フォームの回答 1'!$B:$B,D20,'フォームの回答 1'!$H:$H,$A21)</f>
        <v>10378</v>
      </c>
      <c r="E21" s="1">
        <f>SUMIFS('フォームの回答 1'!$E:$E,'フォームの回答 1'!$B:$B,E20,'フォームの回答 1'!$H:$H,$A21)</f>
        <v>0</v>
      </c>
      <c r="F21" s="1">
        <f>SUMIFS('フォームの回答 1'!$E:$E,'フォームの回答 1'!$B:$B,F20,'フォームの回答 1'!$H:$H,$A21)</f>
        <v>5000</v>
      </c>
      <c r="G21" s="1">
        <f>SUMIFS('フォームの回答 1'!$E:$E,'フォームの回答 1'!$B:$B,G20,'フォームの回答 1'!$H:$H,$A21)</f>
        <v>0</v>
      </c>
      <c r="H21" s="1">
        <f>SUMIFS('フォームの回答 1'!$E:$E,'フォームの回答 1'!$B:$B,H20,'フォームの回答 1'!$H:$H,$A21)</f>
        <v>0</v>
      </c>
      <c r="I21" s="1">
        <f>SUMIFS('フォームの回答 1'!$E:$E,'フォームの回答 1'!$B:$B,I20,'フォームの回答 1'!$H:$H,$A21)</f>
        <v>0</v>
      </c>
      <c r="J21" s="1">
        <f>SUMIFS('フォームの回答 1'!$E:$E,'フォームの回答 1'!$B:$B,J20,'フォームの回答 1'!$H:$H,$A21)</f>
        <v>0</v>
      </c>
      <c r="K21" s="1">
        <f>SUMIFS('フォームの回答 1'!$E:$E,'フォームの回答 1'!$B:$B,K20,'フォームの回答 1'!$H:$H,$A21)</f>
        <v>0</v>
      </c>
      <c r="L21" s="1">
        <f>SUMIFS('フォームの回答 1'!$E:$E,'フォームの回答 1'!$B:$B,L20,'フォームの回答 1'!$H:$H,$A21)</f>
        <v>0</v>
      </c>
      <c r="M21" s="1">
        <f>SUMIFS('フォームの回答 1'!$E:$E,'フォームの回答 1'!$B:$B,M20,'フォームの回答 1'!$H:$H,$A21)</f>
        <v>0</v>
      </c>
      <c r="N21" s="1">
        <f>SUMIFS('フォームの回答 1'!$E:$E,'フォームの回答 1'!$B:$B,N20,'フォームの回答 1'!$H:$H,$A21)</f>
        <v>0</v>
      </c>
      <c r="O21" s="1">
        <f>SUMIFS('フォームの回答 1'!$E:$E,'フォームの回答 1'!$B:$B,O20,'フォームの回答 1'!$H:$H,$A21)</f>
        <v>0</v>
      </c>
      <c r="P21" s="1">
        <f>SUMIFS('フォームの回答 1'!$E:$E,'フォームの回答 1'!$B:$B,P20,'フォームの回答 1'!$H:$H,$A21)</f>
        <v>0</v>
      </c>
      <c r="Q21" s="1">
        <f>SUMIFS('フォームの回答 1'!$E:$E,'フォームの回答 1'!$B:$B,Q20,'フォームの回答 1'!$H:$H,$A21)</f>
        <v>0</v>
      </c>
      <c r="R21" s="1">
        <f>SUMIFS('フォームの回答 1'!$E:$E,'フォームの回答 1'!$B:$B,R20,'フォームの回答 1'!$H:$H,$A21)</f>
        <v>0</v>
      </c>
      <c r="S21" s="1">
        <f>SUMIFS('フォームの回答 1'!$E:$E,'フォームの回答 1'!$B:$B,S20,'フォームの回答 1'!$H:$H,$A21)</f>
        <v>0</v>
      </c>
      <c r="T21" s="1">
        <f>SUMIFS('フォームの回答 1'!$E:$E,'フォームの回答 1'!$B:$B,T20,'フォームの回答 1'!$H:$H,$A21)</f>
        <v>0</v>
      </c>
      <c r="U21" s="1">
        <f>SUMIFS('フォームの回答 1'!$E:$E,'フォームの回答 1'!$B:$B,U20,'フォームの回答 1'!$H:$H,$A21)</f>
        <v>0</v>
      </c>
      <c r="V21" s="1">
        <f>SUMIFS('フォームの回答 1'!$E:$E,'フォームの回答 1'!$B:$B,V20,'フォームの回答 1'!$H:$H,$A21)</f>
        <v>0</v>
      </c>
      <c r="W21" s="1">
        <f>SUMIFS('フォームの回答 1'!$E:$E,'フォームの回答 1'!$B:$B,W20,'フォームの回答 1'!$H:$H,$A21)</f>
        <v>0</v>
      </c>
      <c r="X21" s="1">
        <f>SUMIFS('フォームの回答 1'!$E:$E,'フォームの回答 1'!$B:$B,X20,'フォームの回答 1'!$H:$H,$A21)</f>
        <v>0</v>
      </c>
      <c r="Y21" s="1">
        <f>SUMIFS('フォームの回答 1'!$E:$E,'フォームの回答 1'!$B:$B,Y20,'フォームの回答 1'!$H:$H,$A21)</f>
        <v>0</v>
      </c>
      <c r="Z21" s="1">
        <f>SUMIFS('フォームの回答 1'!$E:$E,'フォームの回答 1'!$B:$B,Z20,'フォームの回答 1'!$H:$H,$A21)</f>
        <v>0</v>
      </c>
      <c r="AA21" s="1">
        <f>SUMIFS('フォームの回答 1'!$E:$E,'フォームの回答 1'!$B:$B,AA20,'フォームの回答 1'!$H:$H,$A21)</f>
        <v>341790</v>
      </c>
      <c r="AB21" s="1">
        <f>SUMIFS('フォームの回答 1'!$E:$E,'フォームの回答 1'!$B:$B,AB20,'フォームの回答 1'!$H:$H,$A21)</f>
        <v>0</v>
      </c>
      <c r="AC21" s="1">
        <f>SUMIFS('フォームの回答 1'!$E:$E,'フォームの回答 1'!$B:$B,AC20,'フォームの回答 1'!$H:$H,$A21)</f>
        <v>2500</v>
      </c>
      <c r="AD21" s="1">
        <f>SUMIFS('フォームの回答 1'!$E:$E,'フォームの回答 1'!$B:$B,AD20,'フォームの回答 1'!$H:$H,$A21)</f>
        <v>7500</v>
      </c>
      <c r="AE21" s="1">
        <f>SUMIFS('フォームの回答 1'!$E:$E,'フォームの回答 1'!$B:$B,AE20,'フォームの回答 1'!$H:$H,$A21)</f>
        <v>0</v>
      </c>
      <c r="AF21" s="1">
        <f>SUMIFS('フォームの回答 1'!$E:$E,'フォームの回答 1'!$B:$B,AF20,'フォームの回答 1'!$H:$H,$A21)</f>
        <v>0</v>
      </c>
      <c r="AG21" s="1"/>
    </row>
    <row r="22" spans="1:38" ht="15.75" customHeight="1">
      <c r="A22" s="2" t="s">
        <v>35</v>
      </c>
      <c r="B22" s="1">
        <f>SUM(V22:AG22)</f>
        <v>317403</v>
      </c>
      <c r="C22" s="1">
        <f>SUMIFS('フォームの回答 1'!$E:$E,'フォームの回答 1'!$B:$B,C20,'フォームの回答 1'!$H:$H,$A22,'フォームの回答 1'!$F:$F,"Cash")</f>
        <v>1000</v>
      </c>
      <c r="D22" s="1">
        <f>SUMIFS('フォームの回答 1'!$E:$E,'フォームの回答 1'!$B:$B,D20,'フォームの回答 1'!$H:$H,$A22,'フォームの回答 1'!$F:$F,"Cash")</f>
        <v>1795</v>
      </c>
      <c r="E22" s="1">
        <f>SUMIFS('フォームの回答 1'!$E:$E,'フォームの回答 1'!$B:$B,E20,'フォームの回答 1'!$H:$H,$A22,'フォームの回答 1'!$F:$F,"Cash")</f>
        <v>7323</v>
      </c>
      <c r="F22" s="1">
        <f>SUMIFS('フォームの回答 1'!$E:$E,'フォームの回答 1'!$B:$B,F20,'フォームの回答 1'!$H:$H,$A22,'フォームの回答 1'!$F:$F,"Cash")</f>
        <v>1312</v>
      </c>
      <c r="G22" s="1">
        <f>SUMIFS('フォームの回答 1'!$E:$E,'フォームの回答 1'!$B:$B,G20,'フォームの回答 1'!$H:$H,$A22,'フォームの回答 1'!$F:$F,"Cash")</f>
        <v>980</v>
      </c>
      <c r="H22" s="1">
        <f>SUMIFS('フォームの回答 1'!$E:$E,'フォームの回答 1'!$B:$B,H20,'フォームの回答 1'!$H:$H,$A22,'フォームの回答 1'!$F:$F,"Cash")</f>
        <v>1629</v>
      </c>
      <c r="I22" s="1">
        <f>SUMIFS('フォームの回答 1'!$E:$E,'フォームの回答 1'!$B:$B,I20,'フォームの回答 1'!$H:$H,$A22,'フォームの回答 1'!$F:$F,"Cash")</f>
        <v>3464</v>
      </c>
      <c r="J22" s="1">
        <f>SUMIFS('フォームの回答 1'!$E:$E,'フォームの回答 1'!$B:$B,J20,'フォームの回答 1'!$H:$H,$A22,'フォームの回答 1'!$F:$F,"Cash")</f>
        <v>1840</v>
      </c>
      <c r="K22" s="1">
        <f>SUMIFS('フォームの回答 1'!$E:$E,'フォームの回答 1'!$B:$B,K20,'フォームの回答 1'!$H:$H,$A22,'フォームの回答 1'!$F:$F,"Cash")</f>
        <v>660</v>
      </c>
      <c r="L22" s="1">
        <f>SUMIFS('フォームの回答 1'!$E:$E,'フォームの回答 1'!$B:$B,L20,'フォームの回答 1'!$H:$H,$A22,'フォームの回答 1'!$F:$F,"Cash")</f>
        <v>631</v>
      </c>
      <c r="M22" s="1">
        <f>SUMIFS('フォームの回答 1'!$E:$E,'フォームの回答 1'!$B:$B,M20,'フォームの回答 1'!$H:$H,$A22,'フォームの回答 1'!$F:$F,"Cash")</f>
        <v>2590</v>
      </c>
      <c r="N22" s="1">
        <f>SUMIFS('フォームの回答 1'!$E:$E,'フォームの回答 1'!$B:$B,N20,'フォームの回答 1'!$H:$H,$A22,'フォームの回答 1'!$F:$F,"Cash")</f>
        <v>4600</v>
      </c>
      <c r="O22" s="1">
        <f>SUMIFS('フォームの回答 1'!$E:$E,'フォームの回答 1'!$B:$B,O20,'フォームの回答 1'!$H:$H,$A22,'フォームの回答 1'!$F:$F,"Cash")</f>
        <v>1901</v>
      </c>
      <c r="P22" s="1">
        <f>SUMIFS('フォームの回答 1'!$E:$E,'フォームの回答 1'!$B:$B,P20,'フォームの回答 1'!$H:$H,$A22,'フォームの回答 1'!$F:$F,"Cash")</f>
        <v>110</v>
      </c>
      <c r="Q22" s="1">
        <f>SUMIFS('フォームの回答 1'!$E:$E,'フォームの回答 1'!$B:$B,Q20,'フォームの回答 1'!$H:$H,$A22,'フォームの回答 1'!$F:$F,"Cash")</f>
        <v>1150</v>
      </c>
      <c r="R22" s="1">
        <f>SUMIFS('フォームの回答 1'!$E:$E,'フォームの回答 1'!$B:$B,R20,'フォームの回答 1'!$H:$H,$A22,'フォームの回答 1'!$F:$F,"Cash")</f>
        <v>400</v>
      </c>
      <c r="S22" s="1">
        <f>SUMIFS('フォームの回答 1'!$E:$E,'フォームの回答 1'!$B:$B,S20,'フォームの回答 1'!$H:$H,$A22,'フォームの回答 1'!$F:$F,"Cash")</f>
        <v>1595</v>
      </c>
      <c r="T22" s="1">
        <f>SUMIFS('フォームの回答 1'!$E:$E,'フォームの回答 1'!$B:$B,T20,'フォームの回答 1'!$H:$H,$A22,'フォームの回答 1'!$F:$F,"Cash")</f>
        <v>1100</v>
      </c>
      <c r="U22" s="1">
        <f>SUMIFS('フォームの回答 1'!$E:$E,'フォームの回答 1'!$B:$B,U20,'フォームの回答 1'!$H:$H,$A22,'フォームの回答 1'!$F:$F,"Cash")</f>
        <v>1574</v>
      </c>
      <c r="V22" s="1">
        <f>SUMIFS('フォームの回答 1'!$E:$E,'フォームの回答 1'!$B:$B,V20,'フォームの回答 1'!$H:$H,$A22,'フォームの回答 1'!$F:$F,"Cash")</f>
        <v>1014</v>
      </c>
      <c r="W22" s="1">
        <f>SUMIFS('フォームの回答 1'!$E:$E,'フォームの回答 1'!$B:$B,W20,'フォームの回答 1'!$H:$H,$A22,'フォームの回答 1'!$F:$F,"Cash")</f>
        <v>1334</v>
      </c>
      <c r="X22" s="1">
        <f>SUMIFS('フォームの回答 1'!$E:$E,'フォームの回答 1'!$B:$B,X20,'フォームの回答 1'!$H:$H,$A22,'フォームの回答 1'!$F:$F,"Cash")</f>
        <v>0</v>
      </c>
      <c r="Y22" s="1">
        <f>SUMIFS('フォームの回答 1'!$E:$E,'フォームの回答 1'!$B:$B,Y20,'フォームの回答 1'!$H:$H,$A22,'フォームの回答 1'!$F:$F,"Cash")</f>
        <v>327</v>
      </c>
      <c r="Z22" s="1">
        <f>SUMIFS('フォームの回答 1'!$E:$E,'フォームの回答 1'!$B:$B,Z20,'フォームの回答 1'!$H:$H,$A22,'フォームの回答 1'!$F:$F,"Cash")</f>
        <v>400</v>
      </c>
      <c r="AA22" s="1">
        <f>SUMIFS('フォームの回答 1'!$E:$E,'フォームの回答 1'!$B:$B,AA20,'フォームの回答 1'!$H:$H,$A22,'フォームの回答 1'!$F:$F,"Cash")</f>
        <v>1100</v>
      </c>
      <c r="AB22" s="1">
        <f>SUMIFS('フォームの回答 1'!$E:$E,'フォームの回答 1'!$B:$B,AB20,'フォームの回答 1'!$H:$H,$A22,'フォームの回答 1'!$F:$F,"Cash")</f>
        <v>47946</v>
      </c>
      <c r="AC22" s="1">
        <f>SUMIFS('フォームの回答 1'!$E:$E,'フォームの回答 1'!$B:$B,AC20,'フォームの回答 1'!$H:$H,$A22,'フォームの回答 1'!$F:$F,"Cash")+AI20</f>
        <v>121974</v>
      </c>
      <c r="AD22" s="1">
        <f>SUMIFS('フォームの回答 1'!$E:$E,'フォームの回答 1'!$B:$B,AD20,'フォームの回答 1'!$H:$H,$A22,'フォームの回答 1'!$F:$F,"Cash")</f>
        <v>4138</v>
      </c>
      <c r="AE22" s="1">
        <f>SUMIFS('フォームの回答 1'!$E:$E,'フォームの回答 1'!$B:$B,AE20,'フォームの回答 1'!$H:$H,$A22,'フォームの回答 1'!$F:$F,"Cash")</f>
        <v>1952</v>
      </c>
      <c r="AF22" s="1">
        <f>SUMIFS('フォームの回答 1'!$E:$E,'フォームの回答 1'!$B:$B,AF20,'フォームの回答 1'!$H:$H,$A22,'フォームの回答 1'!$F:$F,"Cash")</f>
        <v>137218</v>
      </c>
      <c r="AG22" s="1"/>
      <c r="AJ22" s="1"/>
    </row>
    <row r="23" spans="1:38" ht="15.75" customHeight="1">
      <c r="A23" s="2" t="s">
        <v>32</v>
      </c>
      <c r="C23" s="1">
        <f>AG17+C21-C22</f>
        <v>34089</v>
      </c>
      <c r="D23" s="1">
        <f t="shared" ref="D23:AF23" si="3">C23+D21-D22</f>
        <v>42672</v>
      </c>
      <c r="E23" s="1">
        <f t="shared" si="3"/>
        <v>35349</v>
      </c>
      <c r="F23" s="1">
        <f t="shared" si="3"/>
        <v>39037</v>
      </c>
      <c r="G23" s="1">
        <f t="shared" si="3"/>
        <v>38057</v>
      </c>
      <c r="H23" s="1">
        <f t="shared" si="3"/>
        <v>36428</v>
      </c>
      <c r="I23" s="1">
        <f t="shared" si="3"/>
        <v>32964</v>
      </c>
      <c r="J23" s="1">
        <f t="shared" si="3"/>
        <v>31124</v>
      </c>
      <c r="K23" s="1">
        <f t="shared" si="3"/>
        <v>30464</v>
      </c>
      <c r="L23" s="1">
        <f t="shared" si="3"/>
        <v>29833</v>
      </c>
      <c r="M23" s="1">
        <f t="shared" si="3"/>
        <v>27243</v>
      </c>
      <c r="N23" s="1">
        <f t="shared" si="3"/>
        <v>22643</v>
      </c>
      <c r="O23" s="1">
        <f t="shared" si="3"/>
        <v>20742</v>
      </c>
      <c r="P23" s="1">
        <f t="shared" si="3"/>
        <v>20632</v>
      </c>
      <c r="Q23" s="1">
        <f t="shared" si="3"/>
        <v>19482</v>
      </c>
      <c r="R23" s="1">
        <f t="shared" si="3"/>
        <v>19082</v>
      </c>
      <c r="S23" s="1">
        <f t="shared" si="3"/>
        <v>17487</v>
      </c>
      <c r="T23" s="1">
        <f t="shared" si="3"/>
        <v>16387</v>
      </c>
      <c r="U23" s="1">
        <f t="shared" si="3"/>
        <v>14813</v>
      </c>
      <c r="V23" s="1">
        <f t="shared" si="3"/>
        <v>13799</v>
      </c>
      <c r="W23" s="1">
        <f t="shared" si="3"/>
        <v>12465</v>
      </c>
      <c r="X23" s="1">
        <f t="shared" si="3"/>
        <v>12465</v>
      </c>
      <c r="Y23" s="1">
        <f t="shared" si="3"/>
        <v>12138</v>
      </c>
      <c r="Z23" s="1">
        <f t="shared" si="3"/>
        <v>11738</v>
      </c>
      <c r="AA23" s="1">
        <f t="shared" si="3"/>
        <v>352428</v>
      </c>
      <c r="AB23" s="1">
        <f t="shared" si="3"/>
        <v>304482</v>
      </c>
      <c r="AC23" s="1">
        <f t="shared" si="3"/>
        <v>185008</v>
      </c>
      <c r="AD23" s="1">
        <f t="shared" si="3"/>
        <v>188370</v>
      </c>
      <c r="AE23" s="1">
        <f t="shared" si="3"/>
        <v>186418</v>
      </c>
      <c r="AF23" s="1">
        <f t="shared" si="3"/>
        <v>49200</v>
      </c>
      <c r="AJ23" s="1"/>
    </row>
    <row r="25" spans="1:38" ht="15.75" customHeight="1">
      <c r="B25" s="20" t="s">
        <v>62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I25" s="2" t="s">
        <v>63</v>
      </c>
      <c r="AJ25" s="1"/>
    </row>
    <row r="26" spans="1:38" ht="15.75" customHeight="1">
      <c r="B26" s="2" t="s">
        <v>29</v>
      </c>
      <c r="C26" s="11">
        <v>45413</v>
      </c>
      <c r="D26" s="11">
        <v>45414</v>
      </c>
      <c r="E26" s="11">
        <v>45415</v>
      </c>
      <c r="F26" s="11">
        <v>45416</v>
      </c>
      <c r="G26" s="11">
        <v>45417</v>
      </c>
      <c r="H26" s="11">
        <v>45418</v>
      </c>
      <c r="I26" s="11">
        <v>45419</v>
      </c>
      <c r="J26" s="11">
        <v>45420</v>
      </c>
      <c r="K26" s="11">
        <v>45421</v>
      </c>
      <c r="L26" s="11">
        <v>45422</v>
      </c>
      <c r="M26" s="11">
        <v>45423</v>
      </c>
      <c r="N26" s="11">
        <v>45424</v>
      </c>
      <c r="O26" s="11">
        <v>45425</v>
      </c>
      <c r="P26" s="11">
        <v>45426</v>
      </c>
      <c r="Q26" s="11">
        <v>45427</v>
      </c>
      <c r="R26" s="11">
        <v>45428</v>
      </c>
      <c r="S26" s="11">
        <v>45429</v>
      </c>
      <c r="T26" s="11">
        <v>45430</v>
      </c>
      <c r="U26" s="11">
        <v>45431</v>
      </c>
      <c r="V26" s="11">
        <v>45432</v>
      </c>
      <c r="W26" s="11">
        <v>45433</v>
      </c>
      <c r="X26" s="11">
        <v>45434</v>
      </c>
      <c r="Y26" s="11">
        <v>45435</v>
      </c>
      <c r="Z26" s="11">
        <v>45436</v>
      </c>
      <c r="AA26" s="11">
        <v>45437</v>
      </c>
      <c r="AB26" s="11">
        <v>45438</v>
      </c>
      <c r="AC26" s="11">
        <v>45439</v>
      </c>
      <c r="AD26" s="11">
        <v>45440</v>
      </c>
      <c r="AE26" s="11">
        <v>45441</v>
      </c>
      <c r="AF26" s="11">
        <v>45442</v>
      </c>
      <c r="AG26" s="11">
        <v>45443</v>
      </c>
      <c r="AI26" s="13">
        <f>113190</f>
        <v>113190</v>
      </c>
    </row>
    <row r="27" spans="1:38" ht="15.75" customHeight="1">
      <c r="A27" s="2" t="s">
        <v>34</v>
      </c>
      <c r="B27" s="1">
        <f>SUM(V27:AG27)</f>
        <v>387163</v>
      </c>
      <c r="C27" s="1">
        <f>SUMIFS('フォームの回答 1'!$E:$E,'フォームの回答 1'!$B:$B,C26,'フォームの回答 1'!$H:$H,$A27)</f>
        <v>0</v>
      </c>
      <c r="D27" s="1">
        <f>SUMIFS('フォームの回答 1'!$E:$E,'フォームの回答 1'!$B:$B,D26,'フォームの回答 1'!$H:$H,$A27)</f>
        <v>0</v>
      </c>
      <c r="E27" s="1">
        <f>SUMIFS('フォームの回答 1'!$E:$E,'フォームの回答 1'!$B:$B,E26,'フォームの回答 1'!$H:$H,$A27)</f>
        <v>0</v>
      </c>
      <c r="F27" s="1">
        <f>SUMIFS('フォームの回答 1'!$E:$E,'フォームの回答 1'!$B:$B,F26,'フォームの回答 1'!$H:$H,$A27)</f>
        <v>0</v>
      </c>
      <c r="G27" s="1">
        <f>SUMIFS('フォームの回答 1'!$E:$E,'フォームの回答 1'!$B:$B,G26,'フォームの回答 1'!$H:$H,$A27)</f>
        <v>0</v>
      </c>
      <c r="H27" s="1">
        <f>SUMIFS('フォームの回答 1'!$E:$E,'フォームの回答 1'!$B:$B,H26,'フォームの回答 1'!$H:$H,$A27)</f>
        <v>0</v>
      </c>
      <c r="I27" s="1">
        <f>SUMIFS('フォームの回答 1'!$E:$E,'フォームの回答 1'!$B:$B,I26,'フォームの回答 1'!$H:$H,$A27)</f>
        <v>9380</v>
      </c>
      <c r="J27" s="1">
        <f>SUMIFS('フォームの回答 1'!$E:$E,'フォームの回答 1'!$B:$B,J26,'フォームの回答 1'!$H:$H,$A27)</f>
        <v>0</v>
      </c>
      <c r="K27" s="1">
        <f>SUMIFS('フォームの回答 1'!$E:$E,'フォームの回答 1'!$B:$B,K26,'フォームの回答 1'!$H:$H,$A27)</f>
        <v>0</v>
      </c>
      <c r="L27" s="1">
        <f>SUMIFS('フォームの回答 1'!$E:$E,'フォームの回答 1'!$B:$B,L26,'フォームの回答 1'!$H:$H,$A27)</f>
        <v>4500</v>
      </c>
      <c r="M27" s="1">
        <f>SUMIFS('フォームの回答 1'!$E:$E,'フォームの回答 1'!$B:$B,M26,'フォームの回答 1'!$H:$H,$A27)</f>
        <v>0</v>
      </c>
      <c r="N27" s="1">
        <f>SUMIFS('フォームの回答 1'!$E:$E,'フォームの回答 1'!$B:$B,N26,'フォームの回答 1'!$H:$H,$A27)</f>
        <v>0</v>
      </c>
      <c r="O27" s="1">
        <f>SUMIFS('フォームの回答 1'!$E:$E,'フォームの回答 1'!$B:$B,O26,'フォームの回答 1'!$H:$H,$A27)</f>
        <v>0</v>
      </c>
      <c r="P27" s="1">
        <f>SUMIFS('フォームの回答 1'!$E:$E,'フォームの回答 1'!$B:$B,P26,'フォームの回答 1'!$H:$H,$A27)</f>
        <v>0</v>
      </c>
      <c r="Q27" s="1">
        <f>SUMIFS('フォームの回答 1'!$E:$E,'フォームの回答 1'!$B:$B,Q26,'フォームの回答 1'!$H:$H,$A27)</f>
        <v>0</v>
      </c>
      <c r="R27" s="1">
        <f>SUMIFS('フォームの回答 1'!$E:$E,'フォームの回答 1'!$B:$B,R26,'フォームの回答 1'!$H:$H,$A27)</f>
        <v>0</v>
      </c>
      <c r="S27" s="1">
        <f>SUMIFS('フォームの回答 1'!$E:$E,'フォームの回答 1'!$B:$B,S26,'フォームの回答 1'!$H:$H,$A27)</f>
        <v>0</v>
      </c>
      <c r="T27" s="1">
        <f>SUMIFS('フォームの回答 1'!$E:$E,'フォームの回答 1'!$B:$B,T26,'フォームの回答 1'!$H:$H,$A27)</f>
        <v>0</v>
      </c>
      <c r="U27" s="1">
        <f>SUMIFS('フォームの回答 1'!$E:$E,'フォームの回答 1'!$B:$B,U26,'フォームの回答 1'!$H:$H,$A27)</f>
        <v>0</v>
      </c>
      <c r="V27" s="1">
        <f>SUMIFS('フォームの回答 1'!$E:$E,'フォームの回答 1'!$B:$B,V26,'フォームの回答 1'!$H:$H,$A27)</f>
        <v>0</v>
      </c>
      <c r="W27" s="1">
        <f>SUMIFS('フォームの回答 1'!$E:$E,'フォームの回答 1'!$B:$B,W26,'フォームの回答 1'!$H:$H,$A27)</f>
        <v>5000</v>
      </c>
      <c r="X27" s="1">
        <f>SUMIFS('フォームの回答 1'!$E:$E,'フォームの回答 1'!$B:$B,X26,'フォームの回答 1'!$H:$H,$A27)</f>
        <v>0</v>
      </c>
      <c r="Y27" s="1">
        <f>SUMIFS('フォームの回答 1'!$E:$E,'フォームの回答 1'!$B:$B,Y26,'フォームの回答 1'!$H:$H,$A27)</f>
        <v>0</v>
      </c>
      <c r="Z27" s="1">
        <f>SUMIFS('フォームの回答 1'!$E:$E,'フォームの回答 1'!$B:$B,Z26,'フォームの回答 1'!$H:$H,$A27)</f>
        <v>376163</v>
      </c>
      <c r="AA27" s="1">
        <f>SUMIFS('フォームの回答 1'!$E:$E,'フォームの回答 1'!$B:$B,AA26,'フォームの回答 1'!$H:$H,$A27)+AJ18</f>
        <v>6000</v>
      </c>
      <c r="AB27" s="1">
        <f>SUMIFS('フォームの回答 1'!$E:$E,'フォームの回答 1'!$B:$B,AB26,'フォームの回答 1'!$H:$H,$A27)</f>
        <v>0</v>
      </c>
      <c r="AC27" s="1">
        <f>SUMIFS('フォームの回答 1'!$E:$E,'フォームの回答 1'!$B:$B,AC26,'フォームの回答 1'!$H:$H,$A27)</f>
        <v>0</v>
      </c>
      <c r="AD27" s="1">
        <f>SUMIFS('フォームの回答 1'!$E:$E,'フォームの回答 1'!$B:$B,AD26,'フォームの回答 1'!$H:$H,$A27)</f>
        <v>0</v>
      </c>
      <c r="AE27" s="1">
        <f>SUMIFS('フォームの回答 1'!$E:$E,'フォームの回答 1'!$B:$B,AE26,'フォームの回答 1'!$H:$H,$A27)</f>
        <v>0</v>
      </c>
      <c r="AF27" s="1">
        <f>SUMIFS('フォームの回答 1'!$E:$E,'フォームの回答 1'!$B:$B,AF26,'フォームの回答 1'!$H:$H,$A27)</f>
        <v>0</v>
      </c>
      <c r="AG27" s="1">
        <f>SUMIFS('フォームの回答 1'!$E:$E,'フォームの回答 1'!$B:$B,AG26,'フォームの回答 1'!$H:$H,$A27)</f>
        <v>0</v>
      </c>
    </row>
    <row r="28" spans="1:38" ht="15.75" customHeight="1">
      <c r="A28" s="2" t="s">
        <v>35</v>
      </c>
      <c r="B28" s="1">
        <f>SUM(C28:AG28)</f>
        <v>373807</v>
      </c>
      <c r="C28" s="1">
        <f>SUMIFS('フォームの回答 1'!$E:$E,'フォームの回答 1'!$B:$B,C26,'フォームの回答 1'!$H:$H,$A28,'フォームの回答 1'!$F:$F,"Cash")</f>
        <v>5918</v>
      </c>
      <c r="D28" s="1">
        <f>SUMIFS('フォームの回答 1'!$E:$E,'フォームの回答 1'!$B:$B,D26,'フォームの回答 1'!$H:$H,$A28,'フォームの回答 1'!$F:$F,"Cash")</f>
        <v>1348</v>
      </c>
      <c r="E28" s="1">
        <f>SUMIFS('フォームの回答 1'!$E:$E,'フォームの回答 1'!$B:$B,E26,'フォームの回答 1'!$H:$H,$A28,'フォームの回答 1'!$F:$F,"Cash")</f>
        <v>5544</v>
      </c>
      <c r="F28" s="1">
        <f>SUMIFS('フォームの回答 1'!$E:$E,'フォームの回答 1'!$B:$B,F26,'フォームの回答 1'!$H:$H,$A28,'フォームの回答 1'!$F:$F,"Cash")</f>
        <v>2622</v>
      </c>
      <c r="G28" s="1">
        <f>SUMIFS('フォームの回答 1'!$E:$E,'フォームの回答 1'!$B:$B,G26,'フォームの回答 1'!$H:$H,$A28,'フォームの回答 1'!$F:$F,"Cash")</f>
        <v>1000</v>
      </c>
      <c r="H28" s="1">
        <f>SUMIFS('フォームの回答 1'!$E:$E,'フォームの回答 1'!$B:$B,H26,'フォームの回答 1'!$H:$H,$A28,'フォームの回答 1'!$F:$F,"Cash")</f>
        <v>2652</v>
      </c>
      <c r="I28" s="1">
        <f>SUMIFS('フォームの回答 1'!$E:$E,'フォームの回答 1'!$B:$B,I26,'フォームの回答 1'!$H:$H,$A28,'フォームの回答 1'!$F:$F,"Cash")</f>
        <v>2126</v>
      </c>
      <c r="J28" s="1">
        <f>SUMIFS('フォームの回答 1'!$E:$E,'フォームの回答 1'!$B:$B,J26,'フォームの回答 1'!$H:$H,$A28,'フォームの回答 1'!$F:$F,"Cash")</f>
        <v>890</v>
      </c>
      <c r="K28" s="1">
        <f>SUMIFS('フォームの回答 1'!$E:$E,'フォームの回答 1'!$B:$B,K26,'フォームの回答 1'!$H:$H,$A28,'フォームの回答 1'!$F:$F,"Cash")</f>
        <v>1500</v>
      </c>
      <c r="L28" s="1">
        <f>SUMIFS('フォームの回答 1'!$E:$E,'フォームの回答 1'!$B:$B,L26,'フォームの回答 1'!$H:$H,$A28,'フォームの回答 1'!$F:$F,"Cash")</f>
        <v>3672</v>
      </c>
      <c r="M28" s="1">
        <f>SUMIFS('フォームの回答 1'!$E:$E,'フォームの回答 1'!$B:$B,M26,'フォームの回答 1'!$H:$H,$A28,'フォームの回答 1'!$F:$F,"Cash")</f>
        <v>3085</v>
      </c>
      <c r="N28" s="1">
        <f>SUMIFS('フォームの回答 1'!$E:$E,'フォームの回答 1'!$B:$B,N26,'フォームの回答 1'!$H:$H,$A28,'フォームの回答 1'!$F:$F,"Cash")</f>
        <v>2182</v>
      </c>
      <c r="O28" s="1">
        <f>SUMIFS('フォームの回答 1'!$E:$E,'フォームの回答 1'!$B:$B,O26,'フォームの回答 1'!$H:$H,$A28,'フォームの回答 1'!$F:$F,"Cash")</f>
        <v>1200</v>
      </c>
      <c r="P28" s="1">
        <f>SUMIFS('フォームの回答 1'!$E:$E,'フォームの回答 1'!$B:$B,P26,'フォームの回答 1'!$H:$H,$A28,'フォームの回答 1'!$F:$F,"Cash")</f>
        <v>1462</v>
      </c>
      <c r="Q28" s="1">
        <f>SUMIFS('フォームの回答 1'!$E:$E,'フォームの回答 1'!$B:$B,Q26,'フォームの回答 1'!$H:$H,$A28,'フォームの回答 1'!$F:$F,"Cash")</f>
        <v>3130</v>
      </c>
      <c r="R28" s="1">
        <f>SUMIFS('フォームの回答 1'!$E:$E,'フォームの回答 1'!$B:$B,R26,'フォームの回答 1'!$H:$H,$A28,'フォームの回答 1'!$F:$F,"Cash")</f>
        <v>0</v>
      </c>
      <c r="S28" s="1">
        <f>SUMIFS('フォームの回答 1'!$E:$E,'フォームの回答 1'!$B:$B,S26,'フォームの回答 1'!$H:$H,$A28,'フォームの回答 1'!$F:$F,"Cash")</f>
        <v>2832</v>
      </c>
      <c r="T28" s="1">
        <f>SUMIFS('フォームの回答 1'!$E:$E,'フォームの回答 1'!$B:$B,T26,'フォームの回答 1'!$H:$H,$A28,'フォームの回答 1'!$F:$F,"Cash")</f>
        <v>924</v>
      </c>
      <c r="U28" s="1">
        <f>SUMIFS('フォームの回答 1'!$E:$E,'フォームの回答 1'!$B:$B,U26,'フォームの回答 1'!$H:$H,$A28,'フォームの回答 1'!$F:$F,"Cash")</f>
        <v>1340</v>
      </c>
      <c r="V28" s="1">
        <f>SUMIFS('フォームの回答 1'!$E:$E,'フォームの回答 1'!$B:$B,V26,'フォームの回答 1'!$H:$H,$A28,'フォームの回答 1'!$F:$F,"Cash")</f>
        <v>2101</v>
      </c>
      <c r="W28" s="1">
        <f>SUMIFS('フォームの回答 1'!$E:$E,'フォームの回答 1'!$B:$B,W26,'フォームの回答 1'!$H:$H,$A28,'フォームの回答 1'!$F:$F,"Cash")</f>
        <v>0</v>
      </c>
      <c r="X28" s="1">
        <f>SUMIFS('フォームの回答 1'!$E:$E,'フォームの回答 1'!$B:$B,X26,'フォームの回答 1'!$H:$H,$A28,'フォームの回答 1'!$F:$F,"Cash")</f>
        <v>1599</v>
      </c>
      <c r="Y28" s="1">
        <f>SUMIFS('フォームの回答 1'!$E:$E,'フォームの回答 1'!$B:$B,Y26,'フォームの回答 1'!$H:$H,$A28,'フォームの回答 1'!$F:$F,"Cash")</f>
        <v>0</v>
      </c>
      <c r="Z28" s="1">
        <f>SUMIFS('フォームの回答 1'!$E:$E,'フォームの回答 1'!$B:$B,Z26,'フォームの回答 1'!$H:$H,$A28,'フォームの回答 1'!$F:$F,"Cash")</f>
        <v>31100</v>
      </c>
      <c r="AA28" s="1">
        <f>SUMIFS('フォームの回答 1'!$E:$E,'フォームの回答 1'!$B:$B,AA26,'フォームの回答 1'!$H:$H,$A28,'フォームの回答 1'!$F:$F,"Cash")</f>
        <v>12681</v>
      </c>
      <c r="AB28" s="1">
        <f>SUMIFS('フォームの回答 1'!$E:$E,'フォームの回答 1'!$B:$B,AB26,'フォームの回答 1'!$H:$H,$A28,'フォームの回答 1'!$F:$F,"Cash")</f>
        <v>4537</v>
      </c>
      <c r="AC28" s="1">
        <f>SUMIFS('フォームの回答 1'!$E:$E,'フォームの回答 1'!$B:$B,AC26,'フォームの回答 1'!$H:$H,$A28,'フォームの回答 1'!$F:$F,"Cash")+AI26</f>
        <v>262960</v>
      </c>
      <c r="AD28" s="1">
        <f>SUMIFS('フォームの回答 1'!$E:$E,'フォームの回答 1'!$B:$B,AD26,'フォームの回答 1'!$H:$H,$A28,'フォームの回答 1'!$F:$F,"Cash")</f>
        <v>3257</v>
      </c>
      <c r="AE28" s="1">
        <f>SUMIFS('フォームの回答 1'!$E:$E,'フォームの回答 1'!$B:$B,AE26,'フォームの回答 1'!$H:$H,$A28,'フォームの回答 1'!$F:$F,"Cash")</f>
        <v>1325</v>
      </c>
      <c r="AF28" s="1">
        <f>SUMIFS('フォームの回答 1'!$E:$E,'フォームの回答 1'!$B:$B,AF26,'フォームの回答 1'!$H:$H,$A28,'フォームの回答 1'!$F:$F,"Cash")</f>
        <v>1575</v>
      </c>
      <c r="AG28" s="1">
        <f>SUMIFS('フォームの回答 1'!$E:$E,'フォームの回答 1'!$B:$B,AG26,'フォームの回答 1'!$H:$H,$A28,'フォームの回答 1'!$F:$F,"Cash")</f>
        <v>9245</v>
      </c>
    </row>
    <row r="29" spans="1:38" ht="15.75" customHeight="1">
      <c r="A29" s="2" t="s">
        <v>32</v>
      </c>
      <c r="C29" s="1">
        <f>AF23+C27-C28</f>
        <v>43282</v>
      </c>
      <c r="D29" s="1">
        <f t="shared" ref="D29:AG29" si="4">C29+D27-D28</f>
        <v>41934</v>
      </c>
      <c r="E29" s="1">
        <f t="shared" si="4"/>
        <v>36390</v>
      </c>
      <c r="F29" s="1">
        <f t="shared" si="4"/>
        <v>33768</v>
      </c>
      <c r="G29" s="1">
        <f t="shared" si="4"/>
        <v>32768</v>
      </c>
      <c r="H29" s="1">
        <f t="shared" si="4"/>
        <v>30116</v>
      </c>
      <c r="I29" s="1">
        <f t="shared" si="4"/>
        <v>37370</v>
      </c>
      <c r="J29" s="1">
        <f t="shared" si="4"/>
        <v>36480</v>
      </c>
      <c r="K29" s="1">
        <f t="shared" si="4"/>
        <v>34980</v>
      </c>
      <c r="L29" s="1">
        <f t="shared" si="4"/>
        <v>35808</v>
      </c>
      <c r="M29" s="1">
        <f t="shared" si="4"/>
        <v>32723</v>
      </c>
      <c r="N29" s="1">
        <f t="shared" si="4"/>
        <v>30541</v>
      </c>
      <c r="O29" s="1">
        <f t="shared" si="4"/>
        <v>29341</v>
      </c>
      <c r="P29" s="1">
        <f t="shared" si="4"/>
        <v>27879</v>
      </c>
      <c r="Q29" s="1">
        <f t="shared" si="4"/>
        <v>24749</v>
      </c>
      <c r="R29" s="1">
        <f t="shared" si="4"/>
        <v>24749</v>
      </c>
      <c r="S29" s="1">
        <f t="shared" si="4"/>
        <v>21917</v>
      </c>
      <c r="T29" s="1">
        <f t="shared" si="4"/>
        <v>20993</v>
      </c>
      <c r="U29" s="1">
        <f t="shared" si="4"/>
        <v>19653</v>
      </c>
      <c r="V29" s="1">
        <f t="shared" si="4"/>
        <v>17552</v>
      </c>
      <c r="W29" s="1">
        <f t="shared" si="4"/>
        <v>22552</v>
      </c>
      <c r="X29" s="1">
        <f t="shared" si="4"/>
        <v>20953</v>
      </c>
      <c r="Y29" s="1">
        <f t="shared" si="4"/>
        <v>20953</v>
      </c>
      <c r="Z29" s="1">
        <f t="shared" si="4"/>
        <v>366016</v>
      </c>
      <c r="AA29" s="1">
        <f t="shared" si="4"/>
        <v>359335</v>
      </c>
      <c r="AB29" s="1">
        <f t="shared" si="4"/>
        <v>354798</v>
      </c>
      <c r="AC29" s="1">
        <f t="shared" si="4"/>
        <v>91838</v>
      </c>
      <c r="AD29" s="1">
        <f t="shared" si="4"/>
        <v>88581</v>
      </c>
      <c r="AE29" s="1">
        <f t="shared" si="4"/>
        <v>87256</v>
      </c>
      <c r="AF29" s="1">
        <f t="shared" si="4"/>
        <v>85681</v>
      </c>
      <c r="AG29" s="1">
        <f t="shared" si="4"/>
        <v>76436</v>
      </c>
    </row>
    <row r="31" spans="1:38" ht="15.75" customHeight="1">
      <c r="B31" s="20" t="s">
        <v>64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12"/>
      <c r="AI31" s="2" t="s">
        <v>65</v>
      </c>
      <c r="AJ31" s="1"/>
    </row>
    <row r="32" spans="1:38" ht="15.75" customHeight="1">
      <c r="B32" s="2" t="s">
        <v>29</v>
      </c>
      <c r="C32" s="11">
        <v>45444</v>
      </c>
      <c r="D32" s="11">
        <v>45445</v>
      </c>
      <c r="E32" s="11">
        <v>45446</v>
      </c>
      <c r="F32" s="11">
        <v>45447</v>
      </c>
      <c r="G32" s="11">
        <v>45448</v>
      </c>
      <c r="H32" s="11">
        <v>45449</v>
      </c>
      <c r="I32" s="11">
        <v>45450</v>
      </c>
      <c r="J32" s="11">
        <v>45451</v>
      </c>
      <c r="K32" s="11">
        <v>45452</v>
      </c>
      <c r="L32" s="11">
        <v>45453</v>
      </c>
      <c r="M32" s="11">
        <v>45454</v>
      </c>
      <c r="N32" s="11">
        <v>45455</v>
      </c>
      <c r="O32" s="11">
        <v>45456</v>
      </c>
      <c r="P32" s="11">
        <v>45457</v>
      </c>
      <c r="Q32" s="11">
        <v>45458</v>
      </c>
      <c r="R32" s="11">
        <v>45459</v>
      </c>
      <c r="S32" s="11">
        <v>45460</v>
      </c>
      <c r="T32" s="11">
        <v>45461</v>
      </c>
      <c r="U32" s="11">
        <v>45462</v>
      </c>
      <c r="V32" s="11">
        <v>45463</v>
      </c>
      <c r="W32" s="11">
        <v>45464</v>
      </c>
      <c r="X32" s="11">
        <v>45465</v>
      </c>
      <c r="Y32" s="11">
        <v>45466</v>
      </c>
      <c r="Z32" s="11">
        <v>45467</v>
      </c>
      <c r="AA32" s="11">
        <v>45468</v>
      </c>
      <c r="AB32" s="11">
        <v>45469</v>
      </c>
      <c r="AC32" s="11">
        <v>45470</v>
      </c>
      <c r="AD32" s="11">
        <v>45471</v>
      </c>
      <c r="AE32" s="11">
        <v>45472</v>
      </c>
      <c r="AF32" s="11">
        <v>45473</v>
      </c>
      <c r="AG32" s="11"/>
      <c r="AI32" s="13">
        <f>167013</f>
        <v>167013</v>
      </c>
    </row>
    <row r="33" spans="1:36" ht="15.75" customHeight="1">
      <c r="A33" s="2" t="s">
        <v>34</v>
      </c>
      <c r="B33" s="1">
        <f>SUM(V33:AG33)</f>
        <v>362320</v>
      </c>
      <c r="C33" s="1">
        <f>SUMIFS('フォームの回答 1'!$E:$E,'フォームの回答 1'!$B:$B,C32,'フォームの回答 1'!$H:$H,$A33)</f>
        <v>0</v>
      </c>
      <c r="D33" s="1">
        <f>SUMIFS('フォームの回答 1'!$E:$E,'フォームの回答 1'!$B:$B,D32,'フォームの回答 1'!$H:$H,$A33)</f>
        <v>0</v>
      </c>
      <c r="E33" s="1">
        <f>SUMIFS('フォームの回答 1'!$E:$E,'フォームの回答 1'!$B:$B,E32,'フォームの回答 1'!$H:$H,$A33)</f>
        <v>0</v>
      </c>
      <c r="F33" s="1">
        <f>SUMIFS('フォームの回答 1'!$E:$E,'フォームの回答 1'!$B:$B,F32,'フォームの回答 1'!$H:$H,$A33)</f>
        <v>0</v>
      </c>
      <c r="G33" s="1">
        <f>SUMIFS('フォームの回答 1'!$E:$E,'フォームの回答 1'!$B:$B,G32,'フォームの回答 1'!$H:$H,$A33)</f>
        <v>17385</v>
      </c>
      <c r="H33" s="1">
        <f>SUMIFS('フォームの回答 1'!$E:$E,'フォームの回答 1'!$B:$B,H32,'フォームの回答 1'!$H:$H,$A33)</f>
        <v>0</v>
      </c>
      <c r="I33" s="1">
        <f>SUMIFS('フォームの回答 1'!$E:$E,'フォームの回答 1'!$B:$B,I32,'フォームの回答 1'!$H:$H,$A33)</f>
        <v>0</v>
      </c>
      <c r="J33" s="1">
        <f>SUMIFS('フォームの回答 1'!$E:$E,'フォームの回答 1'!$B:$B,J32,'フォームの回答 1'!$H:$H,$A33)</f>
        <v>0</v>
      </c>
      <c r="K33" s="1">
        <f>SUMIFS('フォームの回答 1'!$E:$E,'フォームの回答 1'!$B:$B,K32,'フォームの回答 1'!$H:$H,$A33)</f>
        <v>0</v>
      </c>
      <c r="L33" s="1">
        <f>SUMIFS('フォームの回答 1'!$E:$E,'フォームの回答 1'!$B:$B,L32,'フォームの回答 1'!$H:$H,$A33)</f>
        <v>40000</v>
      </c>
      <c r="M33" s="1">
        <f>SUMIFS('フォームの回答 1'!$E:$E,'フォームの回答 1'!$B:$B,M32,'フォームの回答 1'!$H:$H,$A33)</f>
        <v>0</v>
      </c>
      <c r="N33" s="1">
        <f>SUMIFS('フォームの回答 1'!$E:$E,'フォームの回答 1'!$B:$B,N32,'フォームの回答 1'!$H:$H,$A33)</f>
        <v>0</v>
      </c>
      <c r="O33" s="1">
        <f>SUMIFS('フォームの回答 1'!$E:$E,'フォームの回答 1'!$B:$B,O32,'フォームの回答 1'!$H:$H,$A33)</f>
        <v>0</v>
      </c>
      <c r="P33" s="1">
        <f>SUMIFS('フォームの回答 1'!$E:$E,'フォームの回答 1'!$B:$B,P32,'フォームの回答 1'!$H:$H,$A33)</f>
        <v>0</v>
      </c>
      <c r="Q33" s="1">
        <f>SUMIFS('フォームの回答 1'!$E:$E,'フォームの回答 1'!$B:$B,Q32,'フォームの回答 1'!$H:$H,$A33)</f>
        <v>0</v>
      </c>
      <c r="R33" s="1">
        <f>SUMIFS('フォームの回答 1'!$E:$E,'フォームの回答 1'!$B:$B,R32,'フォームの回答 1'!$H:$H,$A33)</f>
        <v>0</v>
      </c>
      <c r="S33" s="1">
        <f>SUMIFS('フォームの回答 1'!$E:$E,'フォームの回答 1'!$B:$B,S32,'フォームの回答 1'!$H:$H,$A33)</f>
        <v>3500</v>
      </c>
      <c r="T33" s="1">
        <f>SUMIFS('フォームの回答 1'!$E:$E,'フォームの回答 1'!$B:$B,T32,'フォームの回答 1'!$H:$H,$A33)</f>
        <v>0</v>
      </c>
      <c r="U33" s="1">
        <f>SUMIFS('フォームの回答 1'!$E:$E,'フォームの回答 1'!$B:$B,U32,'フォームの回答 1'!$H:$H,$A33)</f>
        <v>0</v>
      </c>
      <c r="V33" s="1">
        <f>SUMIFS('フォームの回答 1'!$E:$E,'フォームの回答 1'!$B:$B,V32,'フォームの回答 1'!$H:$H,$A33)</f>
        <v>0</v>
      </c>
      <c r="W33" s="1">
        <f>SUMIFS('フォームの回答 1'!$E:$E,'フォームの回答 1'!$B:$B,W32,'フォームの回答 1'!$H:$H,$A33)</f>
        <v>0</v>
      </c>
      <c r="X33" s="1">
        <f>SUMIFS('フォームの回答 1'!$E:$E,'フォームの回答 1'!$B:$B,X32,'フォームの回答 1'!$H:$H,$A33)</f>
        <v>0</v>
      </c>
      <c r="Y33" s="1">
        <f>SUMIFS('フォームの回答 1'!$E:$E,'フォームの回答 1'!$B:$B,Y32,'フォームの回答 1'!$H:$H,$A33)</f>
        <v>0</v>
      </c>
      <c r="Z33" s="1">
        <f>SUMIFS('フォームの回答 1'!$E:$E,'フォームの回答 1'!$B:$B,Z32,'フォームの回答 1'!$H:$H,$A33)</f>
        <v>0</v>
      </c>
      <c r="AA33" s="1">
        <f>SUMIFS('フォームの回答 1'!$E:$E,'フォームの回答 1'!$B:$B,AA32,'フォームの回答 1'!$H:$H,$A33)+AJ24</f>
        <v>356320</v>
      </c>
      <c r="AB33" s="1">
        <f>SUMIFS('フォームの回答 1'!$E:$E,'フォームの回答 1'!$B:$B,AB32,'フォームの回答 1'!$H:$H,$A33)</f>
        <v>3000</v>
      </c>
      <c r="AC33" s="1">
        <f>SUMIFS('フォームの回答 1'!$E:$E,'フォームの回答 1'!$B:$B,AC32,'フォームの回答 1'!$H:$H,$A33)</f>
        <v>0</v>
      </c>
      <c r="AD33" s="1">
        <f>SUMIFS('フォームの回答 1'!$E:$E,'フォームの回答 1'!$B:$B,AD32,'フォームの回答 1'!$H:$H,$A33)</f>
        <v>3000</v>
      </c>
      <c r="AE33" s="1">
        <f>SUMIFS('フォームの回答 1'!$E:$E,'フォームの回答 1'!$B:$B,AE32,'フォームの回答 1'!$H:$H,$A33)</f>
        <v>0</v>
      </c>
      <c r="AF33" s="1">
        <f>SUMIFS('フォームの回答 1'!$E:$E,'フォームの回答 1'!$B:$B,AF32,'フォームの回答 1'!$H:$H,$A33)</f>
        <v>0</v>
      </c>
      <c r="AG33" s="1"/>
    </row>
    <row r="34" spans="1:36" ht="15.75" customHeight="1">
      <c r="A34" s="2" t="s">
        <v>35</v>
      </c>
      <c r="B34" s="1">
        <f>SUM(C34:AG34)</f>
        <v>456671</v>
      </c>
      <c r="C34" s="1">
        <f>SUMIFS('フォームの回答 1'!$E:$E,'フォームの回答 1'!$B:$B,C32,'フォームの回答 1'!$H:$H,$A34,'フォームの回答 1'!$F:$F,"Cash")</f>
        <v>3360</v>
      </c>
      <c r="D34" s="1">
        <f>SUMIFS('フォームの回答 1'!$E:$E,'フォームの回答 1'!$B:$B,D32,'フォームの回答 1'!$H:$H,$A34,'フォームの回答 1'!$F:$F,"Cash")</f>
        <v>6239</v>
      </c>
      <c r="E34" s="1">
        <f>SUMIFS('フォームの回答 1'!$E:$E,'フォームの回答 1'!$B:$B,E32,'フォームの回答 1'!$H:$H,$A34,'フォームの回答 1'!$F:$F,"Cash")</f>
        <v>1172</v>
      </c>
      <c r="F34" s="1">
        <f>SUMIFS('フォームの回答 1'!$E:$E,'フォームの回答 1'!$B:$B,F32,'フォームの回答 1'!$H:$H,$A34,'フォームの回答 1'!$F:$F,"Cash")</f>
        <v>1939</v>
      </c>
      <c r="G34" s="1">
        <f>SUMIFS('フォームの回答 1'!$E:$E,'フォームの回答 1'!$B:$B,G32,'フォームの回答 1'!$H:$H,$A34,'フォームの回答 1'!$F:$F,"Cash")</f>
        <v>8262</v>
      </c>
      <c r="H34" s="1">
        <f>SUMIFS('フォームの回答 1'!$E:$E,'フォームの回答 1'!$B:$B,H32,'フォームの回答 1'!$H:$H,$A34,'フォームの回答 1'!$F:$F,"Cash")</f>
        <v>1358</v>
      </c>
      <c r="I34" s="1">
        <f>SUMIFS('フォームの回答 1'!$E:$E,'フォームの回答 1'!$B:$B,I32,'フォームの回答 1'!$H:$H,$A34,'フォームの回答 1'!$F:$F,"Cash")</f>
        <v>1700</v>
      </c>
      <c r="J34" s="1">
        <f>SUMIFS('フォームの回答 1'!$E:$E,'フォームの回答 1'!$B:$B,J32,'フォームの回答 1'!$H:$H,$A34,'フォームの回答 1'!$F:$F,"Cash")</f>
        <v>0</v>
      </c>
      <c r="K34" s="1">
        <f>SUMIFS('フォームの回答 1'!$E:$E,'フォームの回答 1'!$B:$B,K32,'フォームの回答 1'!$H:$H,$A34,'フォームの回答 1'!$F:$F,"Cash")</f>
        <v>8449</v>
      </c>
      <c r="L34" s="1">
        <f>SUMIFS('フォームの回答 1'!$E:$E,'フォームの回答 1'!$B:$B,L32,'フォームの回答 1'!$H:$H,$A34,'フォームの回答 1'!$F:$F,"Cash")</f>
        <v>2186</v>
      </c>
      <c r="M34" s="1">
        <f>SUMIFS('フォームの回答 1'!$E:$E,'フォームの回答 1'!$B:$B,M32,'フォームの回答 1'!$H:$H,$A34,'フォームの回答 1'!$F:$F,"Cash")</f>
        <v>1049</v>
      </c>
      <c r="N34" s="1">
        <f>SUMIFS('フォームの回答 1'!$E:$E,'フォームの回答 1'!$B:$B,N32,'フォームの回答 1'!$H:$H,$A34,'フォームの回答 1'!$F:$F,"Cash")</f>
        <v>3000</v>
      </c>
      <c r="O34" s="1">
        <f>SUMIFS('フォームの回答 1'!$E:$E,'フォームの回答 1'!$B:$B,O32,'フォームの回答 1'!$H:$H,$A34,'フォームの回答 1'!$F:$F,"Cash")</f>
        <v>1983</v>
      </c>
      <c r="P34" s="1">
        <f>SUMIFS('フォームの回答 1'!$E:$E,'フォームの回答 1'!$B:$B,P32,'フォームの回答 1'!$H:$H,$A34,'フォームの回答 1'!$F:$F,"Cash")</f>
        <v>1304</v>
      </c>
      <c r="Q34" s="1">
        <f>SUMIFS('フォームの回答 1'!$E:$E,'フォームの回答 1'!$B:$B,Q32,'フォームの回答 1'!$H:$H,$A34,'フォームの回答 1'!$F:$F,"Cash")</f>
        <v>8056</v>
      </c>
      <c r="R34" s="1">
        <f>SUMIFS('フォームの回答 1'!$E:$E,'フォームの回答 1'!$B:$B,R32,'フォームの回答 1'!$H:$H,$A34,'フォームの回答 1'!$F:$F,"Cash")</f>
        <v>4017</v>
      </c>
      <c r="S34" s="1">
        <f>SUMIFS('フォームの回答 1'!$E:$E,'フォームの回答 1'!$B:$B,S32,'フォームの回答 1'!$H:$H,$A34,'フォームの回答 1'!$F:$F,"Cash")</f>
        <v>2278</v>
      </c>
      <c r="T34" s="1">
        <f>SUMIFS('フォームの回答 1'!$E:$E,'フォームの回答 1'!$B:$B,T32,'フォームの回答 1'!$H:$H,$A34,'フォームの回答 1'!$F:$F,"Cash")</f>
        <v>0</v>
      </c>
      <c r="U34" s="1">
        <f>SUMIFS('フォームの回答 1'!$E:$E,'フォームの回答 1'!$B:$B,U32,'フォームの回答 1'!$H:$H,$A34,'フォームの回答 1'!$F:$F,"Cash")</f>
        <v>6393</v>
      </c>
      <c r="V34" s="1">
        <f>SUMIFS('フォームの回答 1'!$E:$E,'フォームの回答 1'!$B:$B,V32,'フォームの回答 1'!$H:$H,$A34,'フォームの回答 1'!$F:$F,"Cash")</f>
        <v>1437</v>
      </c>
      <c r="W34" s="1">
        <f>SUMIFS('フォームの回答 1'!$E:$E,'フォームの回答 1'!$B:$B,W32,'フォームの回答 1'!$H:$H,$A34,'フォームの回答 1'!$F:$F,"Cash")</f>
        <v>6200</v>
      </c>
      <c r="X34" s="1">
        <f>SUMIFS('フォームの回答 1'!$E:$E,'フォームの回答 1'!$B:$B,X32,'フォームの回答 1'!$H:$H,$A34,'フォームの回答 1'!$F:$F,"Cash")</f>
        <v>4512</v>
      </c>
      <c r="Y34" s="1">
        <f>SUMIFS('フォームの回答 1'!$E:$E,'フォームの回答 1'!$B:$B,Y32,'フォームの回答 1'!$H:$H,$A34,'フォームの回答 1'!$F:$F,"Cash")</f>
        <v>10143</v>
      </c>
      <c r="Z34" s="1">
        <f>SUMIFS('フォームの回答 1'!$E:$E,'フォームの回答 1'!$B:$B,Z32,'フォームの回答 1'!$H:$H,$A34,'フォームの回答 1'!$F:$F,"Cash")</f>
        <v>5637</v>
      </c>
      <c r="AA34" s="1">
        <f>SUMIFS('フォームの回答 1'!$E:$E,'フォームの回答 1'!$B:$B,AA32,'フォームの回答 1'!$H:$H,$A34,'フォームの回答 1'!$F:$F,"Cash")</f>
        <v>1990</v>
      </c>
      <c r="AB34" s="1">
        <f>SUMIFS('フォームの回答 1'!$E:$E,'フォームの回答 1'!$B:$B,AB32,'フォームの回答 1'!$H:$H,$A34,'フォームの回答 1'!$F:$F,"Cash")</f>
        <v>9736</v>
      </c>
      <c r="AC34" s="1">
        <f>SUMIFS('フォームの回答 1'!$E:$E,'フォームの回答 1'!$B:$B,AC32,'フォームの回答 1'!$H:$H,$A34,'フォームの回答 1'!$F:$F,"Cash")+AI32</f>
        <v>342243</v>
      </c>
      <c r="AD34" s="1">
        <f>SUMIFS('フォームの回答 1'!$E:$E,'フォームの回答 1'!$B:$B,AD32,'フォームの回答 1'!$H:$H,$A34,'フォームの回答 1'!$F:$F,"Cash")</f>
        <v>9000</v>
      </c>
      <c r="AE34" s="1">
        <f>SUMIFS('フォームの回答 1'!$E:$E,'フォームの回答 1'!$B:$B,AE32,'フォームの回答 1'!$H:$H,$A34,'フォームの回答 1'!$F:$F,"Cash")</f>
        <v>2628</v>
      </c>
      <c r="AF34" s="1">
        <f>SUMIFS('フォームの回答 1'!$E:$E,'フォームの回答 1'!$B:$B,AF32,'フォームの回答 1'!$H:$H,$A34,'フォームの回答 1'!$F:$F,"Cash")</f>
        <v>400</v>
      </c>
      <c r="AG34" s="1"/>
    </row>
    <row r="35" spans="1:36" ht="15.75" customHeight="1">
      <c r="A35" s="2" t="s">
        <v>32</v>
      </c>
      <c r="C35" s="1">
        <f>AG29+C33-C34</f>
        <v>73076</v>
      </c>
      <c r="D35" s="1">
        <f t="shared" ref="D35:AF35" si="5">C35+D33-D34</f>
        <v>66837</v>
      </c>
      <c r="E35" s="1">
        <f t="shared" si="5"/>
        <v>65665</v>
      </c>
      <c r="F35" s="1">
        <f t="shared" si="5"/>
        <v>63726</v>
      </c>
      <c r="G35" s="1">
        <f t="shared" si="5"/>
        <v>72849</v>
      </c>
      <c r="H35" s="1">
        <f t="shared" si="5"/>
        <v>71491</v>
      </c>
      <c r="I35" s="1">
        <f t="shared" si="5"/>
        <v>69791</v>
      </c>
      <c r="J35" s="1">
        <f t="shared" si="5"/>
        <v>69791</v>
      </c>
      <c r="K35" s="1">
        <f t="shared" si="5"/>
        <v>61342</v>
      </c>
      <c r="L35" s="1">
        <f t="shared" si="5"/>
        <v>99156</v>
      </c>
      <c r="M35" s="1">
        <f t="shared" si="5"/>
        <v>98107</v>
      </c>
      <c r="N35" s="1">
        <f t="shared" si="5"/>
        <v>95107</v>
      </c>
      <c r="O35" s="1">
        <f t="shared" si="5"/>
        <v>93124</v>
      </c>
      <c r="P35" s="1">
        <f t="shared" si="5"/>
        <v>91820</v>
      </c>
      <c r="Q35" s="1">
        <f t="shared" si="5"/>
        <v>83764</v>
      </c>
      <c r="R35" s="1">
        <f t="shared" si="5"/>
        <v>79747</v>
      </c>
      <c r="S35" s="1">
        <f t="shared" si="5"/>
        <v>80969</v>
      </c>
      <c r="T35" s="1">
        <f t="shared" si="5"/>
        <v>80969</v>
      </c>
      <c r="U35" s="1">
        <f t="shared" si="5"/>
        <v>74576</v>
      </c>
      <c r="V35" s="1">
        <f t="shared" si="5"/>
        <v>73139</v>
      </c>
      <c r="W35" s="1">
        <f t="shared" si="5"/>
        <v>66939</v>
      </c>
      <c r="X35" s="1">
        <f t="shared" si="5"/>
        <v>62427</v>
      </c>
      <c r="Y35" s="1">
        <f t="shared" si="5"/>
        <v>52284</v>
      </c>
      <c r="Z35" s="1">
        <f t="shared" si="5"/>
        <v>46647</v>
      </c>
      <c r="AA35" s="1">
        <f t="shared" si="5"/>
        <v>400977</v>
      </c>
      <c r="AB35" s="1">
        <f t="shared" si="5"/>
        <v>394241</v>
      </c>
      <c r="AC35" s="1">
        <f t="shared" si="5"/>
        <v>51998</v>
      </c>
      <c r="AD35" s="1">
        <f t="shared" si="5"/>
        <v>45998</v>
      </c>
      <c r="AE35" s="1">
        <f t="shared" si="5"/>
        <v>43370</v>
      </c>
      <c r="AF35" s="1">
        <f t="shared" si="5"/>
        <v>42970</v>
      </c>
    </row>
    <row r="37" spans="1:36" ht="15.75" customHeight="1">
      <c r="B37" s="20" t="s">
        <v>66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I37" s="2" t="s">
        <v>67</v>
      </c>
      <c r="AJ37" s="1"/>
    </row>
    <row r="38" spans="1:36" ht="15.75" customHeight="1">
      <c r="B38" s="2" t="s">
        <v>29</v>
      </c>
      <c r="C38" s="11">
        <v>45474</v>
      </c>
      <c r="D38" s="11">
        <v>45475</v>
      </c>
      <c r="E38" s="11">
        <v>45476</v>
      </c>
      <c r="F38" s="11">
        <v>45477</v>
      </c>
      <c r="G38" s="11">
        <v>45478</v>
      </c>
      <c r="H38" s="11">
        <v>45479</v>
      </c>
      <c r="I38" s="11">
        <v>45480</v>
      </c>
      <c r="J38" s="11">
        <v>45481</v>
      </c>
      <c r="K38" s="11">
        <v>45482</v>
      </c>
      <c r="L38" s="11">
        <v>45483</v>
      </c>
      <c r="M38" s="11">
        <v>45484</v>
      </c>
      <c r="N38" s="11">
        <v>45485</v>
      </c>
      <c r="O38" s="11">
        <v>45486</v>
      </c>
      <c r="P38" s="11">
        <v>45487</v>
      </c>
      <c r="Q38" s="11">
        <v>45488</v>
      </c>
      <c r="R38" s="11">
        <v>45489</v>
      </c>
      <c r="S38" s="11">
        <v>45490</v>
      </c>
      <c r="T38" s="11">
        <v>45491</v>
      </c>
      <c r="U38" s="11">
        <v>45492</v>
      </c>
      <c r="V38" s="11">
        <v>45493</v>
      </c>
      <c r="W38" s="11">
        <v>45494</v>
      </c>
      <c r="X38" s="11">
        <v>45495</v>
      </c>
      <c r="Y38" s="11">
        <v>45496</v>
      </c>
      <c r="Z38" s="11">
        <v>45497</v>
      </c>
      <c r="AA38" s="11">
        <v>45498</v>
      </c>
      <c r="AB38" s="11">
        <v>45499</v>
      </c>
      <c r="AC38" s="11">
        <v>45500</v>
      </c>
      <c r="AD38" s="11">
        <v>45501</v>
      </c>
      <c r="AE38" s="11">
        <v>45502</v>
      </c>
      <c r="AF38" s="11">
        <v>45503</v>
      </c>
      <c r="AG38" s="11">
        <v>45504</v>
      </c>
      <c r="AI38" s="13">
        <v>131313</v>
      </c>
    </row>
    <row r="39" spans="1:36" ht="15.75" customHeight="1">
      <c r="A39" s="2" t="s">
        <v>34</v>
      </c>
      <c r="B39" s="1">
        <f>SUM(V39:AG39)</f>
        <v>348520</v>
      </c>
      <c r="C39" s="1">
        <f>SUMIFS('フォームの回答 1'!$E:$E,'フォームの回答 1'!$B:$B,C38,'フォームの回答 1'!$H:$H,$A39)</f>
        <v>0</v>
      </c>
      <c r="D39" s="1">
        <f>SUMIFS('フォームの回答 1'!$E:$E,'フォームの回答 1'!$B:$B,D38,'フォームの回答 1'!$H:$H,$A39)</f>
        <v>0</v>
      </c>
      <c r="E39" s="1">
        <f>SUMIFS('フォームの回答 1'!$E:$E,'フォームの回答 1'!$B:$B,E38,'フォームの回答 1'!$H:$H,$A39)</f>
        <v>0</v>
      </c>
      <c r="F39" s="1">
        <f>SUMIFS('フォームの回答 1'!$E:$E,'フォームの回答 1'!$B:$B,F38,'フォームの回答 1'!$H:$H,$A39)</f>
        <v>4980</v>
      </c>
      <c r="G39" s="1">
        <f>SUMIFS('フォームの回答 1'!$E:$E,'フォームの回答 1'!$B:$B,G38,'フォームの回答 1'!$H:$H,$A39)</f>
        <v>0</v>
      </c>
      <c r="H39" s="1">
        <f>SUMIFS('フォームの回答 1'!$E:$E,'フォームの回答 1'!$B:$B,H38,'フォームの回答 1'!$H:$H,$A39)</f>
        <v>0</v>
      </c>
      <c r="I39" s="1">
        <f>SUMIFS('フォームの回答 1'!$E:$E,'フォームの回答 1'!$B:$B,I38,'フォームの回答 1'!$H:$H,$A39)</f>
        <v>0</v>
      </c>
      <c r="J39" s="1">
        <f>SUMIFS('フォームの回答 1'!$E:$E,'フォームの回答 1'!$B:$B,J38,'フォームの回答 1'!$H:$H,$A39)</f>
        <v>0</v>
      </c>
      <c r="K39" s="1">
        <f>SUMIFS('フォームの回答 1'!$E:$E,'フォームの回答 1'!$B:$B,K38,'フォームの回答 1'!$H:$H,$A39)</f>
        <v>0</v>
      </c>
      <c r="L39" s="1">
        <f>SUMIFS('フォームの回答 1'!$E:$E,'フォームの回答 1'!$B:$B,L38,'フォームの回答 1'!$H:$H,$A39)</f>
        <v>0</v>
      </c>
      <c r="M39" s="1">
        <f>SUMIFS('フォームの回答 1'!$E:$E,'フォームの回答 1'!$B:$B,M38,'フォームの回答 1'!$H:$H,$A39)</f>
        <v>0</v>
      </c>
      <c r="N39" s="1">
        <f>SUMIFS('フォームの回答 1'!$E:$E,'フォームの回答 1'!$B:$B,N38,'フォームの回答 1'!$H:$H,$A39)</f>
        <v>0</v>
      </c>
      <c r="O39" s="1">
        <f>SUMIFS('フォームの回答 1'!$E:$E,'フォームの回答 1'!$B:$B,O38,'フォームの回答 1'!$H:$H,$A39)</f>
        <v>1000</v>
      </c>
      <c r="P39" s="1">
        <f>SUMIFS('フォームの回答 1'!$E:$E,'フォームの回答 1'!$B:$B,P38,'フォームの回答 1'!$H:$H,$A39)</f>
        <v>30000</v>
      </c>
      <c r="Q39" s="1">
        <f>SUMIFS('フォームの回答 1'!$E:$E,'フォームの回答 1'!$B:$B,Q38,'フォームの回答 1'!$H:$H,$A39)</f>
        <v>0</v>
      </c>
      <c r="R39" s="1">
        <f>SUMIFS('フォームの回答 1'!$E:$E,'フォームの回答 1'!$B:$B,R38,'フォームの回答 1'!$H:$H,$A39)</f>
        <v>0</v>
      </c>
      <c r="S39" s="1">
        <f>SUMIFS('フォームの回答 1'!$E:$E,'フォームの回答 1'!$B:$B,S38,'フォームの回答 1'!$H:$H,$A39)</f>
        <v>0</v>
      </c>
      <c r="T39" s="1">
        <f>SUMIFS('フォームの回答 1'!$E:$E,'フォームの回答 1'!$B:$B,T38,'フォームの回答 1'!$H:$H,$A39)</f>
        <v>0</v>
      </c>
      <c r="U39" s="1">
        <f>SUMIFS('フォームの回答 1'!$E:$E,'フォームの回答 1'!$B:$B,U38,'フォームの回答 1'!$H:$H,$A39)</f>
        <v>0</v>
      </c>
      <c r="V39" s="1">
        <f>SUMIFS('フォームの回答 1'!$E:$E,'フォームの回答 1'!$B:$B,V38,'フォームの回答 1'!$H:$H,$A39)</f>
        <v>7000</v>
      </c>
      <c r="W39" s="1">
        <f>SUMIFS('フォームの回答 1'!$E:$E,'フォームの回答 1'!$B:$B,W38,'フォームの回答 1'!$H:$H,$A39)</f>
        <v>0</v>
      </c>
      <c r="X39" s="1">
        <f>SUMIFS('フォームの回答 1'!$E:$E,'フォームの回答 1'!$B:$B,X38,'フォームの回答 1'!$H:$H,$A39)</f>
        <v>0</v>
      </c>
      <c r="Y39" s="1">
        <f>SUMIFS('フォームの回答 1'!$E:$E,'フォームの回答 1'!$B:$B,Y38,'フォームの回答 1'!$H:$H,$A39)</f>
        <v>0</v>
      </c>
      <c r="Z39" s="1">
        <f>SUMIFS('フォームの回答 1'!$E:$E,'フォームの回答 1'!$B:$B,Z38,'フォームの回答 1'!$H:$H,$A39)</f>
        <v>0</v>
      </c>
      <c r="AA39" s="1">
        <f>SUMIFS('フォームの回答 1'!$E:$E,'フォームの回答 1'!$B:$B,AA38,'フォームの回答 1'!$H:$H,$A39)+AJ30</f>
        <v>341520</v>
      </c>
      <c r="AB39" s="1">
        <f>SUMIFS('フォームの回答 1'!$E:$E,'フォームの回答 1'!$B:$B,AB38,'フォームの回答 1'!$H:$H,$A39)</f>
        <v>0</v>
      </c>
      <c r="AC39" s="1">
        <f>SUMIFS('フォームの回答 1'!$E:$E,'フォームの回答 1'!$B:$B,AC38,'フォームの回答 1'!$H:$H,$A39)</f>
        <v>0</v>
      </c>
      <c r="AD39" s="1">
        <f>SUMIFS('フォームの回答 1'!$E:$E,'フォームの回答 1'!$B:$B,AD38,'フォームの回答 1'!$H:$H,$A39)</f>
        <v>0</v>
      </c>
      <c r="AE39" s="1">
        <f>SUMIFS('フォームの回答 1'!$E:$E,'フォームの回答 1'!$B:$B,AE38,'フォームの回答 1'!$H:$H,$A39)</f>
        <v>0</v>
      </c>
      <c r="AF39" s="1">
        <f>SUMIFS('フォームの回答 1'!$E:$E,'フォームの回答 1'!$B:$B,AF38,'フォームの回答 1'!$H:$H,$A39)</f>
        <v>0</v>
      </c>
      <c r="AG39" s="1">
        <f>SUMIFS('フォームの回答 1'!$E:$E,'フォームの回答 1'!$B:$B,AG38,'フォームの回答 1'!$H:$H,$A39)</f>
        <v>0</v>
      </c>
    </row>
    <row r="40" spans="1:36" ht="15.75" customHeight="1">
      <c r="A40" s="2" t="s">
        <v>35</v>
      </c>
      <c r="B40" s="1">
        <f>SUM(C40:AG40)</f>
        <v>386999</v>
      </c>
      <c r="C40" s="1">
        <f>SUMIFS('フォームの回答 1'!$E:$E,'フォームの回答 1'!$B:$B,C38,'フォームの回答 1'!$H:$H,$A40,'フォームの回答 1'!$F:$F,"Cash")</f>
        <v>6990</v>
      </c>
      <c r="D40" s="1">
        <f>SUMIFS('フォームの回答 1'!$E:$E,'フォームの回答 1'!$B:$B,D38,'フォームの回答 1'!$H:$H,$A40,'フォームの回答 1'!$F:$F,"Cash")</f>
        <v>1995</v>
      </c>
      <c r="E40" s="1">
        <f>SUMIFS('フォームの回答 1'!$E:$E,'フォームの回答 1'!$B:$B,E38,'フォームの回答 1'!$H:$H,$A40,'フォームの回答 1'!$F:$F,"Cash")</f>
        <v>382</v>
      </c>
      <c r="F40" s="1">
        <f>SUMIFS('フォームの回答 1'!$E:$E,'フォームの回答 1'!$B:$B,F38,'フォームの回答 1'!$H:$H,$A40,'フォームの回答 1'!$F:$F,"Cash")</f>
        <v>1260</v>
      </c>
      <c r="G40" s="1">
        <f>SUMIFS('フォームの回答 1'!$E:$E,'フォームの回答 1'!$B:$B,G38,'フォームの回答 1'!$H:$H,$A40,'フォームの回答 1'!$F:$F,"Cash")</f>
        <v>2700</v>
      </c>
      <c r="H40" s="1">
        <f>SUMIFS('フォームの回答 1'!$E:$E,'フォームの回答 1'!$B:$B,H38,'フォームの回答 1'!$H:$H,$A40,'フォームの回答 1'!$F:$F,"Cash")</f>
        <v>5180</v>
      </c>
      <c r="I40" s="1">
        <f>SUMIFS('フォームの回答 1'!$E:$E,'フォームの回答 1'!$B:$B,I38,'フォームの回答 1'!$H:$H,$A40,'フォームの回答 1'!$F:$F,"Cash")</f>
        <v>4300</v>
      </c>
      <c r="J40" s="1">
        <f>SUMIFS('フォームの回答 1'!$E:$E,'フォームの回答 1'!$B:$B,J38,'フォームの回答 1'!$H:$H,$A40,'フォームの回答 1'!$F:$F,"Cash")</f>
        <v>0</v>
      </c>
      <c r="K40" s="1">
        <f>SUMIFS('フォームの回答 1'!$E:$E,'フォームの回答 1'!$B:$B,K38,'フォームの回答 1'!$H:$H,$A40,'フォームの回答 1'!$F:$F,"Cash")</f>
        <v>220</v>
      </c>
      <c r="L40" s="1">
        <f>SUMIFS('フォームの回答 1'!$E:$E,'フォームの回答 1'!$B:$B,L38,'フォームの回答 1'!$H:$H,$A40,'フォームの回答 1'!$F:$F,"Cash")</f>
        <v>138</v>
      </c>
      <c r="M40" s="1">
        <f>SUMIFS('フォームの回答 1'!$E:$E,'フォームの回答 1'!$B:$B,M38,'フォームの回答 1'!$H:$H,$A40,'フォームの回答 1'!$F:$F,"Cash")</f>
        <v>440</v>
      </c>
      <c r="N40" s="1">
        <f>SUMIFS('フォームの回答 1'!$E:$E,'フォームの回答 1'!$B:$B,N38,'フォームの回答 1'!$H:$H,$A40,'フォームの回答 1'!$F:$F,"Cash")</f>
        <v>0</v>
      </c>
      <c r="O40" s="1">
        <f>SUMIFS('フォームの回答 1'!$E:$E,'フォームの回答 1'!$B:$B,O38,'フォームの回答 1'!$H:$H,$A40,'フォームの回答 1'!$F:$F,"Cash")</f>
        <v>11692</v>
      </c>
      <c r="P40" s="1">
        <f>SUMIFS('フォームの回答 1'!$E:$E,'フォームの回答 1'!$B:$B,P38,'フォームの回答 1'!$H:$H,$A40,'フォームの回答 1'!$F:$F,"Cash")</f>
        <v>876</v>
      </c>
      <c r="Q40" s="1">
        <f>SUMIFS('フォームの回答 1'!$E:$E,'フォームの回答 1'!$B:$B,Q38,'フォームの回答 1'!$H:$H,$A40,'フォームの回答 1'!$F:$F,"Cash")</f>
        <v>7688</v>
      </c>
      <c r="R40" s="1">
        <f>SUMIFS('フォームの回答 1'!$E:$E,'フォームの回答 1'!$B:$B,R38,'フォームの回答 1'!$H:$H,$A40,'フォームの回答 1'!$F:$F,"Cash")</f>
        <v>478</v>
      </c>
      <c r="S40" s="1">
        <f>SUMIFS('フォームの回答 1'!$E:$E,'フォームの回答 1'!$B:$B,S38,'フォームの回答 1'!$H:$H,$A40,'フォームの回答 1'!$F:$F,"Cash")</f>
        <v>498</v>
      </c>
      <c r="T40" s="1">
        <f>SUMIFS('フォームの回答 1'!$E:$E,'フォームの回答 1'!$B:$B,T38,'フォームの回答 1'!$H:$H,$A40,'フォームの回答 1'!$F:$F,"Cash")</f>
        <v>1400</v>
      </c>
      <c r="U40" s="1">
        <f>SUMIFS('フォームの回答 1'!$E:$E,'フォームの回答 1'!$B:$B,U38,'フォームの回答 1'!$H:$H,$A40,'フォームの回答 1'!$F:$F,"Cash")</f>
        <v>1739</v>
      </c>
      <c r="V40" s="1">
        <f>SUMIFS('フォームの回答 1'!$E:$E,'フォームの回答 1'!$B:$B,V38,'フォームの回答 1'!$H:$H,$A40,'フォームの回答 1'!$F:$F,"Cash")</f>
        <v>2666</v>
      </c>
      <c r="W40" s="1">
        <f>SUMIFS('フォームの回答 1'!$E:$E,'フォームの回答 1'!$B:$B,W38,'フォームの回答 1'!$H:$H,$A40,'フォームの回答 1'!$F:$F,"Cash")</f>
        <v>13568</v>
      </c>
      <c r="X40" s="1">
        <f>SUMIFS('フォームの回答 1'!$E:$E,'フォームの回答 1'!$B:$B,X38,'フォームの回答 1'!$H:$H,$A40,'フォームの回答 1'!$F:$F,"Cash")</f>
        <v>1568</v>
      </c>
      <c r="Y40" s="1">
        <f>SUMIFS('フォームの回答 1'!$E:$E,'フォームの回答 1'!$B:$B,Y38,'フォームの回答 1'!$H:$H,$A40,'フォームの回答 1'!$F:$F,"Cash")</f>
        <v>0</v>
      </c>
      <c r="Z40" s="1">
        <f>SUMIFS('フォームの回答 1'!$E:$E,'フォームの回答 1'!$B:$B,Z38,'フォームの回答 1'!$H:$H,$A40,'フォームの回答 1'!$F:$F,"Cash")</f>
        <v>3975</v>
      </c>
      <c r="AA40" s="1">
        <f>SUMIFS('フォームの回答 1'!$E:$E,'フォームの回答 1'!$B:$B,AA38,'フォームの回答 1'!$H:$H,$A40,'フォームの回答 1'!$F:$F,"Cash")</f>
        <v>306</v>
      </c>
      <c r="AB40" s="1">
        <f>SUMIFS('フォームの回答 1'!$E:$E,'フォームの回答 1'!$B:$B,AB38,'フォームの回答 1'!$H:$H,$A40,'フォームの回答 1'!$F:$F,"Cash")</f>
        <v>179138</v>
      </c>
      <c r="AC40" s="1">
        <f>SUMIFS('フォームの回答 1'!$E:$E,'フォームの回答 1'!$B:$B,AC38,'フォームの回答 1'!$H:$H,$A40,'フォームの回答 1'!$F:$F,"Cash")+AI38</f>
        <v>134382</v>
      </c>
      <c r="AD40" s="1">
        <f>SUMIFS('フォームの回答 1'!$E:$E,'フォームの回答 1'!$B:$B,AD38,'フォームの回答 1'!$H:$H,$A40,'フォームの回答 1'!$F:$F,"Cash")</f>
        <v>1800</v>
      </c>
      <c r="AE40" s="1">
        <f>SUMIFS('フォームの回答 1'!$E:$E,'フォームの回答 1'!$B:$B,AE38,'フォームの回答 1'!$H:$H,$A40,'フォームの回答 1'!$F:$F,"Cash")</f>
        <v>0</v>
      </c>
      <c r="AF40" s="1">
        <f>SUMIFS('フォームの回答 1'!$E:$E,'フォームの回答 1'!$B:$B,AF38,'フォームの回答 1'!$H:$H,$A40,'フォームの回答 1'!$F:$F,"Cash")</f>
        <v>1620</v>
      </c>
      <c r="AG40" s="1">
        <f>SUMIFS('フォームの回答 1'!$E:$E,'フォームの回答 1'!$B:$B,AG38,'フォームの回答 1'!$H:$H,$A40,'フォームの回答 1'!$F:$F,"Cash")</f>
        <v>0</v>
      </c>
    </row>
    <row r="41" spans="1:36" ht="15.75" customHeight="1">
      <c r="A41" s="2" t="s">
        <v>32</v>
      </c>
      <c r="C41" s="1">
        <f>AF35+C39-C40</f>
        <v>35980</v>
      </c>
      <c r="D41" s="1">
        <f t="shared" ref="D41:AG41" si="6">C41+D39-D40</f>
        <v>33985</v>
      </c>
      <c r="E41" s="1">
        <f t="shared" si="6"/>
        <v>33603</v>
      </c>
      <c r="F41" s="1">
        <f t="shared" si="6"/>
        <v>37323</v>
      </c>
      <c r="G41" s="1">
        <f t="shared" si="6"/>
        <v>34623</v>
      </c>
      <c r="H41" s="1">
        <f t="shared" si="6"/>
        <v>29443</v>
      </c>
      <c r="I41" s="1">
        <f t="shared" si="6"/>
        <v>25143</v>
      </c>
      <c r="J41" s="1">
        <f t="shared" si="6"/>
        <v>25143</v>
      </c>
      <c r="K41" s="1">
        <f t="shared" si="6"/>
        <v>24923</v>
      </c>
      <c r="L41" s="1">
        <f t="shared" si="6"/>
        <v>24785</v>
      </c>
      <c r="M41" s="1">
        <f t="shared" si="6"/>
        <v>24345</v>
      </c>
      <c r="N41" s="1">
        <f t="shared" si="6"/>
        <v>24345</v>
      </c>
      <c r="O41" s="1">
        <f t="shared" si="6"/>
        <v>13653</v>
      </c>
      <c r="P41" s="1">
        <f t="shared" si="6"/>
        <v>42777</v>
      </c>
      <c r="Q41" s="1">
        <f t="shared" si="6"/>
        <v>35089</v>
      </c>
      <c r="R41" s="1">
        <f t="shared" si="6"/>
        <v>34611</v>
      </c>
      <c r="S41" s="1">
        <f t="shared" si="6"/>
        <v>34113</v>
      </c>
      <c r="T41" s="1">
        <f t="shared" si="6"/>
        <v>32713</v>
      </c>
      <c r="U41" s="1">
        <f t="shared" si="6"/>
        <v>30974</v>
      </c>
      <c r="V41" s="1">
        <f t="shared" si="6"/>
        <v>35308</v>
      </c>
      <c r="W41" s="1">
        <f t="shared" si="6"/>
        <v>21740</v>
      </c>
      <c r="X41" s="1">
        <f t="shared" si="6"/>
        <v>20172</v>
      </c>
      <c r="Y41" s="1">
        <f t="shared" si="6"/>
        <v>20172</v>
      </c>
      <c r="Z41" s="1">
        <f t="shared" si="6"/>
        <v>16197</v>
      </c>
      <c r="AA41" s="1">
        <f t="shared" si="6"/>
        <v>357411</v>
      </c>
      <c r="AB41" s="1">
        <f t="shared" si="6"/>
        <v>178273</v>
      </c>
      <c r="AC41" s="1">
        <f t="shared" si="6"/>
        <v>43891</v>
      </c>
      <c r="AD41" s="1">
        <f t="shared" si="6"/>
        <v>42091</v>
      </c>
      <c r="AE41" s="1">
        <f t="shared" si="6"/>
        <v>42091</v>
      </c>
      <c r="AF41" s="1">
        <f t="shared" si="6"/>
        <v>40471</v>
      </c>
      <c r="AG41" s="1">
        <f t="shared" si="6"/>
        <v>40471</v>
      </c>
    </row>
    <row r="43" spans="1:36" ht="15.75" customHeight="1">
      <c r="B43" s="20" t="s">
        <v>68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I43" s="2" t="s">
        <v>69</v>
      </c>
      <c r="AJ43" s="1"/>
    </row>
    <row r="44" spans="1:36" ht="15.75" customHeight="1">
      <c r="B44" s="2" t="s">
        <v>29</v>
      </c>
      <c r="C44" s="11">
        <v>45505</v>
      </c>
      <c r="D44" s="11">
        <v>45506</v>
      </c>
      <c r="E44" s="11">
        <v>45507</v>
      </c>
      <c r="F44" s="11">
        <v>45508</v>
      </c>
      <c r="G44" s="11">
        <v>45509</v>
      </c>
      <c r="H44" s="11">
        <v>45510</v>
      </c>
      <c r="I44" s="11">
        <v>45511</v>
      </c>
      <c r="J44" s="11">
        <v>45512</v>
      </c>
      <c r="K44" s="11">
        <v>45513</v>
      </c>
      <c r="L44" s="11">
        <v>45514</v>
      </c>
      <c r="M44" s="11">
        <v>45515</v>
      </c>
      <c r="N44" s="11">
        <v>45516</v>
      </c>
      <c r="O44" s="11">
        <v>45517</v>
      </c>
      <c r="P44" s="11">
        <v>45518</v>
      </c>
      <c r="Q44" s="11">
        <v>45519</v>
      </c>
      <c r="R44" s="11">
        <v>45520</v>
      </c>
      <c r="S44" s="11">
        <v>45521</v>
      </c>
      <c r="T44" s="11">
        <v>45522</v>
      </c>
      <c r="U44" s="11">
        <v>45523</v>
      </c>
      <c r="V44" s="11">
        <v>45524</v>
      </c>
      <c r="W44" s="11">
        <v>45525</v>
      </c>
      <c r="X44" s="11">
        <v>45526</v>
      </c>
      <c r="Y44" s="11">
        <v>45527</v>
      </c>
      <c r="Z44" s="11">
        <v>45528</v>
      </c>
      <c r="AA44" s="11">
        <v>45529</v>
      </c>
      <c r="AB44" s="11">
        <v>45530</v>
      </c>
      <c r="AC44" s="11">
        <v>45531</v>
      </c>
      <c r="AD44" s="11">
        <v>45532</v>
      </c>
      <c r="AE44" s="11">
        <v>45533</v>
      </c>
      <c r="AF44" s="11">
        <v>45534</v>
      </c>
      <c r="AG44" s="11">
        <v>45535</v>
      </c>
      <c r="AI44" s="13">
        <v>112151</v>
      </c>
    </row>
    <row r="45" spans="1:36" ht="15.75" customHeight="1">
      <c r="A45" s="2" t="s">
        <v>34</v>
      </c>
      <c r="B45" s="1">
        <f>SUM(V45:AG45)</f>
        <v>344837</v>
      </c>
      <c r="C45" s="1">
        <f>SUMIFS('フォームの回答 1'!$E:$E,'フォームの回答 1'!$B:$B,C44,'フォームの回答 1'!$H:$H,$A45)</f>
        <v>0</v>
      </c>
      <c r="D45" s="1">
        <f>SUMIFS('フォームの回答 1'!$E:$E,'フォームの回答 1'!$B:$B,D44,'フォームの回答 1'!$H:$H,$A45)</f>
        <v>0</v>
      </c>
      <c r="E45" s="1">
        <f>SUMIFS('フォームの回答 1'!$E:$E,'フォームの回答 1'!$B:$B,E44,'フォームの回答 1'!$H:$H,$A45)</f>
        <v>0</v>
      </c>
      <c r="F45" s="1">
        <f>SUMIFS('フォームの回答 1'!$E:$E,'フォームの回答 1'!$B:$B,F44,'フォームの回答 1'!$H:$H,$A45)</f>
        <v>0</v>
      </c>
      <c r="G45" s="1">
        <f>SUMIFS('フォームの回答 1'!$E:$E,'フォームの回答 1'!$B:$B,G44,'フォームの回答 1'!$H:$H,$A45)</f>
        <v>0</v>
      </c>
      <c r="H45" s="1">
        <f>SUMIFS('フォームの回答 1'!$E:$E,'フォームの回答 1'!$B:$B,H44,'フォームの回答 1'!$H:$H,$A45)</f>
        <v>17965</v>
      </c>
      <c r="I45" s="1">
        <f>SUMIFS('フォームの回答 1'!$E:$E,'フォームの回答 1'!$B:$B,I44,'フォームの回答 1'!$H:$H,$A45)</f>
        <v>0</v>
      </c>
      <c r="J45" s="1">
        <f>SUMIFS('フォームの回答 1'!$E:$E,'フォームの回答 1'!$B:$B,J44,'フォームの回答 1'!$H:$H,$A45)</f>
        <v>0</v>
      </c>
      <c r="K45" s="1">
        <f>SUMIFS('フォームの回答 1'!$E:$E,'フォームの回答 1'!$B:$B,K44,'フォームの回答 1'!$H:$H,$A45)</f>
        <v>0</v>
      </c>
      <c r="L45" s="1">
        <f>SUMIFS('フォームの回答 1'!$E:$E,'フォームの回答 1'!$B:$B,L44,'フォームの回答 1'!$H:$H,$A45)</f>
        <v>0</v>
      </c>
      <c r="M45" s="1">
        <f>SUMIFS('フォームの回答 1'!$E:$E,'フォームの回答 1'!$B:$B,M44,'フォームの回答 1'!$H:$H,$A45)</f>
        <v>0</v>
      </c>
      <c r="N45" s="1">
        <f>SUMIFS('フォームの回答 1'!$E:$E,'フォームの回答 1'!$B:$B,N44,'フォームの回答 1'!$H:$H,$A45)</f>
        <v>0</v>
      </c>
      <c r="O45" s="1">
        <f>SUMIFS('フォームの回答 1'!$E:$E,'フォームの回答 1'!$B:$B,O44,'フォームの回答 1'!$H:$H,$A45)</f>
        <v>0</v>
      </c>
      <c r="P45" s="1">
        <f>SUMIFS('フォームの回答 1'!$E:$E,'フォームの回答 1'!$B:$B,P44,'フォームの回答 1'!$H:$H,$A45)</f>
        <v>0</v>
      </c>
      <c r="Q45" s="1">
        <f>SUMIFS('フォームの回答 1'!$E:$E,'フォームの回答 1'!$B:$B,Q44,'フォームの回答 1'!$H:$H,$A45)</f>
        <v>0</v>
      </c>
      <c r="R45" s="1">
        <f>SUMIFS('フォームの回答 1'!$E:$E,'フォームの回答 1'!$B:$B,R44,'フォームの回答 1'!$H:$H,$A45)</f>
        <v>0</v>
      </c>
      <c r="S45" s="1">
        <f>SUMIFS('フォームの回答 1'!$E:$E,'フォームの回答 1'!$B:$B,S44,'フォームの回答 1'!$H:$H,$A45)</f>
        <v>0</v>
      </c>
      <c r="T45" s="1">
        <f>SUMIFS('フォームの回答 1'!$E:$E,'フォームの回答 1'!$B:$B,T44,'フォームの回答 1'!$H:$H,$A45)</f>
        <v>0</v>
      </c>
      <c r="U45" s="1">
        <f>SUMIFS('フォームの回答 1'!$E:$E,'フォームの回答 1'!$B:$B,U44,'フォームの回答 1'!$H:$H,$A45)</f>
        <v>0</v>
      </c>
      <c r="V45" s="1">
        <f>SUMIFS('フォームの回答 1'!$E:$E,'フォームの回答 1'!$B:$B,V44,'フォームの回答 1'!$H:$H,$A45)</f>
        <v>0</v>
      </c>
      <c r="W45" s="1">
        <f>SUMIFS('フォームの回答 1'!$E:$E,'フォームの回答 1'!$B:$B,W44,'フォームの回答 1'!$H:$H,$A45)</f>
        <v>0</v>
      </c>
      <c r="X45" s="1">
        <f>SUMIFS('フォームの回答 1'!$E:$E,'フォームの回答 1'!$B:$B,X44,'フォームの回答 1'!$H:$H,$A45)</f>
        <v>0</v>
      </c>
      <c r="Y45" s="1">
        <f>SUMIFS('フォームの回答 1'!$E:$E,'フォームの回答 1'!$B:$B,Y44,'フォームの回答 1'!$H:$H,$A45)</f>
        <v>344837</v>
      </c>
      <c r="Z45" s="1">
        <f>SUMIFS('フォームの回答 1'!$E:$E,'フォームの回答 1'!$B:$B,Z44,'フォームの回答 1'!$H:$H,$A45)</f>
        <v>0</v>
      </c>
      <c r="AA45" s="1">
        <f>SUMIFS('フォームの回答 1'!$E:$E,'フォームの回答 1'!$B:$B,AA44,'フォームの回答 1'!$H:$H,$A45)+AJ36</f>
        <v>0</v>
      </c>
      <c r="AB45" s="1">
        <f>SUMIFS('フォームの回答 1'!$E:$E,'フォームの回答 1'!$B:$B,AB44,'フォームの回答 1'!$H:$H,$A45)</f>
        <v>0</v>
      </c>
      <c r="AC45" s="1">
        <f>SUMIFS('フォームの回答 1'!$E:$E,'フォームの回答 1'!$B:$B,AC44,'フォームの回答 1'!$H:$H,$A45)</f>
        <v>0</v>
      </c>
      <c r="AD45" s="1">
        <f>SUMIFS('フォームの回答 1'!$E:$E,'フォームの回答 1'!$B:$B,AD44,'フォームの回答 1'!$H:$H,$A45)</f>
        <v>0</v>
      </c>
      <c r="AE45" s="1">
        <f>SUMIFS('フォームの回答 1'!$E:$E,'フォームの回答 1'!$B:$B,AE44,'フォームの回答 1'!$H:$H,$A45)</f>
        <v>0</v>
      </c>
      <c r="AF45" s="1">
        <f>SUMIFS('フォームの回答 1'!$E:$E,'フォームの回答 1'!$B:$B,AF44,'フォームの回答 1'!$H:$H,$A45)</f>
        <v>0</v>
      </c>
      <c r="AG45" s="1">
        <f>SUMIFS('フォームの回答 1'!$E:$E,'フォームの回答 1'!$B:$B,AG44,'フォームの回答 1'!$H:$H,$A45)</f>
        <v>0</v>
      </c>
    </row>
    <row r="46" spans="1:36" ht="13">
      <c r="A46" s="2" t="s">
        <v>35</v>
      </c>
      <c r="B46" s="1">
        <f>SUM(C46:AG46)</f>
        <v>356517</v>
      </c>
      <c r="C46" s="1">
        <f>SUMIFS('フォームの回答 1'!$E:$E,'フォームの回答 1'!$B:$B,C44,'フォームの回答 1'!$H:$H,$A46,'フォームの回答 1'!$F:$F,"Cash")</f>
        <v>0</v>
      </c>
      <c r="D46" s="1">
        <f>SUMIFS('フォームの回答 1'!$E:$E,'フォームの回答 1'!$B:$B,D44,'フォームの回答 1'!$H:$H,$A46,'フォームの回答 1'!$F:$F,"Cash")</f>
        <v>1259</v>
      </c>
      <c r="E46" s="1">
        <f>SUMIFS('フォームの回答 1'!$E:$E,'フォームの回答 1'!$B:$B,E44,'フォームの回答 1'!$H:$H,$A46,'フォームの回答 1'!$F:$F,"Cash")</f>
        <v>4022</v>
      </c>
      <c r="F46" s="1">
        <f>SUMIFS('フォームの回答 1'!$E:$E,'フォームの回答 1'!$B:$B,F44,'フォームの回答 1'!$H:$H,$A46,'フォームの回答 1'!$F:$F,"Cash")</f>
        <v>6593</v>
      </c>
      <c r="G46" s="1">
        <f>SUMIFS('フォームの回答 1'!$E:$E,'フォームの回答 1'!$B:$B,G44,'フォームの回答 1'!$H:$H,$A46,'フォームの回答 1'!$F:$F,"Cash")</f>
        <v>322</v>
      </c>
      <c r="H46" s="1">
        <f>SUMIFS('フォームの回答 1'!$E:$E,'フォームの回答 1'!$B:$B,H44,'フォームの回答 1'!$H:$H,$A46,'フォームの回答 1'!$F:$F,"Cash")</f>
        <v>138</v>
      </c>
      <c r="I46" s="1">
        <f>SUMIFS('フォームの回答 1'!$E:$E,'フォームの回答 1'!$B:$B,I44,'フォームの回答 1'!$H:$H,$A46,'フォームの回答 1'!$F:$F,"Cash")</f>
        <v>0</v>
      </c>
      <c r="J46" s="1">
        <f>SUMIFS('フォームの回答 1'!$E:$E,'フォームの回答 1'!$B:$B,J44,'フォームの回答 1'!$H:$H,$A46,'フォームの回答 1'!$F:$F,"Cash")</f>
        <v>1750</v>
      </c>
      <c r="K46" s="1">
        <f>SUMIFS('フォームの回答 1'!$E:$E,'フォームの回答 1'!$B:$B,K44,'フォームの回答 1'!$H:$H,$A46,'フォームの回答 1'!$F:$F,"Cash")</f>
        <v>4940</v>
      </c>
      <c r="L46" s="1">
        <f>SUMIFS('フォームの回答 1'!$E:$E,'フォームの回答 1'!$B:$B,L44,'フォームの回答 1'!$H:$H,$A46,'フォームの回答 1'!$F:$F,"Cash")</f>
        <v>4308</v>
      </c>
      <c r="M46" s="1">
        <f>SUMIFS('フォームの回答 1'!$E:$E,'フォームの回答 1'!$B:$B,M44,'フォームの回答 1'!$H:$H,$A46,'フォームの回答 1'!$F:$F,"Cash")</f>
        <v>2500</v>
      </c>
      <c r="N46" s="1">
        <f>SUMIFS('フォームの回答 1'!$E:$E,'フォームの回答 1'!$B:$B,N44,'フォームの回答 1'!$H:$H,$A46,'フォームの回答 1'!$F:$F,"Cash")</f>
        <v>924</v>
      </c>
      <c r="O46" s="1">
        <f>SUMIFS('フォームの回答 1'!$E:$E,'フォームの回答 1'!$B:$B,O44,'フォームの回答 1'!$H:$H,$A46,'フォームの回答 1'!$F:$F,"Cash")</f>
        <v>6162</v>
      </c>
      <c r="P46" s="1">
        <f>SUMIFS('フォームの回答 1'!$E:$E,'フォームの回答 1'!$B:$B,P44,'フォームの回答 1'!$H:$H,$A46,'フォームの回答 1'!$F:$F,"Cash")</f>
        <v>702</v>
      </c>
      <c r="Q46" s="1">
        <f>SUMIFS('フォームの回答 1'!$E:$E,'フォームの回答 1'!$B:$B,Q44,'フォームの回答 1'!$H:$H,$A46,'フォームの回答 1'!$F:$F,"Cash")</f>
        <v>5500</v>
      </c>
      <c r="R46" s="1">
        <f>SUMIFS('フォームの回答 1'!$E:$E,'フォームの回答 1'!$B:$B,R44,'フォームの回答 1'!$H:$H,$A46,'フォームの回答 1'!$F:$F,"Cash")</f>
        <v>0</v>
      </c>
      <c r="S46" s="1">
        <f>SUMIFS('フォームの回答 1'!$E:$E,'フォームの回答 1'!$B:$B,S44,'フォームの回答 1'!$H:$H,$A46,'フォームの回答 1'!$F:$F,"Cash")</f>
        <v>1603</v>
      </c>
      <c r="T46" s="1">
        <f>SUMIFS('フォームの回答 1'!$E:$E,'フォームの回答 1'!$B:$B,T44,'フォームの回答 1'!$H:$H,$A46,'フォームの回答 1'!$F:$F,"Cash")</f>
        <v>3446</v>
      </c>
      <c r="U46" s="1">
        <f>SUMIFS('フォームの回答 1'!$E:$E,'フォームの回答 1'!$B:$B,U44,'フォームの回答 1'!$H:$H,$A46,'フォームの回答 1'!$F:$F,"Cash")</f>
        <v>2390</v>
      </c>
      <c r="V46" s="1">
        <f>SUMIFS('フォームの回答 1'!$E:$E,'フォームの回答 1'!$B:$B,V44,'フォームの回答 1'!$H:$H,$A46,'フォームの回答 1'!$F:$F,"Cash")</f>
        <v>0</v>
      </c>
      <c r="W46" s="1">
        <f>SUMIFS('フォームの回答 1'!$E:$E,'フォームの回答 1'!$B:$B,W44,'フォームの回答 1'!$H:$H,$A46,'フォームの回答 1'!$F:$F,"Cash")</f>
        <v>4327</v>
      </c>
      <c r="X46" s="1">
        <f>SUMIFS('フォームの回答 1'!$E:$E,'フォームの回答 1'!$B:$B,X44,'フォームの回答 1'!$H:$H,$A46,'フォームの回答 1'!$F:$F,"Cash")</f>
        <v>1520</v>
      </c>
      <c r="Y46" s="1">
        <f>SUMIFS('フォームの回答 1'!$E:$E,'フォームの回答 1'!$B:$B,Y44,'フォームの回答 1'!$H:$H,$A46,'フォームの回答 1'!$F:$F,"Cash")</f>
        <v>1401</v>
      </c>
      <c r="Z46" s="1">
        <f>SUMIFS('フォームの回答 1'!$E:$E,'フォームの回答 1'!$B:$B,Z44,'フォームの回答 1'!$H:$H,$A46,'フォームの回答 1'!$F:$F,"Cash")</f>
        <v>4081</v>
      </c>
      <c r="AA46" s="1">
        <f>SUMIFS('フォームの回答 1'!$E:$E,'フォームの回答 1'!$B:$B,AA44,'フォームの回答 1'!$H:$H,$A46,'フォームの回答 1'!$F:$F,"Cash")</f>
        <v>32380</v>
      </c>
      <c r="AB46" s="1">
        <f>SUMIFS('フォームの回答 1'!$E:$E,'フォームの回答 1'!$B:$B,AB44,'フォームの回答 1'!$H:$H,$A46,'フォームの回答 1'!$F:$F,"Cash")</f>
        <v>3786</v>
      </c>
      <c r="AC46" s="1">
        <f>SUMIFS('フォームの回答 1'!$E:$E,'フォームの回答 1'!$B:$B,AC44,'フォームの回答 1'!$H:$H,$A46,'フォームの回答 1'!$F:$F,"Cash")+AI44</f>
        <v>257221</v>
      </c>
      <c r="AD46" s="1">
        <f>SUMIFS('フォームの回答 1'!$E:$E,'フォームの回答 1'!$B:$B,AD44,'フォームの回答 1'!$H:$H,$A46,'フォームの回答 1'!$F:$F,"Cash")</f>
        <v>1892</v>
      </c>
      <c r="AE46" s="1">
        <f>SUMIFS('フォームの回答 1'!$E:$E,'フォームの回答 1'!$B:$B,AE44,'フォームの回答 1'!$H:$H,$A46,'フォームの回答 1'!$F:$F,"Cash")</f>
        <v>3350</v>
      </c>
      <c r="AF46" s="1">
        <f>SUMIFS('フォームの回答 1'!$E:$E,'フォームの回答 1'!$B:$B,AF44,'フォームの回答 1'!$H:$H,$A46,'フォームの回答 1'!$F:$F,"Cash")</f>
        <v>0</v>
      </c>
      <c r="AG46" s="1">
        <f>SUMIFS('フォームの回答 1'!$E:$E,'フォームの回答 1'!$B:$B,AG44,'フォームの回答 1'!$H:$H,$A46,'フォームの回答 1'!$F:$F,"Cash")</f>
        <v>0</v>
      </c>
    </row>
    <row r="47" spans="1:36" ht="13">
      <c r="A47" s="2" t="s">
        <v>32</v>
      </c>
      <c r="C47" s="1">
        <f>AG41+C45-C46</f>
        <v>40471</v>
      </c>
      <c r="D47" s="1">
        <f t="shared" ref="D47:AG47" si="7">C47+D45-D46</f>
        <v>39212</v>
      </c>
      <c r="E47" s="1">
        <f t="shared" si="7"/>
        <v>35190</v>
      </c>
      <c r="F47" s="1">
        <f t="shared" si="7"/>
        <v>28597</v>
      </c>
      <c r="G47" s="1">
        <f t="shared" si="7"/>
        <v>28275</v>
      </c>
      <c r="H47" s="1">
        <f t="shared" si="7"/>
        <v>46102</v>
      </c>
      <c r="I47" s="1">
        <f t="shared" si="7"/>
        <v>46102</v>
      </c>
      <c r="J47" s="1">
        <f t="shared" si="7"/>
        <v>44352</v>
      </c>
      <c r="K47" s="1">
        <f t="shared" si="7"/>
        <v>39412</v>
      </c>
      <c r="L47" s="1">
        <f t="shared" si="7"/>
        <v>35104</v>
      </c>
      <c r="M47" s="1">
        <f t="shared" si="7"/>
        <v>32604</v>
      </c>
      <c r="N47" s="1">
        <f t="shared" si="7"/>
        <v>31680</v>
      </c>
      <c r="O47" s="1">
        <f t="shared" si="7"/>
        <v>25518</v>
      </c>
      <c r="P47" s="1">
        <f t="shared" si="7"/>
        <v>24816</v>
      </c>
      <c r="Q47" s="1">
        <f t="shared" si="7"/>
        <v>19316</v>
      </c>
      <c r="R47" s="1">
        <f t="shared" si="7"/>
        <v>19316</v>
      </c>
      <c r="S47" s="1">
        <f t="shared" si="7"/>
        <v>17713</v>
      </c>
      <c r="T47" s="1">
        <f t="shared" si="7"/>
        <v>14267</v>
      </c>
      <c r="U47" s="1">
        <f t="shared" si="7"/>
        <v>11877</v>
      </c>
      <c r="V47" s="1">
        <f t="shared" si="7"/>
        <v>11877</v>
      </c>
      <c r="W47" s="1">
        <f t="shared" si="7"/>
        <v>7550</v>
      </c>
      <c r="X47" s="1">
        <f t="shared" si="7"/>
        <v>6030</v>
      </c>
      <c r="Y47" s="1">
        <f t="shared" si="7"/>
        <v>349466</v>
      </c>
      <c r="Z47" s="1">
        <f t="shared" si="7"/>
        <v>345385</v>
      </c>
      <c r="AA47" s="1">
        <f t="shared" si="7"/>
        <v>313005</v>
      </c>
      <c r="AB47" s="1">
        <f t="shared" si="7"/>
        <v>309219</v>
      </c>
      <c r="AC47" s="1">
        <f t="shared" si="7"/>
        <v>51998</v>
      </c>
      <c r="AD47" s="1">
        <f t="shared" si="7"/>
        <v>50106</v>
      </c>
      <c r="AE47" s="1">
        <f t="shared" si="7"/>
        <v>46756</v>
      </c>
      <c r="AF47" s="1">
        <f t="shared" si="7"/>
        <v>46756</v>
      </c>
      <c r="AG47" s="1">
        <f t="shared" si="7"/>
        <v>46756</v>
      </c>
    </row>
    <row r="49" spans="1:36" ht="13">
      <c r="B49" s="20" t="s">
        <v>70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12"/>
      <c r="AI49" s="2" t="s">
        <v>71</v>
      </c>
      <c r="AJ49" s="1"/>
    </row>
    <row r="50" spans="1:36" ht="13">
      <c r="B50" s="2" t="s">
        <v>29</v>
      </c>
      <c r="C50" s="11">
        <v>45536</v>
      </c>
      <c r="D50" s="11">
        <v>45537</v>
      </c>
      <c r="E50" s="11">
        <v>45538</v>
      </c>
      <c r="F50" s="11">
        <v>45539</v>
      </c>
      <c r="G50" s="11">
        <v>45540</v>
      </c>
      <c r="H50" s="11">
        <v>45541</v>
      </c>
      <c r="I50" s="11">
        <v>45542</v>
      </c>
      <c r="J50" s="11">
        <v>45543</v>
      </c>
      <c r="K50" s="11">
        <v>45544</v>
      </c>
      <c r="L50" s="11">
        <v>45545</v>
      </c>
      <c r="M50" s="11">
        <v>45546</v>
      </c>
      <c r="N50" s="11">
        <v>45547</v>
      </c>
      <c r="O50" s="11">
        <v>45548</v>
      </c>
      <c r="P50" s="11">
        <v>45549</v>
      </c>
      <c r="Q50" s="11">
        <v>45550</v>
      </c>
      <c r="R50" s="11">
        <v>45551</v>
      </c>
      <c r="S50" s="11">
        <v>45552</v>
      </c>
      <c r="T50" s="11">
        <v>45553</v>
      </c>
      <c r="U50" s="11">
        <v>45554</v>
      </c>
      <c r="V50" s="11">
        <v>45555</v>
      </c>
      <c r="W50" s="11">
        <v>45556</v>
      </c>
      <c r="X50" s="11">
        <v>45557</v>
      </c>
      <c r="Y50" s="11">
        <v>45558</v>
      </c>
      <c r="Z50" s="11">
        <v>45559</v>
      </c>
      <c r="AA50" s="11">
        <v>45560</v>
      </c>
      <c r="AB50" s="11">
        <v>45561</v>
      </c>
      <c r="AC50" s="11">
        <v>45562</v>
      </c>
      <c r="AD50" s="11">
        <v>45563</v>
      </c>
      <c r="AE50" s="11">
        <v>45564</v>
      </c>
      <c r="AF50" s="11">
        <v>45565</v>
      </c>
      <c r="AG50" s="11"/>
      <c r="AI50" s="13">
        <v>139210</v>
      </c>
    </row>
    <row r="51" spans="1:36" ht="13">
      <c r="A51" s="2" t="s">
        <v>34</v>
      </c>
      <c r="B51" s="1">
        <f>SUM(V51:AG51)</f>
        <v>390997</v>
      </c>
      <c r="C51" s="1">
        <f>SUMIFS('フォームの回答 1'!$E:$E,'フォームの回答 1'!$B:$B,C50,'フォームの回答 1'!$H:$H,$A51)</f>
        <v>0</v>
      </c>
      <c r="D51" s="1">
        <f>SUMIFS('フォームの回答 1'!$E:$E,'フォームの回答 1'!$B:$B,D50,'フォームの回答 1'!$H:$H,$A51)</f>
        <v>0</v>
      </c>
      <c r="E51" s="1">
        <f>SUMIFS('フォームの回答 1'!$E:$E,'フォームの回答 1'!$B:$B,E50,'フォームの回答 1'!$H:$H,$A51)</f>
        <v>0</v>
      </c>
      <c r="F51" s="1">
        <f>SUMIFS('フォームの回答 1'!$E:$E,'フォームの回答 1'!$B:$B,F50,'フォームの回答 1'!$H:$H,$A51)</f>
        <v>11080</v>
      </c>
      <c r="G51" s="1">
        <f>SUMIFS('フォームの回答 1'!$E:$E,'フォームの回答 1'!$B:$B,G50,'フォームの回答 1'!$H:$H,$A51)</f>
        <v>0</v>
      </c>
      <c r="H51" s="1">
        <f>SUMIFS('フォームの回答 1'!$E:$E,'フォームの回答 1'!$B:$B,H50,'フォームの回答 1'!$H:$H,$A51)</f>
        <v>0</v>
      </c>
      <c r="I51" s="1">
        <f>SUMIFS('フォームの回答 1'!$E:$E,'フォームの回答 1'!$B:$B,I50,'フォームの回答 1'!$H:$H,$A51)</f>
        <v>0</v>
      </c>
      <c r="J51" s="1">
        <f>SUMIFS('フォームの回答 1'!$E:$E,'フォームの回答 1'!$B:$B,J50,'フォームの回答 1'!$H:$H,$A51)</f>
        <v>0</v>
      </c>
      <c r="K51" s="1">
        <f>SUMIFS('フォームの回答 1'!$E:$E,'フォームの回答 1'!$B:$B,K50,'フォームの回答 1'!$H:$H,$A51)</f>
        <v>0</v>
      </c>
      <c r="L51" s="1">
        <f>SUMIFS('フォームの回答 1'!$E:$E,'フォームの回答 1'!$B:$B,L50,'フォームの回答 1'!$H:$H,$A51)</f>
        <v>0</v>
      </c>
      <c r="M51" s="1">
        <f>SUMIFS('フォームの回答 1'!$E:$E,'フォームの回答 1'!$B:$B,M50,'フォームの回答 1'!$H:$H,$A51)</f>
        <v>0</v>
      </c>
      <c r="N51" s="1">
        <f>SUMIFS('フォームの回答 1'!$E:$E,'フォームの回答 1'!$B:$B,N50,'フォームの回答 1'!$H:$H,$A51)</f>
        <v>0</v>
      </c>
      <c r="O51" s="1">
        <f>SUMIFS('フォームの回答 1'!$E:$E,'フォームの回答 1'!$B:$B,O50,'フォームの回答 1'!$H:$H,$A51)</f>
        <v>0</v>
      </c>
      <c r="P51" s="1">
        <f>SUMIFS('フォームの回答 1'!$E:$E,'フォームの回答 1'!$B:$B,P50,'フォームの回答 1'!$H:$H,$A51)</f>
        <v>0</v>
      </c>
      <c r="Q51" s="1">
        <f>SUMIFS('フォームの回答 1'!$E:$E,'フォームの回答 1'!$B:$B,Q50,'フォームの回答 1'!$H:$H,$A51)</f>
        <v>0</v>
      </c>
      <c r="R51" s="1">
        <f>SUMIFS('フォームの回答 1'!$E:$E,'フォームの回答 1'!$B:$B,R50,'フォームの回答 1'!$H:$H,$A51)</f>
        <v>0</v>
      </c>
      <c r="S51" s="1">
        <f>SUMIFS('フォームの回答 1'!$E:$E,'フォームの回答 1'!$B:$B,S50,'フォームの回答 1'!$H:$H,$A51)</f>
        <v>0</v>
      </c>
      <c r="T51" s="1">
        <f>SUMIFS('フォームの回答 1'!$E:$E,'フォームの回答 1'!$B:$B,T50,'フォームの回答 1'!$H:$H,$A51)</f>
        <v>0</v>
      </c>
      <c r="U51" s="1">
        <f>SUMIFS('フォームの回答 1'!$E:$E,'フォームの回答 1'!$B:$B,U50,'フォームの回答 1'!$H:$H,$A51)</f>
        <v>0</v>
      </c>
      <c r="V51" s="1">
        <f>SUMIFS('フォームの回答 1'!$E:$E,'フォームの回答 1'!$B:$B,V50,'フォームの回答 1'!$H:$H,$A51)</f>
        <v>0</v>
      </c>
      <c r="W51" s="1">
        <f>SUMIFS('フォームの回答 1'!$E:$E,'フォームの回答 1'!$B:$B,W50,'フォームの回答 1'!$H:$H,$A51)</f>
        <v>0</v>
      </c>
      <c r="X51" s="1">
        <f>SUMIFS('フォームの回答 1'!$E:$E,'フォームの回答 1'!$B:$B,X50,'フォームの回答 1'!$H:$H,$A51)</f>
        <v>0</v>
      </c>
      <c r="Y51" s="1">
        <f>SUMIFS('フォームの回答 1'!$E:$E,'フォームの回答 1'!$B:$B,Y50,'フォームの回答 1'!$H:$H,$A51)</f>
        <v>0</v>
      </c>
      <c r="Z51" s="1">
        <f>SUMIFS('フォームの回答 1'!$E:$E,'フォームの回答 1'!$B:$B,Z50,'フォームの回答 1'!$H:$H,$A51)</f>
        <v>0</v>
      </c>
      <c r="AA51" s="1">
        <f>SUMIFS('フォームの回答 1'!$E:$E,'フォームの回答 1'!$B:$B,AA50,'フォームの回答 1'!$H:$H,$A51)+AJ42</f>
        <v>340997</v>
      </c>
      <c r="AB51" s="1">
        <f>SUMIFS('フォームの回答 1'!$E:$E,'フォームの回答 1'!$B:$B,AB50,'フォームの回答 1'!$H:$H,$A51)</f>
        <v>0</v>
      </c>
      <c r="AC51" s="1">
        <f>SUMIFS('フォームの回答 1'!$E:$E,'フォームの回答 1'!$B:$B,AC50,'フォームの回答 1'!$H:$H,$A51)</f>
        <v>0</v>
      </c>
      <c r="AD51" s="1">
        <f>SUMIFS('フォームの回答 1'!$E:$E,'フォームの回答 1'!$B:$B,AD50,'フォームの回答 1'!$H:$H,$A51)</f>
        <v>0</v>
      </c>
      <c r="AE51" s="1">
        <f>SUMIFS('フォームの回答 1'!$E:$E,'フォームの回答 1'!$B:$B,AE50,'フォームの回答 1'!$H:$H,$A51)</f>
        <v>50000</v>
      </c>
      <c r="AF51" s="1">
        <f>SUMIFS('フォームの回答 1'!$E:$E,'フォームの回答 1'!$B:$B,AF50,'フォームの回答 1'!$H:$H,$A51)</f>
        <v>0</v>
      </c>
      <c r="AG51" s="1"/>
    </row>
    <row r="52" spans="1:36" ht="13">
      <c r="A52" s="2" t="s">
        <v>35</v>
      </c>
      <c r="B52" s="1">
        <f>SUM(C52:AG52)</f>
        <v>390731</v>
      </c>
      <c r="C52" s="1">
        <f>SUMIFS('フォームの回答 1'!$E:$E,'フォームの回答 1'!$B:$B,C50,'フォームの回答 1'!$H:$H,$A52,'フォームの回答 1'!$F:$F,"Cash")</f>
        <v>6668</v>
      </c>
      <c r="D52" s="1">
        <f>SUMIFS('フォームの回答 1'!$E:$E,'フォームの回答 1'!$B:$B,D50,'フォームの回答 1'!$H:$H,$A52,'フォームの回答 1'!$F:$F,"Cash")</f>
        <v>1620</v>
      </c>
      <c r="E52" s="1">
        <f>SUMIFS('フォームの回答 1'!$E:$E,'フォームの回答 1'!$B:$B,E50,'フォームの回答 1'!$H:$H,$A52,'フォームの回答 1'!$F:$F,"Cash")</f>
        <v>0</v>
      </c>
      <c r="F52" s="1">
        <f>SUMIFS('フォームの回答 1'!$E:$E,'フォームの回答 1'!$B:$B,F50,'フォームの回答 1'!$H:$H,$A52,'フォームの回答 1'!$F:$F,"Cash")</f>
        <v>3658</v>
      </c>
      <c r="G52" s="1">
        <f>SUMIFS('フォームの回答 1'!$E:$E,'フォームの回答 1'!$B:$B,G50,'フォームの回答 1'!$H:$H,$A52,'フォームの回答 1'!$F:$F,"Cash")</f>
        <v>370</v>
      </c>
      <c r="H52" s="1">
        <f>SUMIFS('フォームの回答 1'!$E:$E,'フォームの回答 1'!$B:$B,H50,'フォームの回答 1'!$H:$H,$A52,'フォームの回答 1'!$F:$F,"Cash")</f>
        <v>7620</v>
      </c>
      <c r="I52" s="1">
        <f>SUMIFS('フォームの回答 1'!$E:$E,'フォームの回答 1'!$B:$B,I50,'フォームの回答 1'!$H:$H,$A52,'フォームの回答 1'!$F:$F,"Cash")</f>
        <v>6677</v>
      </c>
      <c r="J52" s="1">
        <f>SUMIFS('フォームの回答 1'!$E:$E,'フォームの回答 1'!$B:$B,J50,'フォームの回答 1'!$H:$H,$A52,'フォームの回答 1'!$F:$F,"Cash")</f>
        <v>1140</v>
      </c>
      <c r="K52" s="1">
        <f>SUMIFS('フォームの回答 1'!$E:$E,'フォームの回答 1'!$B:$B,K50,'フォームの回答 1'!$H:$H,$A52,'フォームの回答 1'!$F:$F,"Cash")</f>
        <v>1000</v>
      </c>
      <c r="L52" s="1">
        <f>SUMIFS('フォームの回答 1'!$E:$E,'フォームの回答 1'!$B:$B,L50,'フォームの回答 1'!$H:$H,$A52,'フォームの回答 1'!$F:$F,"Cash")</f>
        <v>0</v>
      </c>
      <c r="M52" s="1">
        <f>SUMIFS('フォームの回答 1'!$E:$E,'フォームの回答 1'!$B:$B,M50,'フォームの回答 1'!$H:$H,$A52,'フォームの回答 1'!$F:$F,"Cash")</f>
        <v>0</v>
      </c>
      <c r="N52" s="1">
        <f>SUMIFS('フォームの回答 1'!$E:$E,'フォームの回答 1'!$B:$B,N50,'フォームの回答 1'!$H:$H,$A52,'フォームの回答 1'!$F:$F,"Cash")</f>
        <v>2088</v>
      </c>
      <c r="O52" s="1">
        <f>SUMIFS('フォームの回答 1'!$E:$E,'フォームの回答 1'!$B:$B,O50,'フォームの回答 1'!$H:$H,$A52,'フォームの回答 1'!$F:$F,"Cash")</f>
        <v>9170</v>
      </c>
      <c r="P52" s="1">
        <f>SUMIFS('フォームの回答 1'!$E:$E,'フォームの回答 1'!$B:$B,P50,'フォームの回答 1'!$H:$H,$A52,'フォームの回答 1'!$F:$F,"Cash")</f>
        <v>3078</v>
      </c>
      <c r="Q52" s="1">
        <f>SUMIFS('フォームの回答 1'!$E:$E,'フォームの回答 1'!$B:$B,Q50,'フォームの回答 1'!$H:$H,$A52,'フォームの回答 1'!$F:$F,"Cash")</f>
        <v>213</v>
      </c>
      <c r="R52" s="1">
        <f>SUMIFS('フォームの回答 1'!$E:$E,'フォームの回答 1'!$B:$B,R50,'フォームの回答 1'!$H:$H,$A52,'フォームの回答 1'!$F:$F,"Cash")</f>
        <v>981</v>
      </c>
      <c r="S52" s="1">
        <f>SUMIFS('フォームの回答 1'!$E:$E,'フォームの回答 1'!$B:$B,S50,'フォームの回答 1'!$H:$H,$A52,'フォームの回答 1'!$F:$F,"Cash")</f>
        <v>0</v>
      </c>
      <c r="T52" s="1">
        <f>SUMIFS('フォームの回答 1'!$E:$E,'フォームの回答 1'!$B:$B,T50,'フォームの回答 1'!$H:$H,$A52,'フォームの回答 1'!$F:$F,"Cash")</f>
        <v>0</v>
      </c>
      <c r="U52" s="1">
        <f>SUMIFS('フォームの回答 1'!$E:$E,'フォームの回答 1'!$B:$B,U50,'フォームの回答 1'!$H:$H,$A52,'フォームの回答 1'!$F:$F,"Cash")</f>
        <v>0</v>
      </c>
      <c r="V52" s="1">
        <f>SUMIFS('フォームの回答 1'!$E:$E,'フォームの回答 1'!$B:$B,V50,'フォームの回答 1'!$H:$H,$A52,'フォームの回答 1'!$F:$F,"Cash")</f>
        <v>0</v>
      </c>
      <c r="W52" s="1">
        <f>SUMIFS('フォームの回答 1'!$E:$E,'フォームの回答 1'!$B:$B,W50,'フォームの回答 1'!$H:$H,$A52,'フォームの回答 1'!$F:$F,"Cash")</f>
        <v>117</v>
      </c>
      <c r="X52" s="1">
        <f>SUMIFS('フォームの回答 1'!$E:$E,'フォームの回答 1'!$B:$B,X50,'フォームの回答 1'!$H:$H,$A52,'フォームの回答 1'!$F:$F,"Cash")</f>
        <v>680</v>
      </c>
      <c r="Y52" s="1">
        <f>SUMIFS('フォームの回答 1'!$E:$E,'フォームの回答 1'!$B:$B,Y50,'フォームの回答 1'!$H:$H,$A52,'フォームの回答 1'!$F:$F,"Cash")</f>
        <v>3138</v>
      </c>
      <c r="Z52" s="1">
        <f>SUMIFS('フォームの回答 1'!$E:$E,'フォームの回答 1'!$B:$B,Z50,'フォームの回答 1'!$H:$H,$A52,'フォームの回答 1'!$F:$F,"Cash")</f>
        <v>4485</v>
      </c>
      <c r="AA52" s="1">
        <f>SUMIFS('フォームの回答 1'!$E:$E,'フォームの回答 1'!$B:$B,AA50,'フォームの回答 1'!$H:$H,$A52,'フォームの回答 1'!$F:$F,"Cash")</f>
        <v>6808</v>
      </c>
      <c r="AB52" s="1">
        <f>SUMIFS('フォームの回答 1'!$E:$E,'フォームの回答 1'!$B:$B,AB50,'フォームの回答 1'!$H:$H,$A52,'フォームの回答 1'!$F:$F,"Cash")</f>
        <v>14570</v>
      </c>
      <c r="AC52" s="1">
        <f>SUMIFS('フォームの回答 1'!$E:$E,'フォームの回答 1'!$B:$B,AC50,'フォームの回答 1'!$H:$H,$A52,'フォームの回答 1'!$F:$F,"Cash")+AI50</f>
        <v>305338</v>
      </c>
      <c r="AD52" s="1">
        <f>SUMIFS('フォームの回答 1'!$E:$E,'フォームの回答 1'!$B:$B,AD50,'フォームの回答 1'!$H:$H,$A52,'フォームの回答 1'!$F:$F,"Cash")</f>
        <v>7988</v>
      </c>
      <c r="AE52" s="1">
        <f>SUMIFS('フォームの回答 1'!$E:$E,'フォームの回答 1'!$B:$B,AE50,'フォームの回答 1'!$H:$H,$A52,'フォームの回答 1'!$F:$F,"Cash")</f>
        <v>0</v>
      </c>
      <c r="AF52" s="1">
        <f>SUMIFS('フォームの回答 1'!$E:$E,'フォームの回答 1'!$B:$B,AF50,'フォームの回答 1'!$H:$H,$A52,'フォームの回答 1'!$F:$F,"Cash")</f>
        <v>3324</v>
      </c>
      <c r="AG52" s="1"/>
    </row>
    <row r="53" spans="1:36" ht="13">
      <c r="A53" s="2" t="s">
        <v>32</v>
      </c>
      <c r="C53" s="1">
        <f>AG47+C51-C52</f>
        <v>40088</v>
      </c>
      <c r="D53" s="1">
        <f t="shared" ref="D53:AF53" si="8">C53+D51-D52</f>
        <v>38468</v>
      </c>
      <c r="E53" s="1">
        <f t="shared" si="8"/>
        <v>38468</v>
      </c>
      <c r="F53" s="1">
        <f t="shared" si="8"/>
        <v>45890</v>
      </c>
      <c r="G53" s="1">
        <f t="shared" si="8"/>
        <v>45520</v>
      </c>
      <c r="H53" s="1">
        <f t="shared" si="8"/>
        <v>37900</v>
      </c>
      <c r="I53" s="1">
        <f t="shared" si="8"/>
        <v>31223</v>
      </c>
      <c r="J53" s="1">
        <f t="shared" si="8"/>
        <v>30083</v>
      </c>
      <c r="K53" s="1">
        <f t="shared" si="8"/>
        <v>29083</v>
      </c>
      <c r="L53" s="1">
        <f t="shared" si="8"/>
        <v>29083</v>
      </c>
      <c r="M53" s="1">
        <f t="shared" si="8"/>
        <v>29083</v>
      </c>
      <c r="N53" s="1">
        <f t="shared" si="8"/>
        <v>26995</v>
      </c>
      <c r="O53" s="1">
        <f t="shared" si="8"/>
        <v>17825</v>
      </c>
      <c r="P53" s="1">
        <f t="shared" si="8"/>
        <v>14747</v>
      </c>
      <c r="Q53" s="1">
        <f t="shared" si="8"/>
        <v>14534</v>
      </c>
      <c r="R53" s="1">
        <f t="shared" si="8"/>
        <v>13553</v>
      </c>
      <c r="S53" s="1">
        <f t="shared" si="8"/>
        <v>13553</v>
      </c>
      <c r="T53" s="1">
        <f t="shared" si="8"/>
        <v>13553</v>
      </c>
      <c r="U53" s="1">
        <f t="shared" si="8"/>
        <v>13553</v>
      </c>
      <c r="V53" s="1">
        <f t="shared" si="8"/>
        <v>13553</v>
      </c>
      <c r="W53" s="1">
        <f t="shared" si="8"/>
        <v>13436</v>
      </c>
      <c r="X53" s="1">
        <f t="shared" si="8"/>
        <v>12756</v>
      </c>
      <c r="Y53" s="1">
        <f t="shared" si="8"/>
        <v>9618</v>
      </c>
      <c r="Z53" s="1">
        <f t="shared" si="8"/>
        <v>5133</v>
      </c>
      <c r="AA53" s="1">
        <f t="shared" si="8"/>
        <v>339322</v>
      </c>
      <c r="AB53" s="1">
        <f t="shared" si="8"/>
        <v>324752</v>
      </c>
      <c r="AC53" s="1">
        <f t="shared" si="8"/>
        <v>19414</v>
      </c>
      <c r="AD53" s="1">
        <f t="shared" si="8"/>
        <v>11426</v>
      </c>
      <c r="AE53" s="1">
        <f t="shared" si="8"/>
        <v>61426</v>
      </c>
      <c r="AF53" s="1">
        <f t="shared" si="8"/>
        <v>58102</v>
      </c>
    </row>
    <row r="55" spans="1:36" ht="13">
      <c r="B55" s="20" t="s">
        <v>72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I55" s="2" t="s">
        <v>73</v>
      </c>
      <c r="AJ55" s="1"/>
    </row>
    <row r="56" spans="1:36" ht="13">
      <c r="B56" s="2" t="s">
        <v>29</v>
      </c>
      <c r="C56" s="11">
        <v>45566</v>
      </c>
      <c r="D56" s="11">
        <v>45567</v>
      </c>
      <c r="E56" s="11">
        <v>45568</v>
      </c>
      <c r="F56" s="11">
        <v>45569</v>
      </c>
      <c r="G56" s="11">
        <v>45570</v>
      </c>
      <c r="H56" s="11">
        <v>45571</v>
      </c>
      <c r="I56" s="11">
        <v>45572</v>
      </c>
      <c r="J56" s="11">
        <v>45573</v>
      </c>
      <c r="K56" s="11">
        <v>45574</v>
      </c>
      <c r="L56" s="11">
        <v>45575</v>
      </c>
      <c r="M56" s="11">
        <v>45576</v>
      </c>
      <c r="N56" s="11">
        <v>45577</v>
      </c>
      <c r="O56" s="11">
        <v>45578</v>
      </c>
      <c r="P56" s="11">
        <v>45579</v>
      </c>
      <c r="Q56" s="11">
        <v>45580</v>
      </c>
      <c r="R56" s="11">
        <v>45581</v>
      </c>
      <c r="S56" s="11">
        <v>45582</v>
      </c>
      <c r="T56" s="11">
        <v>45583</v>
      </c>
      <c r="U56" s="11">
        <v>45584</v>
      </c>
      <c r="V56" s="11">
        <v>45585</v>
      </c>
      <c r="W56" s="11">
        <v>45586</v>
      </c>
      <c r="X56" s="11">
        <v>45587</v>
      </c>
      <c r="Y56" s="11">
        <v>45588</v>
      </c>
      <c r="Z56" s="11">
        <v>45589</v>
      </c>
      <c r="AA56" s="11">
        <v>45590</v>
      </c>
      <c r="AB56" s="11">
        <v>45591</v>
      </c>
      <c r="AC56" s="11">
        <v>45592</v>
      </c>
      <c r="AD56" s="11">
        <v>45593</v>
      </c>
      <c r="AE56" s="11">
        <v>45594</v>
      </c>
      <c r="AF56" s="11">
        <v>45595</v>
      </c>
      <c r="AG56" s="11">
        <v>45596</v>
      </c>
      <c r="AI56" s="13">
        <v>114925</v>
      </c>
    </row>
    <row r="57" spans="1:36" ht="13">
      <c r="A57" s="2" t="s">
        <v>34</v>
      </c>
      <c r="B57" s="1">
        <f>SUM(V57:AG57)</f>
        <v>349297</v>
      </c>
      <c r="C57" s="1">
        <f>SUMIFS('フォームの回答 1'!$E:$E,'フォームの回答 1'!$B:$B,C56,'フォームの回答 1'!$H:$H,$A57)</f>
        <v>0</v>
      </c>
      <c r="D57" s="1">
        <f>SUMIFS('フォームの回答 1'!$E:$E,'フォームの回答 1'!$B:$B,D56,'フォームの回答 1'!$H:$H,$A57)</f>
        <v>0</v>
      </c>
      <c r="E57" s="1">
        <f>SUMIFS('フォームの回答 1'!$E:$E,'フォームの回答 1'!$B:$B,E56,'フォームの回答 1'!$H:$H,$A57)</f>
        <v>6999</v>
      </c>
      <c r="F57" s="1">
        <f>SUMIFS('フォームの回答 1'!$E:$E,'フォームの回答 1'!$B:$B,F56,'フォームの回答 1'!$H:$H,$A57)</f>
        <v>0</v>
      </c>
      <c r="G57" s="1">
        <f>SUMIFS('フォームの回答 1'!$E:$E,'フォームの回答 1'!$B:$B,G56,'フォームの回答 1'!$H:$H,$A57)</f>
        <v>0</v>
      </c>
      <c r="H57" s="1">
        <f>SUMIFS('フォームの回答 1'!$E:$E,'フォームの回答 1'!$B:$B,H56,'フォームの回答 1'!$H:$H,$A57)</f>
        <v>0</v>
      </c>
      <c r="I57" s="1">
        <f>SUMIFS('フォームの回答 1'!$E:$E,'フォームの回答 1'!$B:$B,I56,'フォームの回答 1'!$H:$H,$A57)</f>
        <v>0</v>
      </c>
      <c r="J57" s="1">
        <f>SUMIFS('フォームの回答 1'!$E:$E,'フォームの回答 1'!$B:$B,J56,'フォームの回答 1'!$H:$H,$A57)</f>
        <v>0</v>
      </c>
      <c r="K57" s="1">
        <f>SUMIFS('フォームの回答 1'!$E:$E,'フォームの回答 1'!$B:$B,K56,'フォームの回答 1'!$H:$H,$A57)</f>
        <v>0</v>
      </c>
      <c r="L57" s="1">
        <f>SUMIFS('フォームの回答 1'!$E:$E,'フォームの回答 1'!$B:$B,L56,'フォームの回答 1'!$H:$H,$A57)</f>
        <v>0</v>
      </c>
      <c r="M57" s="1">
        <f>SUMIFS('フォームの回答 1'!$E:$E,'フォームの回答 1'!$B:$B,M56,'フォームの回答 1'!$H:$H,$A57)</f>
        <v>0</v>
      </c>
      <c r="N57" s="1">
        <f>SUMIFS('フォームの回答 1'!$E:$E,'フォームの回答 1'!$B:$B,N56,'フォームの回答 1'!$H:$H,$A57)</f>
        <v>0</v>
      </c>
      <c r="O57" s="1">
        <f>SUMIFS('フォームの回答 1'!$E:$E,'フォームの回答 1'!$B:$B,O56,'フォームの回答 1'!$H:$H,$A57)</f>
        <v>0</v>
      </c>
      <c r="P57" s="1">
        <f>SUMIFS('フォームの回答 1'!$E:$E,'フォームの回答 1'!$B:$B,P56,'フォームの回答 1'!$H:$H,$A57)</f>
        <v>0</v>
      </c>
      <c r="Q57" s="1">
        <f>SUMIFS('フォームの回答 1'!$E:$E,'フォームの回答 1'!$B:$B,Q56,'フォームの回答 1'!$H:$H,$A57)</f>
        <v>0</v>
      </c>
      <c r="R57" s="1">
        <f>SUMIFS('フォームの回答 1'!$E:$E,'フォームの回答 1'!$B:$B,R56,'フォームの回答 1'!$H:$H,$A57)</f>
        <v>0</v>
      </c>
      <c r="S57" s="1">
        <f>SUMIFS('フォームの回答 1'!$E:$E,'フォームの回答 1'!$B:$B,S56,'フォームの回答 1'!$H:$H,$A57)</f>
        <v>0</v>
      </c>
      <c r="T57" s="1">
        <f>SUMIFS('フォームの回答 1'!$E:$E,'フォームの回答 1'!$B:$B,T56,'フォームの回答 1'!$H:$H,$A57)</f>
        <v>0</v>
      </c>
      <c r="U57" s="1">
        <f>SUMIFS('フォームの回答 1'!$E:$E,'フォームの回答 1'!$B:$B,U56,'フォームの回答 1'!$H:$H,$A57)</f>
        <v>3000</v>
      </c>
      <c r="V57" s="1">
        <f>SUMIFS('フォームの回答 1'!$E:$E,'フォームの回答 1'!$B:$B,V56,'フォームの回答 1'!$H:$H,$A57)</f>
        <v>0</v>
      </c>
      <c r="W57" s="1">
        <f>SUMIFS('フォームの回答 1'!$E:$E,'フォームの回答 1'!$B:$B,W56,'フォームの回答 1'!$H:$H,$A57)</f>
        <v>0</v>
      </c>
      <c r="X57" s="1">
        <f>SUMIFS('フォームの回答 1'!$E:$E,'フォームの回答 1'!$B:$B,X56,'フォームの回答 1'!$H:$H,$A57)</f>
        <v>0</v>
      </c>
      <c r="Y57" s="1">
        <f>SUMIFS('フォームの回答 1'!$E:$E,'フォームの回答 1'!$B:$B,Y56,'フォームの回答 1'!$H:$H,$A57)</f>
        <v>0</v>
      </c>
      <c r="Z57" s="1">
        <f>SUMIFS('フォームの回答 1'!$E:$E,'フォームの回答 1'!$B:$B,Z56,'フォームの回答 1'!$H:$H,$A57)</f>
        <v>0</v>
      </c>
      <c r="AA57" s="1">
        <f>SUMIFS('フォームの回答 1'!$E:$E,'フォームの回答 1'!$B:$B,AA56,'フォームの回答 1'!$H:$H,$A57)+AJ48</f>
        <v>340997</v>
      </c>
      <c r="AB57" s="1">
        <f>SUMIFS('フォームの回答 1'!$E:$E,'フォームの回答 1'!$B:$B,AB56,'フォームの回答 1'!$H:$H,$A57)</f>
        <v>0</v>
      </c>
      <c r="AC57" s="1">
        <f>SUMIFS('フォームの回答 1'!$E:$E,'フォームの回答 1'!$B:$B,AC56,'フォームの回答 1'!$H:$H,$A57)</f>
        <v>5000</v>
      </c>
      <c r="AD57" s="1">
        <f>SUMIFS('フォームの回答 1'!$E:$E,'フォームの回答 1'!$B:$B,AD56,'フォームの回答 1'!$H:$H,$A57)</f>
        <v>0</v>
      </c>
      <c r="AE57" s="1">
        <f>SUMIFS('フォームの回答 1'!$E:$E,'フォームの回答 1'!$B:$B,AE56,'フォームの回答 1'!$H:$H,$A57)</f>
        <v>0</v>
      </c>
      <c r="AF57" s="1">
        <f>SUMIFS('フォームの回答 1'!$E:$E,'フォームの回答 1'!$B:$B,AF56,'フォームの回答 1'!$H:$H,$A57)</f>
        <v>0</v>
      </c>
      <c r="AG57" s="1">
        <f>SUMIFS('フォームの回答 1'!$E:$E,'フォームの回答 1'!$B:$B,AG56,'フォームの回答 1'!$H:$H,$A57)</f>
        <v>3300</v>
      </c>
    </row>
    <row r="58" spans="1:36" ht="13">
      <c r="A58" s="2" t="s">
        <v>35</v>
      </c>
      <c r="B58" s="1">
        <f>SUM(C58:AG58)</f>
        <v>373580</v>
      </c>
      <c r="C58" s="1">
        <f>SUMIFS('フォームの回答 1'!$E:$E,'フォームの回答 1'!$B:$B,C56,'フォームの回答 1'!$H:$H,$A58,'フォームの回答 1'!$F:$F,"Cash")</f>
        <v>0</v>
      </c>
      <c r="D58" s="1">
        <f>SUMIFS('フォームの回答 1'!$E:$E,'フォームの回答 1'!$B:$B,D56,'フォームの回答 1'!$H:$H,$A58,'フォームの回答 1'!$F:$F,"Cash")</f>
        <v>4520</v>
      </c>
      <c r="E58" s="1">
        <f>SUMIFS('フォームの回答 1'!$E:$E,'フォームの回答 1'!$B:$B,E56,'フォームの回答 1'!$H:$H,$A58,'フォームの回答 1'!$F:$F,"Cash")</f>
        <v>822</v>
      </c>
      <c r="F58" s="1">
        <f>SUMIFS('フォームの回答 1'!$E:$E,'フォームの回答 1'!$B:$B,F56,'フォームの回答 1'!$H:$H,$A58,'フォームの回答 1'!$F:$F,"Cash")</f>
        <v>0</v>
      </c>
      <c r="G58" s="1">
        <f>SUMIFS('フォームの回答 1'!$E:$E,'フォームの回答 1'!$B:$B,G56,'フォームの回答 1'!$H:$H,$A58,'フォームの回答 1'!$F:$F,"Cash")</f>
        <v>4240</v>
      </c>
      <c r="H58" s="1">
        <f>SUMIFS('フォームの回答 1'!$E:$E,'フォームの回答 1'!$B:$B,H56,'フォームの回答 1'!$H:$H,$A58,'フォームの回答 1'!$F:$F,"Cash")</f>
        <v>2090</v>
      </c>
      <c r="I58" s="1">
        <f>SUMIFS('フォームの回答 1'!$E:$E,'フォームの回答 1'!$B:$B,I56,'フォームの回答 1'!$H:$H,$A58,'フォームの回答 1'!$F:$F,"Cash")</f>
        <v>0</v>
      </c>
      <c r="J58" s="1">
        <f>SUMIFS('フォームの回答 1'!$E:$E,'フォームの回答 1'!$B:$B,J56,'フォームの回答 1'!$H:$H,$A58,'フォームの回答 1'!$F:$F,"Cash")</f>
        <v>1100</v>
      </c>
      <c r="K58" s="1">
        <f>SUMIFS('フォームの回答 1'!$E:$E,'フォームの回答 1'!$B:$B,K56,'フォームの回答 1'!$H:$H,$A58,'フォームの回答 1'!$F:$F,"Cash")</f>
        <v>1800</v>
      </c>
      <c r="L58" s="1">
        <f>SUMIFS('フォームの回答 1'!$E:$E,'フォームの回答 1'!$B:$B,L56,'フォームの回答 1'!$H:$H,$A58,'フォームの回答 1'!$F:$F,"Cash")</f>
        <v>5120</v>
      </c>
      <c r="M58" s="1">
        <f>SUMIFS('フォームの回答 1'!$E:$E,'フォームの回答 1'!$B:$B,M56,'フォームの回答 1'!$H:$H,$A58,'フォームの回答 1'!$F:$F,"Cash")</f>
        <v>5000</v>
      </c>
      <c r="N58" s="1">
        <f>SUMIFS('フォームの回答 1'!$E:$E,'フォームの回答 1'!$B:$B,N56,'フォームの回答 1'!$H:$H,$A58,'フォームの回答 1'!$F:$F,"Cash")</f>
        <v>4318</v>
      </c>
      <c r="O58" s="1">
        <f>SUMIFS('フォームの回答 1'!$E:$E,'フォームの回答 1'!$B:$B,O56,'フォームの回答 1'!$H:$H,$A58,'フォームの回答 1'!$F:$F,"Cash")</f>
        <v>5075</v>
      </c>
      <c r="P58" s="1">
        <f>SUMIFS('フォームの回答 1'!$E:$E,'フォームの回答 1'!$B:$B,P56,'フォームの回答 1'!$H:$H,$A58,'フォームの回答 1'!$F:$F,"Cash")</f>
        <v>1275</v>
      </c>
      <c r="Q58" s="1">
        <f>SUMIFS('フォームの回答 1'!$E:$E,'フォームの回答 1'!$B:$B,Q56,'フォームの回答 1'!$H:$H,$A58,'フォームの回答 1'!$F:$F,"Cash")</f>
        <v>0</v>
      </c>
      <c r="R58" s="1">
        <f>SUMIFS('フォームの回答 1'!$E:$E,'フォームの回答 1'!$B:$B,R56,'フォームの回答 1'!$H:$H,$A58,'フォームの回答 1'!$F:$F,"Cash")</f>
        <v>0</v>
      </c>
      <c r="S58" s="1">
        <f>SUMIFS('フォームの回答 1'!$E:$E,'フォームの回答 1'!$B:$B,S56,'フォームの回答 1'!$H:$H,$A58,'フォームの回答 1'!$F:$F,"Cash")</f>
        <v>429</v>
      </c>
      <c r="T58" s="1">
        <f>SUMIFS('フォームの回答 1'!$E:$E,'フォームの回答 1'!$B:$B,T56,'フォームの回答 1'!$H:$H,$A58,'フォームの回答 1'!$F:$F,"Cash")</f>
        <v>300</v>
      </c>
      <c r="U58" s="1">
        <f>SUMIFS('フォームの回答 1'!$E:$E,'フォームの回答 1'!$B:$B,U56,'フォームの回答 1'!$H:$H,$A58,'フォームの回答 1'!$F:$F,"Cash")</f>
        <v>11341</v>
      </c>
      <c r="V58" s="1">
        <f>SUMIFS('フォームの回答 1'!$E:$E,'フォームの回答 1'!$B:$B,V56,'フォームの回答 1'!$H:$H,$A58,'フォームの回答 1'!$F:$F,"Cash")</f>
        <v>1503</v>
      </c>
      <c r="W58" s="1">
        <f>SUMIFS('フォームの回答 1'!$E:$E,'フォームの回答 1'!$B:$B,W56,'フォームの回答 1'!$H:$H,$A58,'フォームの回答 1'!$F:$F,"Cash")</f>
        <v>0</v>
      </c>
      <c r="X58" s="1">
        <f>SUMIFS('フォームの回答 1'!$E:$E,'フォームの回答 1'!$B:$B,X56,'フォームの回答 1'!$H:$H,$A58,'フォームの回答 1'!$F:$F,"Cash")</f>
        <v>990</v>
      </c>
      <c r="Y58" s="1">
        <f>SUMIFS('フォームの回答 1'!$E:$E,'フォームの回答 1'!$B:$B,Y56,'フォームの回答 1'!$H:$H,$A58,'フォームの回答 1'!$F:$F,"Cash")</f>
        <v>3540</v>
      </c>
      <c r="Z58" s="1">
        <f>SUMIFS('フォームの回答 1'!$E:$E,'フォームの回答 1'!$B:$B,Z56,'フォームの回答 1'!$H:$H,$A58,'フォームの回答 1'!$F:$F,"Cash")</f>
        <v>0</v>
      </c>
      <c r="AA58" s="1">
        <f>SUMIFS('フォームの回答 1'!$E:$E,'フォームの回答 1'!$B:$B,AA56,'フォームの回答 1'!$H:$H,$A58,'フォームの回答 1'!$F:$F,"Cash")</f>
        <v>4700</v>
      </c>
      <c r="AB58" s="1">
        <f>SUMIFS('フォームの回答 1'!$E:$E,'フォームの回答 1'!$B:$B,AB56,'フォームの回答 1'!$H:$H,$A58,'フォームの回答 1'!$F:$F,"Cash")</f>
        <v>330</v>
      </c>
      <c r="AC58" s="1">
        <f>SUMIFS('フォームの回答 1'!$E:$E,'フォームの回答 1'!$B:$B,AC56,'フォームの回答 1'!$H:$H,$A58,'フォームの回答 1'!$F:$F,"Cash")+AI56</f>
        <v>126719</v>
      </c>
      <c r="AD58" s="1">
        <f>SUMIFS('フォームの回答 1'!$E:$E,'フォームの回答 1'!$B:$B,AD56,'フォームの回答 1'!$H:$H,$A58,'フォームの回答 1'!$F:$F,"Cash")</f>
        <v>175790</v>
      </c>
      <c r="AE58" s="1">
        <f>SUMIFS('フォームの回答 1'!$E:$E,'フォームの回答 1'!$B:$B,AE56,'フォームの回答 1'!$H:$H,$A58,'フォームの回答 1'!$F:$F,"Cash")</f>
        <v>2746</v>
      </c>
      <c r="AF58" s="1">
        <f>SUMIFS('フォームの回答 1'!$E:$E,'フォームの回答 1'!$B:$B,AF56,'フォームの回答 1'!$H:$H,$A58,'フォームの回答 1'!$F:$F,"Cash")</f>
        <v>1652</v>
      </c>
      <c r="AG58" s="1">
        <f>SUMIFS('フォームの回答 1'!$E:$E,'フォームの回答 1'!$B:$B,AG56,'フォームの回答 1'!$H:$H,$A58,'フォームの回答 1'!$F:$F,"Cash")</f>
        <v>8180</v>
      </c>
    </row>
    <row r="59" spans="1:36" ht="13">
      <c r="A59" s="2" t="s">
        <v>32</v>
      </c>
      <c r="C59" s="1">
        <f>AF53+C57-C58</f>
        <v>58102</v>
      </c>
      <c r="D59" s="1">
        <f t="shared" ref="D59:AG59" si="9">C59+D57-D58</f>
        <v>53582</v>
      </c>
      <c r="E59" s="1">
        <f t="shared" si="9"/>
        <v>59759</v>
      </c>
      <c r="F59" s="1">
        <f t="shared" si="9"/>
        <v>59759</v>
      </c>
      <c r="G59" s="1">
        <f t="shared" si="9"/>
        <v>55519</v>
      </c>
      <c r="H59" s="1">
        <f t="shared" si="9"/>
        <v>53429</v>
      </c>
      <c r="I59" s="1">
        <f t="shared" si="9"/>
        <v>53429</v>
      </c>
      <c r="J59" s="1">
        <f t="shared" si="9"/>
        <v>52329</v>
      </c>
      <c r="K59" s="1">
        <f t="shared" si="9"/>
        <v>50529</v>
      </c>
      <c r="L59" s="1">
        <f t="shared" si="9"/>
        <v>45409</v>
      </c>
      <c r="M59" s="1">
        <f t="shared" si="9"/>
        <v>40409</v>
      </c>
      <c r="N59" s="1">
        <f t="shared" si="9"/>
        <v>36091</v>
      </c>
      <c r="O59" s="1">
        <f t="shared" si="9"/>
        <v>31016</v>
      </c>
      <c r="P59" s="1">
        <f t="shared" si="9"/>
        <v>29741</v>
      </c>
      <c r="Q59" s="1">
        <f t="shared" si="9"/>
        <v>29741</v>
      </c>
      <c r="R59" s="1">
        <f t="shared" si="9"/>
        <v>29741</v>
      </c>
      <c r="S59" s="1">
        <f t="shared" si="9"/>
        <v>29312</v>
      </c>
      <c r="T59" s="1">
        <f t="shared" si="9"/>
        <v>29012</v>
      </c>
      <c r="U59" s="1">
        <f t="shared" si="9"/>
        <v>20671</v>
      </c>
      <c r="V59" s="1">
        <f t="shared" si="9"/>
        <v>19168</v>
      </c>
      <c r="W59" s="1">
        <f t="shared" si="9"/>
        <v>19168</v>
      </c>
      <c r="X59" s="1">
        <f t="shared" si="9"/>
        <v>18178</v>
      </c>
      <c r="Y59" s="1">
        <f t="shared" si="9"/>
        <v>14638</v>
      </c>
      <c r="Z59" s="1">
        <f t="shared" si="9"/>
        <v>14638</v>
      </c>
      <c r="AA59" s="1">
        <f t="shared" si="9"/>
        <v>350935</v>
      </c>
      <c r="AB59" s="1">
        <f t="shared" si="9"/>
        <v>350605</v>
      </c>
      <c r="AC59" s="1">
        <f t="shared" si="9"/>
        <v>228886</v>
      </c>
      <c r="AD59" s="1">
        <f t="shared" si="9"/>
        <v>53096</v>
      </c>
      <c r="AE59" s="1">
        <f t="shared" si="9"/>
        <v>50350</v>
      </c>
      <c r="AF59" s="1">
        <f t="shared" si="9"/>
        <v>48698</v>
      </c>
      <c r="AG59" s="1">
        <f t="shared" si="9"/>
        <v>43818</v>
      </c>
    </row>
    <row r="61" spans="1:36" ht="13">
      <c r="B61" s="20" t="s">
        <v>74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12"/>
      <c r="AI61" s="2" t="s">
        <v>75</v>
      </c>
      <c r="AJ61" s="1"/>
    </row>
    <row r="62" spans="1:36" ht="13">
      <c r="B62" s="2" t="s">
        <v>29</v>
      </c>
      <c r="C62" s="11">
        <v>45597</v>
      </c>
      <c r="D62" s="11">
        <v>45598</v>
      </c>
      <c r="E62" s="11">
        <v>45599</v>
      </c>
      <c r="F62" s="11">
        <v>45600</v>
      </c>
      <c r="G62" s="11">
        <v>45601</v>
      </c>
      <c r="H62" s="11">
        <v>45602</v>
      </c>
      <c r="I62" s="11">
        <v>45603</v>
      </c>
      <c r="J62" s="11">
        <v>45604</v>
      </c>
      <c r="K62" s="11">
        <v>45605</v>
      </c>
      <c r="L62" s="11">
        <v>45606</v>
      </c>
      <c r="M62" s="11">
        <v>45607</v>
      </c>
      <c r="N62" s="11">
        <v>45608</v>
      </c>
      <c r="O62" s="11">
        <v>45609</v>
      </c>
      <c r="P62" s="11">
        <v>45610</v>
      </c>
      <c r="Q62" s="11">
        <v>45611</v>
      </c>
      <c r="R62" s="11">
        <v>45612</v>
      </c>
      <c r="S62" s="11">
        <v>45613</v>
      </c>
      <c r="T62" s="11">
        <v>45614</v>
      </c>
      <c r="U62" s="11">
        <v>45615</v>
      </c>
      <c r="V62" s="11">
        <v>45616</v>
      </c>
      <c r="W62" s="11">
        <v>45617</v>
      </c>
      <c r="X62" s="11">
        <v>45618</v>
      </c>
      <c r="Y62" s="11">
        <v>45619</v>
      </c>
      <c r="Z62" s="11">
        <v>45620</v>
      </c>
      <c r="AA62" s="11">
        <v>45621</v>
      </c>
      <c r="AB62" s="11">
        <v>45622</v>
      </c>
      <c r="AC62" s="11">
        <v>45623</v>
      </c>
      <c r="AD62" s="11">
        <v>45624</v>
      </c>
      <c r="AE62" s="11">
        <v>45625</v>
      </c>
      <c r="AF62" s="11">
        <v>45626</v>
      </c>
      <c r="AG62" s="11"/>
      <c r="AI62" s="13">
        <v>131725</v>
      </c>
    </row>
    <row r="63" spans="1:36" ht="13">
      <c r="A63" s="2" t="s">
        <v>34</v>
      </c>
      <c r="B63" s="1">
        <f>SUM(V63:AG63)</f>
        <v>340997</v>
      </c>
      <c r="C63" s="1">
        <f>SUMIFS('フォームの回答 1'!$E:$E,'フォームの回答 1'!$B:$B,C62,'フォームの回答 1'!$H:$H,$A63)</f>
        <v>0</v>
      </c>
      <c r="D63" s="1">
        <f>SUMIFS('フォームの回答 1'!$E:$E,'フォームの回答 1'!$B:$B,D62,'フォームの回答 1'!$H:$H,$A63)</f>
        <v>0</v>
      </c>
      <c r="E63" s="1">
        <f>SUMIFS('フォームの回答 1'!$E:$E,'フォームの回答 1'!$B:$B,E62,'フォームの回答 1'!$H:$H,$A63)</f>
        <v>0</v>
      </c>
      <c r="F63" s="1">
        <f>SUMIFS('フォームの回答 1'!$E:$E,'フォームの回答 1'!$B:$B,F62,'フォームの回答 1'!$H:$H,$A63)</f>
        <v>0</v>
      </c>
      <c r="G63" s="1">
        <f>SUMIFS('フォームの回答 1'!$E:$E,'フォームの回答 1'!$B:$B,G62,'フォームの回答 1'!$H:$H,$A63)</f>
        <v>0</v>
      </c>
      <c r="H63" s="1">
        <f>SUMIFS('フォームの回答 1'!$E:$E,'フォームの回答 1'!$B:$B,H62,'フォームの回答 1'!$H:$H,$A63)</f>
        <v>18406</v>
      </c>
      <c r="I63" s="1">
        <f>SUMIFS('フォームの回答 1'!$E:$E,'フォームの回答 1'!$B:$B,I62,'フォームの回答 1'!$H:$H,$A63)</f>
        <v>0</v>
      </c>
      <c r="J63" s="1">
        <f>SUMIFS('フォームの回答 1'!$E:$E,'フォームの回答 1'!$B:$B,J62,'フォームの回答 1'!$H:$H,$A63)</f>
        <v>0</v>
      </c>
      <c r="K63" s="1">
        <f>SUMIFS('フォームの回答 1'!$E:$E,'フォームの回答 1'!$B:$B,K62,'フォームの回答 1'!$H:$H,$A63)</f>
        <v>7000</v>
      </c>
      <c r="L63" s="1">
        <f>SUMIFS('フォームの回答 1'!$E:$E,'フォームの回答 1'!$B:$B,L62,'フォームの回答 1'!$H:$H,$A63)</f>
        <v>0</v>
      </c>
      <c r="M63" s="1">
        <f>SUMIFS('フォームの回答 1'!$E:$E,'フォームの回答 1'!$B:$B,M62,'フォームの回答 1'!$H:$H,$A63)</f>
        <v>0</v>
      </c>
      <c r="N63" s="1">
        <f>SUMIFS('フォームの回答 1'!$E:$E,'フォームの回答 1'!$B:$B,N62,'フォームの回答 1'!$H:$H,$A63)</f>
        <v>0</v>
      </c>
      <c r="O63" s="1">
        <f>SUMIFS('フォームの回答 1'!$E:$E,'フォームの回答 1'!$B:$B,O62,'フォームの回答 1'!$H:$H,$A63)</f>
        <v>0</v>
      </c>
      <c r="P63" s="1">
        <f>SUMIFS('フォームの回答 1'!$E:$E,'フォームの回答 1'!$B:$B,P62,'フォームの回答 1'!$H:$H,$A63)</f>
        <v>0</v>
      </c>
      <c r="Q63" s="1">
        <f>SUMIFS('フォームの回答 1'!$E:$E,'フォームの回答 1'!$B:$B,Q62,'フォームの回答 1'!$H:$H,$A63)</f>
        <v>0</v>
      </c>
      <c r="R63" s="1">
        <f>SUMIFS('フォームの回答 1'!$E:$E,'フォームの回答 1'!$B:$B,R62,'フォームの回答 1'!$H:$H,$A63)</f>
        <v>0</v>
      </c>
      <c r="S63" s="1">
        <f>SUMIFS('フォームの回答 1'!$E:$E,'フォームの回答 1'!$B:$B,S62,'フォームの回答 1'!$H:$H,$A63)</f>
        <v>0</v>
      </c>
      <c r="T63" s="1">
        <f>SUMIFS('フォームの回答 1'!$E:$E,'フォームの回答 1'!$B:$B,T62,'フォームの回答 1'!$H:$H,$A63)</f>
        <v>0</v>
      </c>
      <c r="U63" s="1">
        <f>SUMIFS('フォームの回答 1'!$E:$E,'フォームの回答 1'!$B:$B,U62,'フォームの回答 1'!$H:$H,$A63)</f>
        <v>0</v>
      </c>
      <c r="V63" s="1">
        <f>SUMIFS('フォームの回答 1'!$E:$E,'フォームの回答 1'!$B:$B,V62,'フォームの回答 1'!$H:$H,$A63)</f>
        <v>0</v>
      </c>
      <c r="W63" s="1">
        <f>SUMIFS('フォームの回答 1'!$E:$E,'フォームの回答 1'!$B:$B,W62,'フォームの回答 1'!$H:$H,$A63)</f>
        <v>0</v>
      </c>
      <c r="X63" s="1">
        <f>SUMIFS('フォームの回答 1'!$E:$E,'フォームの回答 1'!$B:$B,X62,'フォームの回答 1'!$H:$H,$A63)</f>
        <v>0</v>
      </c>
      <c r="Y63" s="1">
        <f>SUMIFS('フォームの回答 1'!$E:$E,'フォームの回答 1'!$B:$B,Y62,'フォームの回答 1'!$H:$H,$A63)</f>
        <v>0</v>
      </c>
      <c r="Z63" s="1">
        <f>SUMIFS('フォームの回答 1'!$E:$E,'フォームの回答 1'!$B:$B,Z62,'フォームの回答 1'!$H:$H,$A63)</f>
        <v>0</v>
      </c>
      <c r="AA63" s="1">
        <f>SUMIFS('フォームの回答 1'!$E:$E,'フォームの回答 1'!$B:$B,AA62,'フォームの回答 1'!$H:$H,$A63)+AJ54</f>
        <v>340997</v>
      </c>
      <c r="AB63" s="1">
        <f>SUMIFS('フォームの回答 1'!$E:$E,'フォームの回答 1'!$B:$B,AB62,'フォームの回答 1'!$H:$H,$A63)</f>
        <v>0</v>
      </c>
      <c r="AC63" s="1">
        <f>SUMIFS('フォームの回答 1'!$E:$E,'フォームの回答 1'!$B:$B,AC62,'フォームの回答 1'!$H:$H,$A63)</f>
        <v>0</v>
      </c>
      <c r="AD63" s="1">
        <f>SUMIFS('フォームの回答 1'!$E:$E,'フォームの回答 1'!$B:$B,AD62,'フォームの回答 1'!$H:$H,$A63)</f>
        <v>0</v>
      </c>
      <c r="AE63" s="1">
        <f>SUMIFS('フォームの回答 1'!$E:$E,'フォームの回答 1'!$B:$B,AE62,'フォームの回答 1'!$H:$H,$A63)</f>
        <v>0</v>
      </c>
      <c r="AF63" s="1">
        <f>SUMIFS('フォームの回答 1'!$E:$E,'フォームの回答 1'!$B:$B,AF62,'フォームの回答 1'!$H:$H,$A63)</f>
        <v>0</v>
      </c>
      <c r="AG63" s="1"/>
    </row>
    <row r="64" spans="1:36" ht="13">
      <c r="A64" s="2" t="s">
        <v>35</v>
      </c>
      <c r="B64" s="1">
        <f>SUM(C64:AG64)</f>
        <v>370634</v>
      </c>
      <c r="C64" s="1">
        <f>SUMIFS('フォームの回答 1'!$E:$E,'フォームの回答 1'!$B:$B,C62,'フォームの回答 1'!$H:$H,$A64,'フォームの回答 1'!$F:$F,"Cash")</f>
        <v>1700</v>
      </c>
      <c r="D64" s="1">
        <f>SUMIFS('フォームの回答 1'!$E:$E,'フォームの回答 1'!$B:$B,D62,'フォームの回答 1'!$H:$H,$A64,'フォームの回答 1'!$F:$F,"Cash")</f>
        <v>1817</v>
      </c>
      <c r="E64" s="1">
        <f>SUMIFS('フォームの回答 1'!$E:$E,'フォームの回答 1'!$B:$B,E62,'フォームの回答 1'!$H:$H,$A64,'フォームの回答 1'!$F:$F,"Cash")</f>
        <v>426</v>
      </c>
      <c r="F64" s="1">
        <f>SUMIFS('フォームの回答 1'!$E:$E,'フォームの回答 1'!$B:$B,F62,'フォームの回答 1'!$H:$H,$A64,'フォームの回答 1'!$F:$F,"Cash")</f>
        <v>3688</v>
      </c>
      <c r="G64" s="1">
        <f>SUMIFS('フォームの回答 1'!$E:$E,'フォームの回答 1'!$B:$B,G62,'フォームの回答 1'!$H:$H,$A64,'フォームの回答 1'!$F:$F,"Cash")</f>
        <v>120</v>
      </c>
      <c r="H64" s="1">
        <f>SUMIFS('フォームの回答 1'!$E:$E,'フォームの回答 1'!$B:$B,H62,'フォームの回答 1'!$H:$H,$A64,'フォームの回答 1'!$F:$F,"Cash")</f>
        <v>1158</v>
      </c>
      <c r="I64" s="1">
        <f>SUMIFS('フォームの回答 1'!$E:$E,'フォームの回答 1'!$B:$B,I62,'フォームの回答 1'!$H:$H,$A64,'フォームの回答 1'!$F:$F,"Cash")</f>
        <v>3900</v>
      </c>
      <c r="J64" s="1">
        <f>SUMIFS('フォームの回答 1'!$E:$E,'フォームの回答 1'!$B:$B,J62,'フォームの回答 1'!$H:$H,$A64,'フォームの回答 1'!$F:$F,"Cash")</f>
        <v>1220</v>
      </c>
      <c r="K64" s="1">
        <f>SUMIFS('フォームの回答 1'!$E:$E,'フォームの回答 1'!$B:$B,K62,'フォームの回答 1'!$H:$H,$A64,'フォームの回答 1'!$F:$F,"Cash")</f>
        <v>9613</v>
      </c>
      <c r="L64" s="1">
        <f>SUMIFS('フォームの回答 1'!$E:$E,'フォームの回答 1'!$B:$B,L62,'フォームの回答 1'!$H:$H,$A64,'フォームの回答 1'!$F:$F,"Cash")</f>
        <v>500</v>
      </c>
      <c r="M64" s="1">
        <f>SUMIFS('フォームの回答 1'!$E:$E,'フォームの回答 1'!$B:$B,M62,'フォームの回答 1'!$H:$H,$A64,'フォームの回答 1'!$F:$F,"Cash")</f>
        <v>1205</v>
      </c>
      <c r="N64" s="1">
        <f>SUMIFS('フォームの回答 1'!$E:$E,'フォームの回答 1'!$B:$B,N62,'フォームの回答 1'!$H:$H,$A64,'フォームの回答 1'!$F:$F,"Cash")</f>
        <v>990</v>
      </c>
      <c r="O64" s="1">
        <f>SUMIFS('フォームの回答 1'!$E:$E,'フォームの回答 1'!$B:$B,O62,'フォームの回答 1'!$H:$H,$A64,'フォームの回答 1'!$F:$F,"Cash")</f>
        <v>1822</v>
      </c>
      <c r="P64" s="1">
        <f>SUMIFS('フォームの回答 1'!$E:$E,'フォームの回答 1'!$B:$B,P62,'フォームの回答 1'!$H:$H,$A64,'フォームの回答 1'!$F:$F,"Cash")</f>
        <v>1597</v>
      </c>
      <c r="Q64" s="1">
        <f>SUMIFS('フォームの回答 1'!$E:$E,'フォームの回答 1'!$B:$B,Q62,'フォームの回答 1'!$H:$H,$A64,'フォームの回答 1'!$F:$F,"Cash")</f>
        <v>5390</v>
      </c>
      <c r="R64" s="1">
        <f>SUMIFS('フォームの回答 1'!$E:$E,'フォームの回答 1'!$B:$B,R62,'フォームの回答 1'!$H:$H,$A64,'フォームの回答 1'!$F:$F,"Cash")</f>
        <v>600</v>
      </c>
      <c r="S64" s="1">
        <f>SUMIFS('フォームの回答 1'!$E:$E,'フォームの回答 1'!$B:$B,S62,'フォームの回答 1'!$H:$H,$A64,'フォームの回答 1'!$F:$F,"Cash")</f>
        <v>2508</v>
      </c>
      <c r="T64" s="1">
        <f>SUMIFS('フォームの回答 1'!$E:$E,'フォームの回答 1'!$B:$B,T62,'フォームの回答 1'!$H:$H,$A64,'フォームの回答 1'!$F:$F,"Cash")</f>
        <v>1320</v>
      </c>
      <c r="U64" s="1">
        <f>SUMIFS('フォームの回答 1'!$E:$E,'フォームの回答 1'!$B:$B,U62,'フォームの回答 1'!$H:$H,$A64,'フォームの回答 1'!$F:$F,"Cash")</f>
        <v>1438</v>
      </c>
      <c r="V64" s="1">
        <f>SUMIFS('フォームの回答 1'!$E:$E,'フォームの回答 1'!$B:$B,V62,'フォームの回答 1'!$H:$H,$A64,'フォームの回答 1'!$F:$F,"Cash")</f>
        <v>1707</v>
      </c>
      <c r="W64" s="1">
        <f>SUMIFS('フォームの回答 1'!$E:$E,'フォームの回答 1'!$B:$B,W62,'フォームの回答 1'!$H:$H,$A64,'フォームの回答 1'!$F:$F,"Cash")</f>
        <v>1520</v>
      </c>
      <c r="X64" s="1">
        <f>SUMIFS('フォームの回答 1'!$E:$E,'フォームの回答 1'!$B:$B,X62,'フォームの回答 1'!$H:$H,$A64,'フォームの回答 1'!$F:$F,"Cash")</f>
        <v>5328</v>
      </c>
      <c r="Y64" s="1">
        <f>SUMIFS('フォームの回答 1'!$E:$E,'フォームの回答 1'!$B:$B,Y62,'フォームの回答 1'!$H:$H,$A64,'フォームの回答 1'!$F:$F,"Cash")</f>
        <v>600</v>
      </c>
      <c r="Z64" s="1">
        <f>SUMIFS('フォームの回答 1'!$E:$E,'フォームの回答 1'!$B:$B,Z62,'フォームの回答 1'!$H:$H,$A64,'フォームの回答 1'!$F:$F,"Cash")</f>
        <v>3010</v>
      </c>
      <c r="AA64" s="1">
        <f>SUMIFS('フォームの回答 1'!$E:$E,'フォームの回答 1'!$B:$B,AA62,'フォームの回答 1'!$H:$H,$A64,'フォームの回答 1'!$F:$F,"Cash")</f>
        <v>31040</v>
      </c>
      <c r="AB64" s="1">
        <f>SUMIFS('フォームの回答 1'!$E:$E,'フォームの回答 1'!$B:$B,AB62,'フォームの回答 1'!$H:$H,$A64,'フォームの回答 1'!$F:$F,"Cash")</f>
        <v>5620</v>
      </c>
      <c r="AC64" s="1">
        <f>SUMIFS('フォームの回答 1'!$E:$E,'フォームの回答 1'!$B:$B,AC62,'フォームの回答 1'!$H:$H,$A64,'フォームの回答 1'!$F:$F,"Cash")+AI62</f>
        <v>278215</v>
      </c>
      <c r="AD64" s="1">
        <f>SUMIFS('フォームの回答 1'!$E:$E,'フォームの回答 1'!$B:$B,AD62,'フォームの回答 1'!$H:$H,$A64,'フォームの回答 1'!$F:$F,"Cash")</f>
        <v>500</v>
      </c>
      <c r="AE64" s="1">
        <f>SUMIFS('フォームの回答 1'!$E:$E,'フォームの回答 1'!$B:$B,AE62,'フォームの回答 1'!$H:$H,$A64,'フォームの回答 1'!$F:$F,"Cash")</f>
        <v>1190</v>
      </c>
      <c r="AF64" s="1">
        <f>SUMIFS('フォームの回答 1'!$E:$E,'フォームの回答 1'!$B:$B,AF62,'フォームの回答 1'!$H:$H,$A64,'フォームの回答 1'!$F:$F,"Cash")</f>
        <v>892</v>
      </c>
      <c r="AG64" s="1"/>
    </row>
    <row r="65" spans="1:36" ht="13">
      <c r="A65" s="2" t="s">
        <v>32</v>
      </c>
      <c r="C65" s="1">
        <f>AG59+C63-C64</f>
        <v>42118</v>
      </c>
      <c r="D65" s="1">
        <f t="shared" ref="D65:AF65" si="10">C65+D63-D64</f>
        <v>40301</v>
      </c>
      <c r="E65" s="1">
        <f t="shared" si="10"/>
        <v>39875</v>
      </c>
      <c r="F65" s="1">
        <f t="shared" si="10"/>
        <v>36187</v>
      </c>
      <c r="G65" s="1">
        <f t="shared" si="10"/>
        <v>36067</v>
      </c>
      <c r="H65" s="1">
        <f t="shared" si="10"/>
        <v>53315</v>
      </c>
      <c r="I65" s="1">
        <f t="shared" si="10"/>
        <v>49415</v>
      </c>
      <c r="J65" s="1">
        <f t="shared" si="10"/>
        <v>48195</v>
      </c>
      <c r="K65" s="1">
        <f t="shared" si="10"/>
        <v>45582</v>
      </c>
      <c r="L65" s="1">
        <f t="shared" si="10"/>
        <v>45082</v>
      </c>
      <c r="M65" s="1">
        <f t="shared" si="10"/>
        <v>43877</v>
      </c>
      <c r="N65" s="1">
        <f t="shared" si="10"/>
        <v>42887</v>
      </c>
      <c r="O65" s="1">
        <f t="shared" si="10"/>
        <v>41065</v>
      </c>
      <c r="P65" s="1">
        <f t="shared" si="10"/>
        <v>39468</v>
      </c>
      <c r="Q65" s="1">
        <f t="shared" si="10"/>
        <v>34078</v>
      </c>
      <c r="R65" s="1">
        <f t="shared" si="10"/>
        <v>33478</v>
      </c>
      <c r="S65" s="1">
        <f t="shared" si="10"/>
        <v>30970</v>
      </c>
      <c r="T65" s="1">
        <f t="shared" si="10"/>
        <v>29650</v>
      </c>
      <c r="U65" s="1">
        <f t="shared" si="10"/>
        <v>28212</v>
      </c>
      <c r="V65" s="1">
        <f t="shared" si="10"/>
        <v>26505</v>
      </c>
      <c r="W65" s="1">
        <f t="shared" si="10"/>
        <v>24985</v>
      </c>
      <c r="X65" s="1">
        <f t="shared" si="10"/>
        <v>19657</v>
      </c>
      <c r="Y65" s="1">
        <f t="shared" si="10"/>
        <v>19057</v>
      </c>
      <c r="Z65" s="1">
        <f t="shared" si="10"/>
        <v>16047</v>
      </c>
      <c r="AA65" s="1">
        <f t="shared" si="10"/>
        <v>326004</v>
      </c>
      <c r="AB65" s="1">
        <f t="shared" si="10"/>
        <v>320384</v>
      </c>
      <c r="AC65" s="1">
        <f t="shared" si="10"/>
        <v>42169</v>
      </c>
      <c r="AD65" s="1">
        <f t="shared" si="10"/>
        <v>41669</v>
      </c>
      <c r="AE65" s="1">
        <f t="shared" si="10"/>
        <v>40479</v>
      </c>
      <c r="AF65" s="1">
        <f t="shared" si="10"/>
        <v>39587</v>
      </c>
    </row>
    <row r="67" spans="1:36" ht="13">
      <c r="B67" s="20" t="s">
        <v>76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I67" s="2" t="s">
        <v>77</v>
      </c>
      <c r="AJ67" s="1"/>
    </row>
    <row r="68" spans="1:36" ht="13">
      <c r="B68" s="2" t="s">
        <v>29</v>
      </c>
      <c r="C68" s="11">
        <v>45627</v>
      </c>
      <c r="D68" s="11">
        <v>45628</v>
      </c>
      <c r="E68" s="11">
        <v>45629</v>
      </c>
      <c r="F68" s="11">
        <v>45630</v>
      </c>
      <c r="G68" s="11">
        <v>45631</v>
      </c>
      <c r="H68" s="11">
        <v>45632</v>
      </c>
      <c r="I68" s="11">
        <v>45633</v>
      </c>
      <c r="J68" s="11">
        <v>45634</v>
      </c>
      <c r="K68" s="11">
        <v>45635</v>
      </c>
      <c r="L68" s="11">
        <v>45636</v>
      </c>
      <c r="M68" s="11">
        <v>45637</v>
      </c>
      <c r="N68" s="11">
        <v>45638</v>
      </c>
      <c r="O68" s="11">
        <v>45639</v>
      </c>
      <c r="P68" s="11">
        <v>45640</v>
      </c>
      <c r="Q68" s="11">
        <v>45641</v>
      </c>
      <c r="R68" s="11">
        <v>45642</v>
      </c>
      <c r="S68" s="11">
        <v>45643</v>
      </c>
      <c r="T68" s="11">
        <v>45644</v>
      </c>
      <c r="U68" s="11">
        <v>45645</v>
      </c>
      <c r="V68" s="11">
        <v>45646</v>
      </c>
      <c r="W68" s="11">
        <v>45647</v>
      </c>
      <c r="X68" s="11">
        <v>45648</v>
      </c>
      <c r="Y68" s="11">
        <v>45649</v>
      </c>
      <c r="Z68" s="11">
        <v>45650</v>
      </c>
      <c r="AA68" s="11">
        <v>45651</v>
      </c>
      <c r="AB68" s="11">
        <v>45652</v>
      </c>
      <c r="AC68" s="11">
        <v>45653</v>
      </c>
      <c r="AD68" s="11">
        <v>45654</v>
      </c>
      <c r="AE68" s="11">
        <v>45655</v>
      </c>
      <c r="AF68" s="11">
        <v>45656</v>
      </c>
      <c r="AG68" s="11">
        <v>45657</v>
      </c>
      <c r="AI68" s="13">
        <v>154272</v>
      </c>
    </row>
    <row r="69" spans="1:36" ht="13">
      <c r="A69" s="2" t="s">
        <v>34</v>
      </c>
      <c r="B69" s="1">
        <f>SUM(V69:AG69)</f>
        <v>359044</v>
      </c>
      <c r="C69" s="1">
        <f>SUMIFS('フォームの回答 1'!$E:$E,'フォームの回答 1'!$B:$B,C68,'フォームの回答 1'!$H:$H,$A69)</f>
        <v>0</v>
      </c>
      <c r="D69" s="1">
        <f>SUMIFS('フォームの回答 1'!$E:$E,'フォームの回答 1'!$B:$B,D68,'フォームの回答 1'!$H:$H,$A69)</f>
        <v>0</v>
      </c>
      <c r="E69" s="1">
        <f>SUMIFS('フォームの回答 1'!$E:$E,'フォームの回答 1'!$B:$B,E68,'フォームの回答 1'!$H:$H,$A69)</f>
        <v>0</v>
      </c>
      <c r="F69" s="1">
        <f>SUMIFS('フォームの回答 1'!$E:$E,'フォームの回答 1'!$B:$B,F68,'フォームの回答 1'!$H:$H,$A69)</f>
        <v>28643</v>
      </c>
      <c r="G69" s="1">
        <f>SUMIFS('フォームの回答 1'!$E:$E,'フォームの回答 1'!$B:$B,G68,'フォームの回答 1'!$H:$H,$A69)</f>
        <v>0</v>
      </c>
      <c r="H69" s="1">
        <f>SUMIFS('フォームの回答 1'!$E:$E,'フォームの回答 1'!$B:$B,H68,'フォームの回答 1'!$H:$H,$A69)</f>
        <v>0</v>
      </c>
      <c r="I69" s="1">
        <f>SUMIFS('フォームの回答 1'!$E:$E,'フォームの回答 1'!$B:$B,I68,'フォームの回答 1'!$H:$H,$A69)</f>
        <v>0</v>
      </c>
      <c r="J69" s="1">
        <f>SUMIFS('フォームの回答 1'!$E:$E,'フォームの回答 1'!$B:$B,J68,'フォームの回答 1'!$H:$H,$A69)</f>
        <v>0</v>
      </c>
      <c r="K69" s="1">
        <f>SUMIFS('フォームの回答 1'!$E:$E,'フォームの回答 1'!$B:$B,K68,'フォームの回答 1'!$H:$H,$A69)</f>
        <v>0</v>
      </c>
      <c r="L69" s="1">
        <f>SUMIFS('フォームの回答 1'!$E:$E,'フォームの回答 1'!$B:$B,L68,'フォームの回答 1'!$H:$H,$A69)</f>
        <v>0</v>
      </c>
      <c r="M69" s="1">
        <f>SUMIFS('フォームの回答 1'!$E:$E,'フォームの回答 1'!$B:$B,M68,'フォームの回答 1'!$H:$H,$A69)</f>
        <v>0</v>
      </c>
      <c r="N69" s="1">
        <f>SUMIFS('フォームの回答 1'!$E:$E,'フォームの回答 1'!$B:$B,N68,'フォームの回答 1'!$H:$H,$A69)</f>
        <v>0</v>
      </c>
      <c r="O69" s="1">
        <f>SUMIFS('フォームの回答 1'!$E:$E,'フォームの回答 1'!$B:$B,O68,'フォームの回答 1'!$H:$H,$A69)</f>
        <v>0</v>
      </c>
      <c r="P69" s="1">
        <f>SUMIFS('フォームの回答 1'!$E:$E,'フォームの回答 1'!$B:$B,P68,'フォームの回答 1'!$H:$H,$A69)</f>
        <v>0</v>
      </c>
      <c r="Q69" s="1">
        <f>SUMIFS('フォームの回答 1'!$E:$E,'フォームの回答 1'!$B:$B,Q68,'フォームの回答 1'!$H:$H,$A69)</f>
        <v>0</v>
      </c>
      <c r="R69" s="1">
        <f>SUMIFS('フォームの回答 1'!$E:$E,'フォームの回答 1'!$B:$B,R68,'フォームの回答 1'!$H:$H,$A69)</f>
        <v>0</v>
      </c>
      <c r="S69" s="1">
        <f>SUMIFS('フォームの回答 1'!$E:$E,'フォームの回答 1'!$B:$B,S68,'フォームの回答 1'!$H:$H,$A69)</f>
        <v>0</v>
      </c>
      <c r="T69" s="1">
        <f>SUMIFS('フォームの回答 1'!$E:$E,'フォームの回答 1'!$B:$B,T68,'フォームの回答 1'!$H:$H,$A69)</f>
        <v>30000</v>
      </c>
      <c r="U69" s="1">
        <f>SUMIFS('フォームの回答 1'!$E:$E,'フォームの回答 1'!$B:$B,U68,'フォームの回答 1'!$H:$H,$A69)</f>
        <v>0</v>
      </c>
      <c r="V69" s="1">
        <f>SUMIFS('フォームの回答 1'!$E:$E,'フォームの回答 1'!$B:$B,V68,'フォームの回答 1'!$H:$H,$A69)</f>
        <v>0</v>
      </c>
      <c r="W69" s="1">
        <f>SUMIFS('フォームの回答 1'!$E:$E,'フォームの回答 1'!$B:$B,W68,'フォームの回答 1'!$H:$H,$A69)</f>
        <v>0</v>
      </c>
      <c r="X69" s="1">
        <f>SUMIFS('フォームの回答 1'!$E:$E,'フォームの回答 1'!$B:$B,X68,'フォームの回答 1'!$H:$H,$A69)</f>
        <v>0</v>
      </c>
      <c r="Y69" s="1">
        <f>SUMIFS('フォームの回答 1'!$E:$E,'フォームの回答 1'!$B:$B,Y68,'フォームの回答 1'!$H:$H,$A69)</f>
        <v>0</v>
      </c>
      <c r="Z69" s="1">
        <f>SUMIFS('フォームの回答 1'!$E:$E,'フォームの回答 1'!$B:$B,Z68,'フォームの回答 1'!$H:$H,$A69)</f>
        <v>0</v>
      </c>
      <c r="AA69" s="1">
        <f>SUMIFS('フォームの回答 1'!$E:$E,'フォームの回答 1'!$B:$B,AA68,'フォームの回答 1'!$H:$H,$A69)+AJ60</f>
        <v>356924</v>
      </c>
      <c r="AB69" s="1">
        <f>SUMIFS('フォームの回答 1'!$E:$E,'フォームの回答 1'!$B:$B,AB68,'フォームの回答 1'!$H:$H,$A69)</f>
        <v>0</v>
      </c>
      <c r="AC69" s="1">
        <f>SUMIFS('フォームの回答 1'!$E:$E,'フォームの回答 1'!$B:$B,AC68,'フォームの回答 1'!$H:$H,$A69)</f>
        <v>0</v>
      </c>
      <c r="AD69" s="1">
        <f>SUMIFS('フォームの回答 1'!$E:$E,'フォームの回答 1'!$B:$B,AD68,'フォームの回答 1'!$H:$H,$A69)</f>
        <v>0</v>
      </c>
      <c r="AE69" s="1">
        <f>SUMIFS('フォームの回答 1'!$E:$E,'フォームの回答 1'!$B:$B,AE68,'フォームの回答 1'!$H:$H,$A69)</f>
        <v>2120</v>
      </c>
      <c r="AF69" s="1">
        <f>SUMIFS('フォームの回答 1'!$E:$E,'フォームの回答 1'!$B:$B,AF68,'フォームの回答 1'!$H:$H,$A69)</f>
        <v>0</v>
      </c>
      <c r="AG69" s="1">
        <f>SUMIFS('フォームの回答 1'!$E:$E,'フォームの回答 1'!$B:$B,AG68,'フォームの回答 1'!$H:$H,$A69)</f>
        <v>0</v>
      </c>
    </row>
    <row r="70" spans="1:36" ht="13">
      <c r="A70" s="2" t="s">
        <v>35</v>
      </c>
      <c r="B70" s="1">
        <f>SUM(C70:AG70)</f>
        <v>431222</v>
      </c>
      <c r="C70" s="1">
        <f>SUMIFS('フォームの回答 1'!$E:$E,'フォームの回答 1'!$B:$B,C68,'フォームの回答 1'!$H:$H,$A70,'フォームの回答 1'!$F:$F,"Cash")</f>
        <v>1980</v>
      </c>
      <c r="D70" s="1">
        <f>SUMIFS('フォームの回答 1'!$E:$E,'フォームの回答 1'!$B:$B,D68,'フォームの回答 1'!$H:$H,$A70,'フォームの回答 1'!$F:$F,"Cash")</f>
        <v>2373</v>
      </c>
      <c r="E70" s="1">
        <f>SUMIFS('フォームの回答 1'!$E:$E,'フォームの回答 1'!$B:$B,E68,'フォームの回答 1'!$H:$H,$A70,'フォームの回答 1'!$F:$F,"Cash")</f>
        <v>556</v>
      </c>
      <c r="F70" s="1">
        <f>SUMIFS('フォームの回答 1'!$E:$E,'フォームの回答 1'!$B:$B,F68,'フォームの回答 1'!$H:$H,$A70,'フォームの回答 1'!$F:$F,"Cash")</f>
        <v>0</v>
      </c>
      <c r="G70" s="1">
        <f>SUMIFS('フォームの回答 1'!$E:$E,'フォームの回答 1'!$B:$B,G68,'フォームの回答 1'!$H:$H,$A70,'フォームの回答 1'!$F:$F,"Cash")</f>
        <v>1420</v>
      </c>
      <c r="H70" s="1">
        <f>SUMIFS('フォームの回答 1'!$E:$E,'フォームの回答 1'!$B:$B,H68,'フォームの回答 1'!$H:$H,$A70,'フォームの回答 1'!$F:$F,"Cash")</f>
        <v>6169</v>
      </c>
      <c r="I70" s="1">
        <f>SUMIFS('フォームの回答 1'!$E:$E,'フォームの回答 1'!$B:$B,I68,'フォームの回答 1'!$H:$H,$A70,'フォームの回答 1'!$F:$F,"Cash")</f>
        <v>1580</v>
      </c>
      <c r="J70" s="1">
        <f>SUMIFS('フォームの回答 1'!$E:$E,'フォームの回答 1'!$B:$B,J68,'フォームの回答 1'!$H:$H,$A70,'フォームの回答 1'!$F:$F,"Cash")</f>
        <v>4855</v>
      </c>
      <c r="K70" s="1">
        <f>SUMIFS('フォームの回答 1'!$E:$E,'フォームの回答 1'!$B:$B,K68,'フォームの回答 1'!$H:$H,$A70,'フォームの回答 1'!$F:$F,"Cash")</f>
        <v>6180</v>
      </c>
      <c r="L70" s="1">
        <f>SUMIFS('フォームの回答 1'!$E:$E,'フォームの回答 1'!$B:$B,L68,'フォームの回答 1'!$H:$H,$A70,'フォームの回答 1'!$F:$F,"Cash")</f>
        <v>185</v>
      </c>
      <c r="M70" s="1">
        <f>SUMIFS('フォームの回答 1'!$E:$E,'フォームの回答 1'!$B:$B,M68,'フォームの回答 1'!$H:$H,$A70,'フォームの回答 1'!$F:$F,"Cash")</f>
        <v>660</v>
      </c>
      <c r="N70" s="1">
        <f>SUMIFS('フォームの回答 1'!$E:$E,'フォームの回答 1'!$B:$B,N68,'フォームの回答 1'!$H:$H,$A70,'フォームの回答 1'!$F:$F,"Cash")</f>
        <v>2450</v>
      </c>
      <c r="O70" s="1">
        <f>SUMIFS('フォームの回答 1'!$E:$E,'フォームの回答 1'!$B:$B,O68,'フォームの回答 1'!$H:$H,$A70,'フォームの回答 1'!$F:$F,"Cash")</f>
        <v>4300</v>
      </c>
      <c r="P70" s="1">
        <f>SUMIFS('フォームの回答 1'!$E:$E,'フォームの回答 1'!$B:$B,P68,'フォームの回答 1'!$H:$H,$A70,'フォームの回答 1'!$F:$F,"Cash")</f>
        <v>15636</v>
      </c>
      <c r="Q70" s="1">
        <f>SUMIFS('フォームの回答 1'!$E:$E,'フォームの回答 1'!$B:$B,Q68,'フォームの回答 1'!$H:$H,$A70,'フォームの回答 1'!$F:$F,"Cash")</f>
        <v>4358</v>
      </c>
      <c r="R70" s="1">
        <f>SUMIFS('フォームの回答 1'!$E:$E,'フォームの回答 1'!$B:$B,R68,'フォームの回答 1'!$H:$H,$A70,'フォームの回答 1'!$F:$F,"Cash")</f>
        <v>0</v>
      </c>
      <c r="S70" s="1">
        <f>SUMIFS('フォームの回答 1'!$E:$E,'フォームの回答 1'!$B:$B,S68,'フォームの回答 1'!$H:$H,$A70,'フォームの回答 1'!$F:$F,"Cash")</f>
        <v>0</v>
      </c>
      <c r="T70" s="1">
        <f>SUMIFS('フォームの回答 1'!$E:$E,'フォームの回答 1'!$B:$B,T68,'フォームの回答 1'!$H:$H,$A70,'フォームの回答 1'!$F:$F,"Cash")</f>
        <v>560</v>
      </c>
      <c r="U70" s="1">
        <f>SUMIFS('フォームの回答 1'!$E:$E,'フォームの回答 1'!$B:$B,U68,'フォームの回答 1'!$H:$H,$A70,'フォームの回答 1'!$F:$F,"Cash")</f>
        <v>2587</v>
      </c>
      <c r="V70" s="1">
        <f>SUMIFS('フォームの回答 1'!$E:$E,'フォームの回答 1'!$B:$B,V68,'フォームの回答 1'!$H:$H,$A70,'フォームの回答 1'!$F:$F,"Cash")</f>
        <v>1421</v>
      </c>
      <c r="W70" s="1">
        <f>SUMIFS('フォームの回答 1'!$E:$E,'フォームの回答 1'!$B:$B,W68,'フォームの回答 1'!$H:$H,$A70,'フォームの回答 1'!$F:$F,"Cash")</f>
        <v>11300</v>
      </c>
      <c r="X70" s="1">
        <f>SUMIFS('フォームの回答 1'!$E:$E,'フォームの回答 1'!$B:$B,X68,'フォームの回答 1'!$H:$H,$A70,'フォームの回答 1'!$F:$F,"Cash")</f>
        <v>10070</v>
      </c>
      <c r="Y70" s="1">
        <f>SUMIFS('フォームの回答 1'!$E:$E,'フォームの回答 1'!$B:$B,Y68,'フォームの回答 1'!$H:$H,$A70,'フォームの回答 1'!$F:$F,"Cash")</f>
        <v>0</v>
      </c>
      <c r="Z70" s="1">
        <f>SUMIFS('フォームの回答 1'!$E:$E,'フォームの回答 1'!$B:$B,Z68,'フォームの回答 1'!$H:$H,$A70,'フォームの回答 1'!$F:$F,"Cash")</f>
        <v>2650</v>
      </c>
      <c r="AA70" s="1">
        <f>SUMIFS('フォームの回答 1'!$E:$E,'フォームの回答 1'!$B:$B,AA68,'フォームの回答 1'!$H:$H,$A70,'フォームの回答 1'!$F:$F,"Cash")</f>
        <v>34734</v>
      </c>
      <c r="AB70" s="1">
        <f>SUMIFS('フォームの回答 1'!$E:$E,'フォームの回答 1'!$B:$B,AB68,'フォームの回答 1'!$H:$H,$A70,'フォームの回答 1'!$F:$F,"Cash")</f>
        <v>3538</v>
      </c>
      <c r="AC70" s="1">
        <f>SUMIFS('フォームの回答 1'!$E:$E,'フォームの回答 1'!$B:$B,AC68,'フォームの回答 1'!$H:$H,$A70,'フォームの回答 1'!$F:$F,"Cash")+AI68</f>
        <v>299342</v>
      </c>
      <c r="AD70" s="1">
        <f>SUMIFS('フォームの回答 1'!$E:$E,'フォームの回答 1'!$B:$B,AD68,'フォームの回答 1'!$H:$H,$A70,'フォームの回答 1'!$F:$F,"Cash")</f>
        <v>738</v>
      </c>
      <c r="AE70" s="1">
        <f>SUMIFS('フォームの回答 1'!$E:$E,'フォームの回答 1'!$B:$B,AE68,'フォームの回答 1'!$H:$H,$A70,'フォームの回答 1'!$F:$F,"Cash")</f>
        <v>2273</v>
      </c>
      <c r="AF70" s="1">
        <f>SUMIFS('フォームの回答 1'!$E:$E,'フォームの回答 1'!$B:$B,AF68,'フォームの回答 1'!$H:$H,$A70,'フォームの回答 1'!$F:$F,"Cash")</f>
        <v>2378</v>
      </c>
      <c r="AG70" s="1">
        <f>SUMIFS('フォームの回答 1'!$E:$E,'フォームの回答 1'!$B:$B,AG68,'フォームの回答 1'!$H:$H,$A70,'フォームの回答 1'!$F:$F,"Cash")</f>
        <v>6929</v>
      </c>
    </row>
    <row r="71" spans="1:36" ht="13">
      <c r="A71" s="2" t="s">
        <v>32</v>
      </c>
      <c r="C71" s="1">
        <f>AF65+C69-C70</f>
        <v>37607</v>
      </c>
      <c r="D71" s="1">
        <f t="shared" ref="D71:AG71" si="11">C71+D69-D70</f>
        <v>35234</v>
      </c>
      <c r="E71" s="1">
        <f t="shared" si="11"/>
        <v>34678</v>
      </c>
      <c r="F71" s="1">
        <f t="shared" si="11"/>
        <v>63321</v>
      </c>
      <c r="G71" s="1">
        <f t="shared" si="11"/>
        <v>61901</v>
      </c>
      <c r="H71" s="1">
        <f t="shared" si="11"/>
        <v>55732</v>
      </c>
      <c r="I71" s="1">
        <f t="shared" si="11"/>
        <v>54152</v>
      </c>
      <c r="J71" s="1">
        <f t="shared" si="11"/>
        <v>49297</v>
      </c>
      <c r="K71" s="1">
        <f t="shared" si="11"/>
        <v>43117</v>
      </c>
      <c r="L71" s="1">
        <f t="shared" si="11"/>
        <v>42932</v>
      </c>
      <c r="M71" s="1">
        <f t="shared" si="11"/>
        <v>42272</v>
      </c>
      <c r="N71" s="1">
        <f t="shared" si="11"/>
        <v>39822</v>
      </c>
      <c r="O71" s="1">
        <f t="shared" si="11"/>
        <v>35522</v>
      </c>
      <c r="P71" s="1">
        <f t="shared" si="11"/>
        <v>19886</v>
      </c>
      <c r="Q71" s="1">
        <f t="shared" si="11"/>
        <v>15528</v>
      </c>
      <c r="R71" s="1">
        <f t="shared" si="11"/>
        <v>15528</v>
      </c>
      <c r="S71" s="1">
        <f t="shared" si="11"/>
        <v>15528</v>
      </c>
      <c r="T71" s="1">
        <f t="shared" si="11"/>
        <v>44968</v>
      </c>
      <c r="U71" s="1">
        <f t="shared" si="11"/>
        <v>42381</v>
      </c>
      <c r="V71" s="1">
        <f t="shared" si="11"/>
        <v>40960</v>
      </c>
      <c r="W71" s="1">
        <f t="shared" si="11"/>
        <v>29660</v>
      </c>
      <c r="X71" s="1">
        <f t="shared" si="11"/>
        <v>19590</v>
      </c>
      <c r="Y71" s="1">
        <f t="shared" si="11"/>
        <v>19590</v>
      </c>
      <c r="Z71" s="1">
        <f t="shared" si="11"/>
        <v>16940</v>
      </c>
      <c r="AA71" s="1">
        <f t="shared" si="11"/>
        <v>339130</v>
      </c>
      <c r="AB71" s="1">
        <f t="shared" si="11"/>
        <v>335592</v>
      </c>
      <c r="AC71" s="1">
        <f t="shared" si="11"/>
        <v>36250</v>
      </c>
      <c r="AD71" s="1">
        <f t="shared" si="11"/>
        <v>35512</v>
      </c>
      <c r="AE71" s="1">
        <f t="shared" si="11"/>
        <v>35359</v>
      </c>
      <c r="AF71" s="1">
        <f t="shared" si="11"/>
        <v>32981</v>
      </c>
      <c r="AG71" s="1">
        <f t="shared" si="11"/>
        <v>26052</v>
      </c>
    </row>
  </sheetData>
  <mergeCells count="12">
    <mergeCell ref="B31:AF31"/>
    <mergeCell ref="B37:AG37"/>
    <mergeCell ref="B1:AG1"/>
    <mergeCell ref="B7:AE7"/>
    <mergeCell ref="B13:AG13"/>
    <mergeCell ref="B19:AF19"/>
    <mergeCell ref="B25:AG25"/>
    <mergeCell ref="B43:AG43"/>
    <mergeCell ref="B49:AF49"/>
    <mergeCell ref="B55:AG55"/>
    <mergeCell ref="B61:AF61"/>
    <mergeCell ref="B67:AG67"/>
  </mergeCells>
  <phoneticPr fontId="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L71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cols>
    <col min="35" max="35" width="20.33203125" customWidth="1"/>
  </cols>
  <sheetData>
    <row r="1" spans="1:36" ht="15.75" customHeight="1">
      <c r="B1" s="20" t="s">
        <v>54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spans="1:36" ht="15.75" customHeight="1">
      <c r="B2" s="2" t="s">
        <v>29</v>
      </c>
      <c r="C2" s="11">
        <v>45658</v>
      </c>
      <c r="D2" s="11">
        <v>45659</v>
      </c>
      <c r="E2" s="11">
        <v>45660</v>
      </c>
      <c r="F2" s="11">
        <v>45661</v>
      </c>
      <c r="G2" s="11">
        <v>45662</v>
      </c>
      <c r="H2" s="11">
        <v>45663</v>
      </c>
      <c r="I2" s="11">
        <v>45664</v>
      </c>
      <c r="J2" s="11">
        <v>45665</v>
      </c>
      <c r="K2" s="11">
        <v>45666</v>
      </c>
      <c r="L2" s="11">
        <v>45667</v>
      </c>
      <c r="M2" s="11">
        <v>45668</v>
      </c>
      <c r="N2" s="11">
        <v>45669</v>
      </c>
      <c r="O2" s="11">
        <v>45670</v>
      </c>
      <c r="P2" s="11">
        <v>45671</v>
      </c>
      <c r="Q2" s="11">
        <v>45672</v>
      </c>
      <c r="R2" s="11">
        <v>45673</v>
      </c>
      <c r="S2" s="11">
        <v>45674</v>
      </c>
      <c r="T2" s="11">
        <v>45675</v>
      </c>
      <c r="U2" s="11">
        <v>45676</v>
      </c>
      <c r="V2" s="11">
        <v>45677</v>
      </c>
      <c r="W2" s="11">
        <v>45678</v>
      </c>
      <c r="X2" s="11">
        <v>45679</v>
      </c>
      <c r="Y2" s="11">
        <v>45680</v>
      </c>
      <c r="Z2" s="11">
        <v>45681</v>
      </c>
      <c r="AA2" s="11">
        <v>45682</v>
      </c>
      <c r="AB2" s="11">
        <v>45683</v>
      </c>
      <c r="AC2" s="11">
        <v>45684</v>
      </c>
      <c r="AD2" s="11">
        <v>45685</v>
      </c>
      <c r="AE2" s="11">
        <v>45686</v>
      </c>
      <c r="AF2" s="11">
        <v>45687</v>
      </c>
      <c r="AG2" s="11">
        <v>45688</v>
      </c>
      <c r="AI2" s="2" t="s">
        <v>55</v>
      </c>
    </row>
    <row r="3" spans="1:36" ht="15.75" customHeight="1">
      <c r="A3" s="2" t="s">
        <v>34</v>
      </c>
      <c r="B3" s="1">
        <f>SUM(V3:AG3)</f>
        <v>340997</v>
      </c>
      <c r="C3" s="1">
        <f>SUMIFS('フォームの回答 1'!$E:$E,'フォームの回答 1'!$B:$B,C2,'フォームの回答 1'!$H:$H,$A3)</f>
        <v>0</v>
      </c>
      <c r="D3" s="1">
        <f>SUMIFS('フォームの回答 1'!$E:$E,'フォームの回答 1'!$B:$B,D2,'フォームの回答 1'!$H:$H,$A3)</f>
        <v>0</v>
      </c>
      <c r="E3" s="1">
        <f>SUMIFS('フォームの回答 1'!$E:$E,'フォームの回答 1'!$B:$B,E2,'フォームの回答 1'!$H:$H,$A3)</f>
        <v>0</v>
      </c>
      <c r="F3" s="1">
        <f>SUMIFS('フォームの回答 1'!$E:$E,'フォームの回答 1'!$B:$B,F2,'フォームの回答 1'!$H:$H,$A3)</f>
        <v>0</v>
      </c>
      <c r="G3" s="1">
        <f>SUMIFS('フォームの回答 1'!$E:$E,'フォームの回答 1'!$B:$B,G2,'フォームの回答 1'!$H:$H,$A3)</f>
        <v>0</v>
      </c>
      <c r="H3" s="1">
        <f>SUMIFS('フォームの回答 1'!$E:$E,'フォームの回答 1'!$B:$B,H2,'フォームの回答 1'!$H:$H,$A3)</f>
        <v>0</v>
      </c>
      <c r="I3" s="1">
        <f>SUMIFS('フォームの回答 1'!$E:$E,'フォームの回答 1'!$B:$B,I2,'フォームの回答 1'!$H:$H,$A3)</f>
        <v>0</v>
      </c>
      <c r="J3" s="1">
        <f>SUMIFS('フォームの回答 1'!$E:$E,'フォームの回答 1'!$B:$B,J2,'フォームの回答 1'!$H:$H,$A3)</f>
        <v>11396</v>
      </c>
      <c r="K3" s="1">
        <f>SUMIFS('フォームの回答 1'!$E:$E,'フォームの回答 1'!$B:$B,K2,'フォームの回答 1'!$H:$H,$A3)</f>
        <v>0</v>
      </c>
      <c r="L3" s="1">
        <f>SUMIFS('フォームの回答 1'!$E:$E,'フォームの回答 1'!$B:$B,L2,'フォームの回答 1'!$H:$H,$A3)</f>
        <v>0</v>
      </c>
      <c r="M3" s="1">
        <f>SUMIFS('フォームの回答 1'!$E:$E,'フォームの回答 1'!$B:$B,M2,'フォームの回答 1'!$H:$H,$A3)</f>
        <v>0</v>
      </c>
      <c r="N3" s="1">
        <f>SUMIFS('フォームの回答 1'!$E:$E,'フォームの回答 1'!$B:$B,N2,'フォームの回答 1'!$H:$H,$A3)</f>
        <v>0</v>
      </c>
      <c r="O3" s="1">
        <f>SUMIFS('フォームの回答 1'!$E:$E,'フォームの回答 1'!$B:$B,O2,'フォームの回答 1'!$H:$H,$A3)</f>
        <v>0</v>
      </c>
      <c r="P3" s="1">
        <f>SUMIFS('フォームの回答 1'!$E:$E,'フォームの回答 1'!$B:$B,P2,'フォームの回答 1'!$H:$H,$A3)</f>
        <v>4000</v>
      </c>
      <c r="Q3" s="1">
        <f>SUMIFS('フォームの回答 1'!$E:$E,'フォームの回答 1'!$B:$B,Q2,'フォームの回答 1'!$H:$H,$A3)</f>
        <v>0</v>
      </c>
      <c r="R3" s="1">
        <f>SUMIFS('フォームの回答 1'!$E:$E,'フォームの回答 1'!$B:$B,R2,'フォームの回答 1'!$H:$H,$A3)</f>
        <v>0</v>
      </c>
      <c r="S3" s="1">
        <f>SUMIFS('フォームの回答 1'!$E:$E,'フォームの回答 1'!$B:$B,S2,'フォームの回答 1'!$H:$H,$A3)</f>
        <v>0</v>
      </c>
      <c r="T3" s="1">
        <f>SUMIFS('フォームの回答 1'!$E:$E,'フォームの回答 1'!$B:$B,T2,'フォームの回答 1'!$H:$H,$A3)</f>
        <v>30000</v>
      </c>
      <c r="U3" s="1">
        <f>SUMIFS('フォームの回答 1'!$E:$E,'フォームの回答 1'!$B:$B,U2,'フォームの回答 1'!$H:$H,$A3)</f>
        <v>0</v>
      </c>
      <c r="V3" s="1">
        <f>SUMIFS('フォームの回答 1'!$E:$E,'フォームの回答 1'!$B:$B,V2,'フォームの回答 1'!$H:$H,$A3)</f>
        <v>0</v>
      </c>
      <c r="W3" s="1">
        <f>SUMIFS('フォームの回答 1'!$E:$E,'フォームの回答 1'!$B:$B,W2,'フォームの回答 1'!$H:$H,$A3)</f>
        <v>0</v>
      </c>
      <c r="X3" s="1">
        <f>SUMIFS('フォームの回答 1'!$E:$E,'フォームの回答 1'!$B:$B,X2,'フォームの回答 1'!$H:$H,$A3)</f>
        <v>0</v>
      </c>
      <c r="Y3" s="1">
        <f>SUMIFS('フォームの回答 1'!$E:$E,'フォームの回答 1'!$B:$B,Y2,'フォームの回答 1'!$H:$H,$A3)</f>
        <v>0</v>
      </c>
      <c r="Z3" s="1">
        <f>SUMIFS('フォームの回答 1'!$E:$E,'フォームの回答 1'!$B:$B,Z2,'フォームの回答 1'!$H:$H,$A3)</f>
        <v>340997</v>
      </c>
      <c r="AA3" s="1">
        <f>SUMIFS('フォームの回答 1'!$E:$E,'フォームの回答 1'!$B:$B,AA2,'フォームの回答 1'!$H:$H,$A3)</f>
        <v>0</v>
      </c>
      <c r="AB3" s="1">
        <f>SUMIFS('フォームの回答 1'!$E:$E,'フォームの回答 1'!$B:$B,AB2,'フォームの回答 1'!$H:$H,$A3)</f>
        <v>0</v>
      </c>
      <c r="AC3" s="1">
        <f>SUMIFS('フォームの回答 1'!$E:$E,'フォームの回答 1'!$B:$B,AC2,'フォームの回答 1'!$H:$H,$A3)</f>
        <v>0</v>
      </c>
      <c r="AD3" s="1">
        <f>SUMIFS('フォームの回答 1'!$E:$E,'フォームの回答 1'!$B:$B,AD2,'フォームの回答 1'!$H:$H,$A3)</f>
        <v>0</v>
      </c>
      <c r="AE3" s="1">
        <f>SUMIFS('フォームの回答 1'!$E:$E,'フォームの回答 1'!$B:$B,AE2,'フォームの回答 1'!$H:$H,$A3)</f>
        <v>0</v>
      </c>
      <c r="AF3" s="1">
        <f>SUMIFS('フォームの回答 1'!$E:$E,'フォームの回答 1'!$B:$B,AF2,'フォームの回答 1'!$H:$H,$A3)</f>
        <v>0</v>
      </c>
      <c r="AG3" s="1">
        <f>SUMIFS('フォームの回答 1'!$E:$E,'フォームの回答 1'!$B:$B,AG2,'フォームの回答 1'!$H:$H,$A3)</f>
        <v>0</v>
      </c>
      <c r="AI3" s="1">
        <f>130329</f>
        <v>130329</v>
      </c>
    </row>
    <row r="4" spans="1:36" ht="15.75" customHeight="1">
      <c r="A4" s="2" t="s">
        <v>35</v>
      </c>
      <c r="B4" s="1">
        <f>SUM(V4:AG4)</f>
        <v>317103</v>
      </c>
      <c r="C4" s="1">
        <f>SUMIFS('フォームの回答 1'!$E:$E,'フォームの回答 1'!$B:$B,C2,'フォームの回答 1'!$H:$H,$A4,'フォームの回答 1'!$F:$F,"Cash")</f>
        <v>3785</v>
      </c>
      <c r="D4" s="1">
        <f>SUMIFS('フォームの回答 1'!$E:$E,'フォームの回答 1'!$B:$B,D2,'フォームの回答 1'!$H:$H,$A4,'フォームの回答 1'!$F:$F,"Cash")</f>
        <v>0</v>
      </c>
      <c r="E4" s="1">
        <f>SUMIFS('フォームの回答 1'!$E:$E,'フォームの回答 1'!$B:$B,E2,'フォームの回答 1'!$H:$H,$A4,'フォームの回答 1'!$F:$F,"Cash")</f>
        <v>1100</v>
      </c>
      <c r="F4" s="1">
        <f>SUMIFS('フォームの回答 1'!$E:$E,'フォームの回答 1'!$B:$B,F2,'フォームの回答 1'!$H:$H,$A4,'フォームの回答 1'!$F:$F,"Cash")</f>
        <v>1578</v>
      </c>
      <c r="G4" s="1">
        <f>SUMIFS('フォームの回答 1'!$E:$E,'フォームの回答 1'!$B:$B,G2,'フォームの回答 1'!$H:$H,$A4,'フォームの回答 1'!$F:$F,"Cash")</f>
        <v>2311</v>
      </c>
      <c r="H4" s="1">
        <f>SUMIFS('フォームの回答 1'!$E:$E,'フォームの回答 1'!$B:$B,H2,'フォームの回答 1'!$H:$H,$A4,'フォームの回答 1'!$F:$F,"Cash")</f>
        <v>3967</v>
      </c>
      <c r="I4" s="1">
        <f>SUMIFS('フォームの回答 1'!$E:$E,'フォームの回答 1'!$B:$B,I2,'フォームの回答 1'!$H:$H,$A4,'フォームの回答 1'!$F:$F,"Cash")</f>
        <v>600</v>
      </c>
      <c r="J4" s="1">
        <f>SUMIFS('フォームの回答 1'!$E:$E,'フォームの回答 1'!$B:$B,J2,'フォームの回答 1'!$H:$H,$A4,'フォームの回答 1'!$F:$F,"Cash")</f>
        <v>618</v>
      </c>
      <c r="K4" s="1">
        <f>SUMIFS('フォームの回答 1'!$E:$E,'フォームの回答 1'!$B:$B,K2,'フォームの回答 1'!$H:$H,$A4,'フォームの回答 1'!$F:$F,"Cash")</f>
        <v>1000</v>
      </c>
      <c r="L4" s="1">
        <f>SUMIFS('フォームの回答 1'!$E:$E,'フォームの回答 1'!$B:$B,L2,'フォームの回答 1'!$H:$H,$A4,'フォームの回答 1'!$F:$F,"Cash")</f>
        <v>0</v>
      </c>
      <c r="M4" s="1">
        <f>SUMIFS('フォームの回答 1'!$E:$E,'フォームの回答 1'!$B:$B,M2,'フォームの回答 1'!$H:$H,$A4,'フォームの回答 1'!$F:$F,"Cash")</f>
        <v>1295</v>
      </c>
      <c r="N4" s="1">
        <f>SUMIFS('フォームの回答 1'!$E:$E,'フォームの回答 1'!$B:$B,N2,'フォームの回答 1'!$H:$H,$A4,'フォームの回答 1'!$F:$F,"Cash")</f>
        <v>8826</v>
      </c>
      <c r="O4" s="1">
        <f>SUMIFS('フォームの回答 1'!$E:$E,'フォームの回答 1'!$B:$B,O2,'フォームの回答 1'!$H:$H,$A4,'フォームの回答 1'!$F:$F,"Cash")</f>
        <v>3700</v>
      </c>
      <c r="P4" s="1">
        <f>SUMIFS('フォームの回答 1'!$E:$E,'フォームの回答 1'!$B:$B,P2,'フォームの回答 1'!$H:$H,$A4,'フォームの回答 1'!$F:$F,"Cash")</f>
        <v>9190</v>
      </c>
      <c r="Q4" s="1">
        <f>SUMIFS('フォームの回答 1'!$E:$E,'フォームの回答 1'!$B:$B,Q2,'フォームの回答 1'!$H:$H,$A4,'フォームの回答 1'!$F:$F,"Cash")</f>
        <v>0</v>
      </c>
      <c r="R4" s="1">
        <f>SUMIFS('フォームの回答 1'!$E:$E,'フォームの回答 1'!$B:$B,R2,'フォームの回答 1'!$H:$H,$A4,'フォームの回答 1'!$F:$F,"Cash")</f>
        <v>120</v>
      </c>
      <c r="S4" s="1">
        <f>SUMIFS('フォームの回答 1'!$E:$E,'フォームの回答 1'!$B:$B,S2,'フォームの回答 1'!$H:$H,$A4,'フォームの回答 1'!$F:$F,"Cash")</f>
        <v>3000</v>
      </c>
      <c r="T4" s="1">
        <f>SUMIFS('フォームの回答 1'!$E:$E,'フォームの回答 1'!$B:$B,T2,'フォームの回答 1'!$H:$H,$A4,'フォームの回答 1'!$F:$F,"Cash")</f>
        <v>8513</v>
      </c>
      <c r="U4" s="1">
        <f>SUMIFS('フォームの回答 1'!$E:$E,'フォームの回答 1'!$B:$B,U2,'フォームの回答 1'!$H:$H,$A4,'フォームの回答 1'!$F:$F,"Cash")</f>
        <v>0</v>
      </c>
      <c r="V4" s="1">
        <f>SUMIFS('フォームの回答 1'!$E:$E,'フォームの回答 1'!$B:$B,V2,'フォームの回答 1'!$H:$H,$A4,'フォームの回答 1'!$F:$F,"Cash")</f>
        <v>0</v>
      </c>
      <c r="W4" s="1">
        <f>SUMIFS('フォームの回答 1'!$E:$E,'フォームの回答 1'!$B:$B,W2,'フォームの回答 1'!$H:$H,$A4,'フォームの回答 1'!$F:$F,"Cash")</f>
        <v>1640</v>
      </c>
      <c r="X4" s="1">
        <f>SUMIFS('フォームの回答 1'!$E:$E,'フォームの回答 1'!$B:$B,X2,'フォームの回答 1'!$H:$H,$A4,'フォームの回答 1'!$F:$F,"Cash")</f>
        <v>3290</v>
      </c>
      <c r="Y4" s="1">
        <f>SUMIFS('フォームの回答 1'!$E:$E,'フォームの回答 1'!$B:$B,Y2,'フォームの回答 1'!$H:$H,$A4,'フォームの回答 1'!$F:$F,"Cash")</f>
        <v>0</v>
      </c>
      <c r="Z4" s="1">
        <f>SUMIFS('フォームの回答 1'!$E:$E,'フォームの回答 1'!$B:$B,Z2,'フォームの回答 1'!$H:$H,$A4,'フォームの回答 1'!$F:$F,"Cash")</f>
        <v>650</v>
      </c>
      <c r="AA4" s="1">
        <f>SUMIFS('フォームの回答 1'!$E:$E,'フォームの回答 1'!$B:$B,AA2,'フォームの回答 1'!$H:$H,$A4,'フォームの回答 1'!$F:$F,"Cash")</f>
        <v>2232</v>
      </c>
      <c r="AB4" s="1">
        <f>SUMIFS('フォームの回答 1'!$E:$E,'フォームの回答 1'!$B:$B,AB2,'フォームの回答 1'!$H:$H,$A4,'フォームの回答 1'!$F:$F,"Cash")</f>
        <v>3113</v>
      </c>
      <c r="AC4" s="1">
        <f>SUMIFS('フォームの回答 1'!$E:$E,'フォームの回答 1'!$B:$B,AC2,'フォームの回答 1'!$H:$H,$A4,'フォームの回答 1'!$F:$F,"Cash")+AI3</f>
        <v>299288</v>
      </c>
      <c r="AD4" s="1">
        <f>SUMIFS('フォームの回答 1'!$E:$E,'フォームの回答 1'!$B:$B,AD2,'フォームの回答 1'!$H:$H,$A4,'フォームの回答 1'!$F:$F,"Cash")</f>
        <v>2845</v>
      </c>
      <c r="AE4" s="1">
        <f>SUMIFS('フォームの回答 1'!$E:$E,'フォームの回答 1'!$B:$B,AE2,'フォームの回答 1'!$H:$H,$A4,'フォームの回答 1'!$F:$F,"Cash")</f>
        <v>1440</v>
      </c>
      <c r="AF4" s="1">
        <f>SUMIFS('フォームの回答 1'!$E:$E,'フォームの回答 1'!$B:$B,AF2,'フォームの回答 1'!$H:$H,$A4,'フォームの回答 1'!$F:$F,"Cash")</f>
        <v>0</v>
      </c>
      <c r="AG4" s="1">
        <f>SUMIFS('フォームの回答 1'!$E:$E,'フォームの回答 1'!$B:$B,AG2,'フォームの回答 1'!$H:$H,$A4,'フォームの回答 1'!$F:$F,"Cash")</f>
        <v>2605</v>
      </c>
      <c r="AJ4" s="1"/>
    </row>
    <row r="5" spans="1:36" ht="15.75" customHeight="1">
      <c r="A5" s="2" t="s">
        <v>32</v>
      </c>
      <c r="C5" s="1">
        <f>【Daily】2024年!AG71+C3-C4</f>
        <v>22267</v>
      </c>
      <c r="D5" s="1">
        <f t="shared" ref="D5:AG5" si="0">C5+D3-D4</f>
        <v>22267</v>
      </c>
      <c r="E5" s="1">
        <f t="shared" si="0"/>
        <v>21167</v>
      </c>
      <c r="F5" s="1">
        <f t="shared" si="0"/>
        <v>19589</v>
      </c>
      <c r="G5" s="1">
        <f t="shared" si="0"/>
        <v>17278</v>
      </c>
      <c r="H5" s="1">
        <f t="shared" si="0"/>
        <v>13311</v>
      </c>
      <c r="I5" s="1">
        <f t="shared" si="0"/>
        <v>12711</v>
      </c>
      <c r="J5" s="1">
        <f t="shared" si="0"/>
        <v>23489</v>
      </c>
      <c r="K5" s="1">
        <f t="shared" si="0"/>
        <v>22489</v>
      </c>
      <c r="L5" s="1">
        <f t="shared" si="0"/>
        <v>22489</v>
      </c>
      <c r="M5" s="1">
        <f t="shared" si="0"/>
        <v>21194</v>
      </c>
      <c r="N5" s="1">
        <f t="shared" si="0"/>
        <v>12368</v>
      </c>
      <c r="O5" s="1">
        <f t="shared" si="0"/>
        <v>8668</v>
      </c>
      <c r="P5" s="1">
        <f t="shared" si="0"/>
        <v>3478</v>
      </c>
      <c r="Q5" s="1">
        <f t="shared" si="0"/>
        <v>3478</v>
      </c>
      <c r="R5" s="1">
        <f t="shared" si="0"/>
        <v>3358</v>
      </c>
      <c r="S5" s="1">
        <f t="shared" si="0"/>
        <v>358</v>
      </c>
      <c r="T5" s="1">
        <f t="shared" si="0"/>
        <v>21845</v>
      </c>
      <c r="U5" s="1">
        <f t="shared" si="0"/>
        <v>21845</v>
      </c>
      <c r="V5" s="1">
        <f t="shared" si="0"/>
        <v>21845</v>
      </c>
      <c r="W5" s="1">
        <f t="shared" si="0"/>
        <v>20205</v>
      </c>
      <c r="X5" s="1">
        <f t="shared" si="0"/>
        <v>16915</v>
      </c>
      <c r="Y5" s="1">
        <f t="shared" si="0"/>
        <v>16915</v>
      </c>
      <c r="Z5" s="1">
        <f t="shared" si="0"/>
        <v>357262</v>
      </c>
      <c r="AA5" s="1">
        <f t="shared" si="0"/>
        <v>355030</v>
      </c>
      <c r="AB5" s="1">
        <f t="shared" si="0"/>
        <v>351917</v>
      </c>
      <c r="AC5" s="1">
        <f t="shared" si="0"/>
        <v>52629</v>
      </c>
      <c r="AD5" s="1">
        <f t="shared" si="0"/>
        <v>49784</v>
      </c>
      <c r="AE5" s="1">
        <f t="shared" si="0"/>
        <v>48344</v>
      </c>
      <c r="AF5" s="1">
        <f t="shared" si="0"/>
        <v>48344</v>
      </c>
      <c r="AG5" s="1">
        <f t="shared" si="0"/>
        <v>45739</v>
      </c>
      <c r="AJ5" s="1"/>
    </row>
    <row r="7" spans="1:36" ht="15.75" customHeight="1">
      <c r="B7" s="20" t="s">
        <v>56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12"/>
      <c r="AF7" s="12"/>
      <c r="AG7" s="12"/>
    </row>
    <row r="8" spans="1:36" ht="15.75" customHeight="1">
      <c r="B8" s="2" t="s">
        <v>29</v>
      </c>
      <c r="C8" s="11">
        <v>45689</v>
      </c>
      <c r="D8" s="11">
        <v>45690</v>
      </c>
      <c r="E8" s="11">
        <v>45691</v>
      </c>
      <c r="F8" s="11">
        <v>45692</v>
      </c>
      <c r="G8" s="11">
        <v>45693</v>
      </c>
      <c r="H8" s="11">
        <v>45694</v>
      </c>
      <c r="I8" s="11">
        <v>45695</v>
      </c>
      <c r="J8" s="11">
        <v>45696</v>
      </c>
      <c r="K8" s="11">
        <v>45697</v>
      </c>
      <c r="L8" s="11">
        <v>45698</v>
      </c>
      <c r="M8" s="11">
        <v>45699</v>
      </c>
      <c r="N8" s="11">
        <v>45700</v>
      </c>
      <c r="O8" s="11">
        <v>45701</v>
      </c>
      <c r="P8" s="11">
        <v>45702</v>
      </c>
      <c r="Q8" s="11">
        <v>45703</v>
      </c>
      <c r="R8" s="11">
        <v>45704</v>
      </c>
      <c r="S8" s="11">
        <v>45705</v>
      </c>
      <c r="T8" s="11">
        <v>45706</v>
      </c>
      <c r="U8" s="11">
        <v>45707</v>
      </c>
      <c r="V8" s="11">
        <v>45708</v>
      </c>
      <c r="W8" s="11">
        <v>45709</v>
      </c>
      <c r="X8" s="11">
        <v>45710</v>
      </c>
      <c r="Y8" s="11">
        <v>45711</v>
      </c>
      <c r="Z8" s="11">
        <v>45712</v>
      </c>
      <c r="AA8" s="11">
        <v>45713</v>
      </c>
      <c r="AB8" s="11">
        <v>45714</v>
      </c>
      <c r="AC8" s="11">
        <v>45715</v>
      </c>
      <c r="AD8" s="11">
        <v>45716</v>
      </c>
      <c r="AE8" s="11"/>
      <c r="AF8" s="11"/>
      <c r="AG8" s="11"/>
      <c r="AI8" s="2" t="s">
        <v>57</v>
      </c>
    </row>
    <row r="9" spans="1:36" ht="15.75" customHeight="1">
      <c r="A9" s="2" t="s">
        <v>34</v>
      </c>
      <c r="B9" s="1">
        <f>SUM(V9:AG9)</f>
        <v>393067</v>
      </c>
      <c r="C9" s="1">
        <f>SUMIFS('フォームの回答 1'!$E:$E,'フォームの回答 1'!$B:$B,C8,'フォームの回答 1'!$H:$H,$A9)</f>
        <v>0</v>
      </c>
      <c r="D9" s="1">
        <f>SUMIFS('フォームの回答 1'!$E:$E,'フォームの回答 1'!$B:$B,D8,'フォームの回答 1'!$H:$H,$A9)</f>
        <v>0</v>
      </c>
      <c r="E9" s="1">
        <f>SUMIFS('フォームの回答 1'!$E:$E,'フォームの回答 1'!$B:$B,E8,'フォームの回答 1'!$H:$H,$A9)</f>
        <v>16436</v>
      </c>
      <c r="F9" s="1">
        <f>SUMIFS('フォームの回答 1'!$E:$E,'フォームの回答 1'!$B:$B,F8,'フォームの回答 1'!$H:$H,$A9)</f>
        <v>0</v>
      </c>
      <c r="G9" s="1">
        <f>SUMIFS('フォームの回答 1'!$E:$E,'フォームの回答 1'!$B:$B,G8,'フォームの回答 1'!$H:$H,$A9)</f>
        <v>0</v>
      </c>
      <c r="H9" s="1">
        <f>SUMIFS('フォームの回答 1'!$E:$E,'フォームの回答 1'!$B:$B,H8,'フォームの回答 1'!$H:$H,$A9)</f>
        <v>0</v>
      </c>
      <c r="I9" s="1">
        <f>SUMIFS('フォームの回答 1'!$E:$E,'フォームの回答 1'!$B:$B,I8,'フォームの回答 1'!$H:$H,$A9)</f>
        <v>0</v>
      </c>
      <c r="J9" s="1">
        <f>SUMIFS('フォームの回答 1'!$E:$E,'フォームの回答 1'!$B:$B,J8,'フォームの回答 1'!$H:$H,$A9)</f>
        <v>1000</v>
      </c>
      <c r="K9" s="1">
        <f>SUMIFS('フォームの回答 1'!$E:$E,'フォームの回答 1'!$B:$B,K8,'フォームの回答 1'!$H:$H,$A9)</f>
        <v>3000</v>
      </c>
      <c r="L9" s="1">
        <f>SUMIFS('フォームの回答 1'!$E:$E,'フォームの回答 1'!$B:$B,L8,'フォームの回答 1'!$H:$H,$A9)</f>
        <v>0</v>
      </c>
      <c r="M9" s="1">
        <f>SUMIFS('フォームの回答 1'!$E:$E,'フォームの回答 1'!$B:$B,M8,'フォームの回答 1'!$H:$H,$A9)</f>
        <v>0</v>
      </c>
      <c r="N9" s="1">
        <f>SUMIFS('フォームの回答 1'!$E:$E,'フォームの回答 1'!$B:$B,N8,'フォームの回答 1'!$H:$H,$A9)</f>
        <v>0</v>
      </c>
      <c r="O9" s="1">
        <f>SUMIFS('フォームの回答 1'!$E:$E,'フォームの回答 1'!$B:$B,O8,'フォームの回答 1'!$H:$H,$A9)</f>
        <v>0</v>
      </c>
      <c r="P9" s="1">
        <f>SUMIFS('フォームの回答 1'!$E:$E,'フォームの回答 1'!$B:$B,P8,'フォームの回答 1'!$H:$H,$A9)</f>
        <v>0</v>
      </c>
      <c r="Q9" s="1">
        <f>SUMIFS('フォームの回答 1'!$E:$E,'フォームの回答 1'!$B:$B,Q8,'フォームの回答 1'!$H:$H,$A9)</f>
        <v>0</v>
      </c>
      <c r="R9" s="1">
        <f>SUMIFS('フォームの回答 1'!$E:$E,'フォームの回答 1'!$B:$B,R8,'フォームの回答 1'!$H:$H,$A9)</f>
        <v>0</v>
      </c>
      <c r="S9" s="1">
        <f>SUMIFS('フォームの回答 1'!$E:$E,'フォームの回答 1'!$B:$B,S8,'フォームの回答 1'!$H:$H,$A9)</f>
        <v>0</v>
      </c>
      <c r="T9" s="1">
        <f>SUMIFS('フォームの回答 1'!$E:$E,'フォームの回答 1'!$B:$B,T8,'フォームの回答 1'!$H:$H,$A9)</f>
        <v>0</v>
      </c>
      <c r="U9" s="1">
        <f>SUMIFS('フォームの回答 1'!$E:$E,'フォームの回答 1'!$B:$B,U8,'フォームの回答 1'!$H:$H,$A9)</f>
        <v>0</v>
      </c>
      <c r="V9" s="1">
        <f>SUMIFS('フォームの回答 1'!$E:$E,'フォームの回答 1'!$B:$B,V8,'フォームの回答 1'!$H:$H,$A9)+AJ11</f>
        <v>4802</v>
      </c>
      <c r="W9" s="1">
        <f>SUMIFS('フォームの回答 1'!$E:$E,'フォームの回答 1'!$B:$B,W8,'フォームの回答 1'!$H:$H,$A9)</f>
        <v>0</v>
      </c>
      <c r="X9" s="1">
        <f>SUMIFS('フォームの回答 1'!$E:$E,'フォームの回答 1'!$B:$B,X8,'フォームの回答 1'!$H:$H,$A9)</f>
        <v>0</v>
      </c>
      <c r="Y9" s="1">
        <f>SUMIFS('フォームの回答 1'!$E:$E,'フォームの回答 1'!$B:$B,Y8,'フォームの回答 1'!$H:$H,$A9)</f>
        <v>0</v>
      </c>
      <c r="Z9" s="1">
        <f>SUMIFS('フォームの回答 1'!$E:$E,'フォームの回答 1'!$B:$B,Z8,'フォームの回答 1'!$H:$H,$A9)</f>
        <v>3000</v>
      </c>
      <c r="AA9" s="1">
        <f>SUMIFS('フォームの回答 1'!$E:$E,'フォームの回答 1'!$B:$B,AA8,'フォームの回答 1'!$H:$H,$A9)</f>
        <v>385265</v>
      </c>
      <c r="AB9" s="1">
        <f>SUMIFS('フォームの回答 1'!$E:$E,'フォームの回答 1'!$B:$B,AB8,'フォームの回答 1'!$H:$H,$A9)</f>
        <v>0</v>
      </c>
      <c r="AC9" s="1">
        <f>SUMIFS('フォームの回答 1'!$E:$E,'フォームの回答 1'!$B:$B,AC8,'フォームの回答 1'!$H:$H,$A9)</f>
        <v>0</v>
      </c>
      <c r="AD9" s="1">
        <f>SUMIFS('フォームの回答 1'!$E:$E,'フォームの回答 1'!$B:$B,AD8,'フォームの回答 1'!$H:$H,$A9)</f>
        <v>0</v>
      </c>
      <c r="AE9" s="1"/>
      <c r="AF9" s="1"/>
      <c r="AG9" s="1"/>
      <c r="AI9" s="1">
        <f>158596</f>
        <v>158596</v>
      </c>
    </row>
    <row r="10" spans="1:36" ht="15.75" customHeight="1">
      <c r="A10" s="2" t="s">
        <v>35</v>
      </c>
      <c r="B10" s="1">
        <f>SUM(V10:AG10)</f>
        <v>377876</v>
      </c>
      <c r="C10" s="1">
        <f>SUMIFS('フォームの回答 1'!$E:$E,'フォームの回答 1'!$B:$B,C8,'フォームの回答 1'!$H:$H,$A10,'フォームの回答 1'!$F:$F,"Cash")</f>
        <v>241</v>
      </c>
      <c r="D10" s="1">
        <f>SUMIFS('フォームの回答 1'!$E:$E,'フォームの回答 1'!$B:$B,D8,'フォームの回答 1'!$H:$H,$A10,'フォームの回答 1'!$F:$F,"Cash")</f>
        <v>1421</v>
      </c>
      <c r="E10" s="1">
        <f>SUMIFS('フォームの回答 1'!$E:$E,'フォームの回答 1'!$B:$B,E8,'フォームの回答 1'!$H:$H,$A10,'フォームの回答 1'!$F:$F,"Cash")</f>
        <v>2348</v>
      </c>
      <c r="F10" s="1">
        <f>SUMIFS('フォームの回答 1'!$E:$E,'フォームの回答 1'!$B:$B,F8,'フォームの回答 1'!$H:$H,$A10,'フォームの回答 1'!$F:$F,"Cash")</f>
        <v>0</v>
      </c>
      <c r="G10" s="1">
        <f>SUMIFS('フォームの回答 1'!$E:$E,'フォームの回答 1'!$B:$B,G8,'フォームの回答 1'!$H:$H,$A10,'フォームの回答 1'!$F:$F,"Cash")</f>
        <v>626</v>
      </c>
      <c r="H10" s="1">
        <f>SUMIFS('フォームの回答 1'!$E:$E,'フォームの回答 1'!$B:$B,H8,'フォームの回答 1'!$H:$H,$A10,'フォームの回答 1'!$F:$F,"Cash")</f>
        <v>0</v>
      </c>
      <c r="I10" s="1">
        <f>SUMIFS('フォームの回答 1'!$E:$E,'フォームの回答 1'!$B:$B,I8,'フォームの回答 1'!$H:$H,$A10,'フォームの回答 1'!$F:$F,"Cash")</f>
        <v>8250</v>
      </c>
      <c r="J10" s="1">
        <f>SUMIFS('フォームの回答 1'!$E:$E,'フォームの回答 1'!$B:$B,J8,'フォームの回答 1'!$H:$H,$A10,'フォームの回答 1'!$F:$F,"Cash")</f>
        <v>5610</v>
      </c>
      <c r="K10" s="1">
        <f>SUMIFS('フォームの回答 1'!$E:$E,'フォームの回答 1'!$B:$B,K8,'フォームの回答 1'!$H:$H,$A10,'フォームの回答 1'!$F:$F,"Cash")</f>
        <v>15352</v>
      </c>
      <c r="L10" s="1">
        <f>SUMIFS('フォームの回答 1'!$E:$E,'フォームの回答 1'!$B:$B,L8,'フォームの回答 1'!$H:$H,$A10,'フォームの回答 1'!$F:$F,"Cash")</f>
        <v>610</v>
      </c>
      <c r="M10" s="1">
        <f>SUMIFS('フォームの回答 1'!$E:$E,'フォームの回答 1'!$B:$B,M8,'フォームの回答 1'!$H:$H,$A10,'フォームの回答 1'!$F:$F,"Cash")</f>
        <v>1350</v>
      </c>
      <c r="N10" s="1">
        <f>SUMIFS('フォームの回答 1'!$E:$E,'フォームの回答 1'!$B:$B,N8,'フォームの回答 1'!$H:$H,$A10,'フォームの回答 1'!$F:$F,"Cash")</f>
        <v>0</v>
      </c>
      <c r="O10" s="1">
        <f>SUMIFS('フォームの回答 1'!$E:$E,'フォームの回答 1'!$B:$B,O8,'フォームの回答 1'!$H:$H,$A10,'フォームの回答 1'!$F:$F,"Cash")</f>
        <v>842</v>
      </c>
      <c r="P10" s="1">
        <f>SUMIFS('フォームの回答 1'!$E:$E,'フォームの回答 1'!$B:$B,P8,'フォームの回答 1'!$H:$H,$A10,'フォームの回答 1'!$F:$F,"Cash")</f>
        <v>0</v>
      </c>
      <c r="Q10" s="1">
        <f>SUMIFS('フォームの回答 1'!$E:$E,'フォームの回答 1'!$B:$B,Q8,'フォームの回答 1'!$H:$H,$A10,'フォームの回答 1'!$F:$F,"Cash")</f>
        <v>5500</v>
      </c>
      <c r="R10" s="1">
        <f>SUMIFS('フォームの回答 1'!$E:$E,'フォームの回答 1'!$B:$B,R8,'フォームの回答 1'!$H:$H,$A10,'フォームの回答 1'!$F:$F,"Cash")</f>
        <v>2161</v>
      </c>
      <c r="S10" s="1">
        <f>SUMIFS('フォームの回答 1'!$E:$E,'フォームの回答 1'!$B:$B,S8,'フォームの回答 1'!$H:$H,$A10,'フォームの回答 1'!$F:$F,"Cash")</f>
        <v>1830</v>
      </c>
      <c r="T10" s="1">
        <f>SUMIFS('フォームの回答 1'!$E:$E,'フォームの回答 1'!$B:$B,T8,'フォームの回答 1'!$H:$H,$A10,'フォームの回答 1'!$F:$F,"Cash")</f>
        <v>1292</v>
      </c>
      <c r="U10" s="1">
        <f>SUMIFS('フォームの回答 1'!$E:$E,'フォームの回答 1'!$B:$B,U8,'フォームの回答 1'!$H:$H,$A10,'フォームの回答 1'!$F:$F,"Cash")</f>
        <v>1200</v>
      </c>
      <c r="V10" s="1">
        <f>SUMIFS('フォームの回答 1'!$E:$E,'フォームの回答 1'!$B:$B,V8,'フォームの回答 1'!$H:$H,$A10,'フォームの回答 1'!$F:$F,"Cash")</f>
        <v>10503</v>
      </c>
      <c r="W10" s="1">
        <f>SUMIFS('フォームの回答 1'!$E:$E,'フォームの回答 1'!$B:$B,W8,'フォームの回答 1'!$H:$H,$A10,'フォームの回答 1'!$F:$F,"Cash")</f>
        <v>1690</v>
      </c>
      <c r="X10" s="1">
        <f>SUMIFS('フォームの回答 1'!$E:$E,'フォームの回答 1'!$B:$B,X8,'フォームの回答 1'!$H:$H,$A10,'フォームの回答 1'!$F:$F,"Cash")</f>
        <v>1200</v>
      </c>
      <c r="Y10" s="1">
        <f>SUMIFS('フォームの回答 1'!$E:$E,'フォームの回答 1'!$B:$B,Y8,'フォームの回答 1'!$H:$H,$A10,'フォームの回答 1'!$F:$F,"Cash")</f>
        <v>863</v>
      </c>
      <c r="Z10" s="1">
        <f>SUMIFS('フォームの回答 1'!$E:$E,'フォームの回答 1'!$B:$B,Z8,'フォームの回答 1'!$H:$H,$A10,'フォームの回答 1'!$F:$F,"Cash")</f>
        <v>14057</v>
      </c>
      <c r="AA10" s="1">
        <f>SUMIFS('フォームの回答 1'!$E:$E,'フォームの回答 1'!$B:$B,AA8,'フォームの回答 1'!$H:$H,$A10,'フォームの回答 1'!$F:$F,"Cash")</f>
        <v>6000</v>
      </c>
      <c r="AB10" s="1">
        <f>SUMIFS('フォームの回答 1'!$E:$E,'フォームの回答 1'!$B:$B,AB8,'フォームの回答 1'!$H:$H,$A10,'フォームの回答 1'!$F:$F,"Cash")</f>
        <v>857</v>
      </c>
      <c r="AC10" s="1">
        <f>SUMIFS('フォームの回答 1'!$E:$E,'フォームの回答 1'!$B:$B,AC8,'フォームの回答 1'!$H:$H,$A10,'フォームの回答 1'!$F:$F,"Cash")+AI9</f>
        <v>339966</v>
      </c>
      <c r="AD10" s="1">
        <f>SUMIFS('フォームの回答 1'!$E:$E,'フォームの回答 1'!$B:$B,AD8,'フォームの回答 1'!$H:$H,$A10,'フォームの回答 1'!$F:$F,"Cash")</f>
        <v>2740</v>
      </c>
      <c r="AE10" s="1"/>
      <c r="AF10" s="1"/>
      <c r="AG10" s="1"/>
    </row>
    <row r="11" spans="1:36" ht="15.75" customHeight="1">
      <c r="A11" s="2" t="s">
        <v>32</v>
      </c>
      <c r="C11" s="1">
        <f>AG5+C9-C10</f>
        <v>45498</v>
      </c>
      <c r="D11" s="1">
        <f t="shared" ref="D11:AD11" si="1">C11+D9-D10</f>
        <v>44077</v>
      </c>
      <c r="E11" s="1">
        <f t="shared" si="1"/>
        <v>58165</v>
      </c>
      <c r="F11" s="1">
        <f t="shared" si="1"/>
        <v>58165</v>
      </c>
      <c r="G11" s="1">
        <f t="shared" si="1"/>
        <v>57539</v>
      </c>
      <c r="H11" s="1">
        <f t="shared" si="1"/>
        <v>57539</v>
      </c>
      <c r="I11" s="1">
        <f t="shared" si="1"/>
        <v>49289</v>
      </c>
      <c r="J11" s="1">
        <f t="shared" si="1"/>
        <v>44679</v>
      </c>
      <c r="K11" s="1">
        <f t="shared" si="1"/>
        <v>32327</v>
      </c>
      <c r="L11" s="1">
        <f t="shared" si="1"/>
        <v>31717</v>
      </c>
      <c r="M11" s="1">
        <f t="shared" si="1"/>
        <v>30367</v>
      </c>
      <c r="N11" s="1">
        <f t="shared" si="1"/>
        <v>30367</v>
      </c>
      <c r="O11" s="1">
        <f t="shared" si="1"/>
        <v>29525</v>
      </c>
      <c r="P11" s="1">
        <f t="shared" si="1"/>
        <v>29525</v>
      </c>
      <c r="Q11" s="1">
        <f t="shared" si="1"/>
        <v>24025</v>
      </c>
      <c r="R11" s="1">
        <f t="shared" si="1"/>
        <v>21864</v>
      </c>
      <c r="S11" s="1">
        <f t="shared" si="1"/>
        <v>20034</v>
      </c>
      <c r="T11" s="1">
        <f t="shared" si="1"/>
        <v>18742</v>
      </c>
      <c r="U11" s="1">
        <f t="shared" si="1"/>
        <v>17542</v>
      </c>
      <c r="V11" s="1">
        <f t="shared" si="1"/>
        <v>11841</v>
      </c>
      <c r="W11" s="1">
        <f t="shared" si="1"/>
        <v>10151</v>
      </c>
      <c r="X11" s="1">
        <f t="shared" si="1"/>
        <v>8951</v>
      </c>
      <c r="Y11" s="1">
        <f t="shared" si="1"/>
        <v>8088</v>
      </c>
      <c r="Z11" s="1">
        <f t="shared" si="1"/>
        <v>-2969</v>
      </c>
      <c r="AA11" s="1">
        <f t="shared" si="1"/>
        <v>376296</v>
      </c>
      <c r="AB11" s="1">
        <f t="shared" si="1"/>
        <v>375439</v>
      </c>
      <c r="AC11" s="1">
        <f t="shared" si="1"/>
        <v>35473</v>
      </c>
      <c r="AD11" s="1">
        <f t="shared" si="1"/>
        <v>32733</v>
      </c>
      <c r="AJ11" s="1"/>
    </row>
    <row r="12" spans="1:36" ht="15.75" customHeight="1">
      <c r="AJ12" s="1"/>
    </row>
    <row r="13" spans="1:36" ht="15.75" customHeight="1">
      <c r="B13" s="20" t="s">
        <v>58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J13" s="1"/>
    </row>
    <row r="14" spans="1:36" ht="15.75" customHeight="1">
      <c r="B14" s="2" t="s">
        <v>29</v>
      </c>
      <c r="C14" s="11">
        <v>45717</v>
      </c>
      <c r="D14" s="11">
        <v>45718</v>
      </c>
      <c r="E14" s="11">
        <v>45719</v>
      </c>
      <c r="F14" s="11">
        <v>45720</v>
      </c>
      <c r="G14" s="11">
        <v>45721</v>
      </c>
      <c r="H14" s="11">
        <v>45722</v>
      </c>
      <c r="I14" s="11">
        <v>45723</v>
      </c>
      <c r="J14" s="11">
        <v>45724</v>
      </c>
      <c r="K14" s="11">
        <v>45725</v>
      </c>
      <c r="L14" s="11">
        <v>45726</v>
      </c>
      <c r="M14" s="11">
        <v>45727</v>
      </c>
      <c r="N14" s="11">
        <v>45728</v>
      </c>
      <c r="O14" s="11">
        <v>45729</v>
      </c>
      <c r="P14" s="11">
        <v>45730</v>
      </c>
      <c r="Q14" s="11">
        <v>45731</v>
      </c>
      <c r="R14" s="11">
        <v>45732</v>
      </c>
      <c r="S14" s="11">
        <v>45733</v>
      </c>
      <c r="T14" s="11">
        <v>45734</v>
      </c>
      <c r="U14" s="11">
        <v>45735</v>
      </c>
      <c r="V14" s="11">
        <v>45736</v>
      </c>
      <c r="W14" s="11">
        <v>45737</v>
      </c>
      <c r="X14" s="11">
        <v>45738</v>
      </c>
      <c r="Y14" s="11">
        <v>45739</v>
      </c>
      <c r="Z14" s="11">
        <v>45740</v>
      </c>
      <c r="AA14" s="11">
        <v>45741</v>
      </c>
      <c r="AB14" s="11">
        <v>45742</v>
      </c>
      <c r="AC14" s="11">
        <v>45743</v>
      </c>
      <c r="AD14" s="11">
        <v>45744</v>
      </c>
      <c r="AE14" s="11">
        <v>45745</v>
      </c>
      <c r="AF14" s="11">
        <v>45746</v>
      </c>
      <c r="AG14" s="11">
        <v>45747</v>
      </c>
      <c r="AI14" s="2" t="s">
        <v>59</v>
      </c>
      <c r="AJ14" s="1"/>
    </row>
    <row r="15" spans="1:36" ht="15.75" customHeight="1">
      <c r="A15" s="2" t="s">
        <v>34</v>
      </c>
      <c r="B15" s="1">
        <f>SUM(V15:AG15)</f>
        <v>389942</v>
      </c>
      <c r="C15" s="1">
        <f>SUMIFS('フォームの回答 1'!$E:$E,'フォームの回答 1'!$B:$B,C14,'フォームの回答 1'!$H:$H,$A15)</f>
        <v>0</v>
      </c>
      <c r="D15" s="1">
        <f>SUMIFS('フォームの回答 1'!$E:$E,'フォームの回答 1'!$B:$B,D14,'フォームの回答 1'!$H:$H,$A15)</f>
        <v>0</v>
      </c>
      <c r="E15" s="1">
        <f>SUMIFS('フォームの回答 1'!$E:$E,'フォームの回答 1'!$B:$B,E14,'フォームの回答 1'!$H:$H,$A15)</f>
        <v>0</v>
      </c>
      <c r="F15" s="1">
        <f>SUMIFS('フォームの回答 1'!$E:$E,'フォームの回答 1'!$B:$B,F14,'フォームの回答 1'!$H:$H,$A15)</f>
        <v>0</v>
      </c>
      <c r="G15" s="1">
        <f>SUMIFS('フォームの回答 1'!$E:$E,'フォームの回答 1'!$B:$B,G14,'フォームの回答 1'!$H:$H,$A15)</f>
        <v>35966</v>
      </c>
      <c r="H15" s="1">
        <f>SUMIFS('フォームの回答 1'!$E:$E,'フォームの回答 1'!$B:$B,H14,'フォームの回答 1'!$H:$H,$A15)</f>
        <v>0</v>
      </c>
      <c r="I15" s="1">
        <f>SUMIFS('フォームの回答 1'!$E:$E,'フォームの回答 1'!$B:$B,I14,'フォームの回答 1'!$H:$H,$A15)</f>
        <v>0</v>
      </c>
      <c r="J15" s="1">
        <f>SUMIFS('フォームの回答 1'!$E:$E,'フォームの回答 1'!$B:$B,J14,'フォームの回答 1'!$H:$H,$A15)</f>
        <v>0</v>
      </c>
      <c r="K15" s="1">
        <f>SUMIFS('フォームの回答 1'!$E:$E,'フォームの回答 1'!$B:$B,K14,'フォームの回答 1'!$H:$H,$A15)</f>
        <v>0</v>
      </c>
      <c r="L15" s="1">
        <f>SUMIFS('フォームの回答 1'!$E:$E,'フォームの回答 1'!$B:$B,L14,'フォームの回答 1'!$H:$H,$A15)</f>
        <v>0</v>
      </c>
      <c r="M15" s="1">
        <f>SUMIFS('フォームの回答 1'!$E:$E,'フォームの回答 1'!$B:$B,M14,'フォームの回答 1'!$H:$H,$A15)</f>
        <v>0</v>
      </c>
      <c r="N15" s="1">
        <f>SUMIFS('フォームの回答 1'!$E:$E,'フォームの回答 1'!$B:$B,N14,'フォームの回答 1'!$H:$H,$A15)</f>
        <v>0</v>
      </c>
      <c r="O15" s="1">
        <f>SUMIFS('フォームの回答 1'!$E:$E,'フォームの回答 1'!$B:$B,O14,'フォームの回答 1'!$H:$H,$A15)</f>
        <v>0</v>
      </c>
      <c r="P15" s="1">
        <f>SUMIFS('フォームの回答 1'!$E:$E,'フォームの回答 1'!$B:$B,P14,'フォームの回答 1'!$H:$H,$A15)</f>
        <v>2000</v>
      </c>
      <c r="Q15" s="1">
        <f>SUMIFS('フォームの回答 1'!$E:$E,'フォームの回答 1'!$B:$B,Q14,'フォームの回答 1'!$H:$H,$A15)</f>
        <v>0</v>
      </c>
      <c r="R15" s="1">
        <f>SUMIFS('フォームの回答 1'!$E:$E,'フォームの回答 1'!$B:$B,R14,'フォームの回答 1'!$H:$H,$A15)</f>
        <v>0</v>
      </c>
      <c r="S15" s="1">
        <f>SUMIFS('フォームの回答 1'!$E:$E,'フォームの回答 1'!$B:$B,S14,'フォームの回答 1'!$H:$H,$A15)</f>
        <v>0</v>
      </c>
      <c r="T15" s="1">
        <f>SUMIFS('フォームの回答 1'!$E:$E,'フォームの回答 1'!$B:$B,T14,'フォームの回答 1'!$H:$H,$A15)</f>
        <v>0</v>
      </c>
      <c r="U15" s="1">
        <f>SUMIFS('フォームの回答 1'!$E:$E,'フォームの回答 1'!$B:$B,U14,'フォームの回答 1'!$H:$H,$A15)</f>
        <v>0</v>
      </c>
      <c r="V15" s="1">
        <f>SUMIFS('フォームの回答 1'!$E:$E,'フォームの回答 1'!$B:$B,V14,'フォームの回答 1'!$H:$H,$A15)</f>
        <v>0</v>
      </c>
      <c r="W15" s="1">
        <f>SUMIFS('フォームの回答 1'!$E:$E,'フォームの回答 1'!$B:$B,W14,'フォームの回答 1'!$H:$H,$A15)</f>
        <v>0</v>
      </c>
      <c r="X15" s="1">
        <f>SUMIFS('フォームの回答 1'!$E:$E,'フォームの回答 1'!$B:$B,X14,'フォームの回答 1'!$H:$H,$A15)</f>
        <v>0</v>
      </c>
      <c r="Y15" s="1">
        <f>SUMIFS('フォームの回答 1'!$E:$E,'フォームの回答 1'!$B:$B,Y14,'フォームの回答 1'!$H:$H,$A15)</f>
        <v>0</v>
      </c>
      <c r="Z15" s="1">
        <f>SUMIFS('フォームの回答 1'!$E:$E,'フォームの回答 1'!$B:$B,Z14,'フォームの回答 1'!$H:$H,$A15)</f>
        <v>0</v>
      </c>
      <c r="AA15" s="1">
        <f>SUMIFS('フォームの回答 1'!$E:$E,'フォームの回答 1'!$B:$B,AA14,'フォームの回答 1'!$H:$H,$A15)</f>
        <v>385265</v>
      </c>
      <c r="AB15" s="1">
        <f>SUMIFS('フォームの回答 1'!$E:$E,'フォームの回答 1'!$B:$B,AB14,'フォームの回答 1'!$H:$H,$A15)+AJ23</f>
        <v>1500</v>
      </c>
      <c r="AC15" s="1">
        <f>SUMIFS('フォームの回答 1'!$E:$E,'フォームの回答 1'!$B:$B,AC14,'フォームの回答 1'!$H:$H,$A15)</f>
        <v>0</v>
      </c>
      <c r="AD15" s="1">
        <f>SUMIFS('フォームの回答 1'!$E:$E,'フォームの回答 1'!$B:$B,AD14,'フォームの回答 1'!$H:$H,$A15)</f>
        <v>0</v>
      </c>
      <c r="AE15" s="1">
        <f>SUMIFS('フォームの回答 1'!$E:$E,'フォームの回答 1'!$B:$B,AE14,'フォームの回答 1'!$H:$H,$A15)</f>
        <v>3177</v>
      </c>
      <c r="AF15" s="1">
        <f>SUMIFS('フォームの回答 1'!$E:$E,'フォームの回答 1'!$B:$B,AF14,'フォームの回答 1'!$H:$H,$A15)</f>
        <v>0</v>
      </c>
      <c r="AG15" s="1">
        <f>SUMIFS('フォームの回答 1'!$E:$E,'フォームの回答 1'!$B:$B,AG14,'フォームの回答 1'!$H:$H,$A15)</f>
        <v>0</v>
      </c>
      <c r="AI15" s="13">
        <f>156613</f>
        <v>156613</v>
      </c>
      <c r="AJ15" s="1"/>
    </row>
    <row r="16" spans="1:36" ht="15.75" customHeight="1">
      <c r="A16" s="2" t="s">
        <v>35</v>
      </c>
      <c r="B16" s="1">
        <f>SUM(V16:AG16)</f>
        <v>356364</v>
      </c>
      <c r="C16" s="1">
        <f>SUMIFS('フォームの回答 1'!$E:$E,'フォームの回答 1'!$B:$B,C14,'フォームの回答 1'!$H:$H,$A16,'フォームの回答 1'!$F:$F,"Cash")</f>
        <v>500</v>
      </c>
      <c r="D16" s="1">
        <f>SUMIFS('フォームの回答 1'!$E:$E,'フォームの回答 1'!$B:$B,D14,'フォームの回答 1'!$H:$H,$A16,'フォームの回答 1'!$F:$F,"Cash")</f>
        <v>10285</v>
      </c>
      <c r="E16" s="1">
        <f>SUMIFS('フォームの回答 1'!$E:$E,'フォームの回答 1'!$B:$B,E14,'フォームの回答 1'!$H:$H,$A16,'フォームの回答 1'!$F:$F,"Cash")</f>
        <v>1300</v>
      </c>
      <c r="F16" s="1">
        <f>SUMIFS('フォームの回答 1'!$E:$E,'フォームの回答 1'!$B:$B,F14,'フォームの回答 1'!$H:$H,$A16,'フォームの回答 1'!$F:$F,"Cash")</f>
        <v>900</v>
      </c>
      <c r="G16" s="1">
        <f>SUMIFS('フォームの回答 1'!$E:$E,'フォームの回答 1'!$B:$B,G14,'フォームの回答 1'!$H:$H,$A16,'フォームの回答 1'!$F:$F,"Cash")</f>
        <v>0</v>
      </c>
      <c r="H16" s="1">
        <f>SUMIFS('フォームの回答 1'!$E:$E,'フォームの回答 1'!$B:$B,H14,'フォームの回答 1'!$H:$H,$A16,'フォームの回答 1'!$F:$F,"Cash")</f>
        <v>522</v>
      </c>
      <c r="I16" s="1">
        <f>SUMIFS('フォームの回答 1'!$E:$E,'フォームの回答 1'!$B:$B,I14,'フォームの回答 1'!$H:$H,$A16,'フォームの回答 1'!$F:$F,"Cash")</f>
        <v>0</v>
      </c>
      <c r="J16" s="1">
        <f>SUMIFS('フォームの回答 1'!$E:$E,'フォームの回答 1'!$B:$B,J14,'フォームの回答 1'!$H:$H,$A16,'フォームの回答 1'!$F:$F,"Cash")</f>
        <v>1780</v>
      </c>
      <c r="K16" s="1">
        <f>SUMIFS('フォームの回答 1'!$E:$E,'フォームの回答 1'!$B:$B,K14,'フォームの回答 1'!$H:$H,$A16,'フォームの回答 1'!$F:$F,"Cash")</f>
        <v>5151</v>
      </c>
      <c r="L16" s="1">
        <f>SUMIFS('フォームの回答 1'!$E:$E,'フォームの回答 1'!$B:$B,L14,'フォームの回答 1'!$H:$H,$A16,'フォームの回答 1'!$F:$F,"Cash")</f>
        <v>1342</v>
      </c>
      <c r="M16" s="1">
        <f>SUMIFS('フォームの回答 1'!$E:$E,'フォームの回答 1'!$B:$B,M14,'フォームの回答 1'!$H:$H,$A16,'フォームの回答 1'!$F:$F,"Cash")</f>
        <v>0</v>
      </c>
      <c r="N16" s="1">
        <f>SUMIFS('フォームの回答 1'!$E:$E,'フォームの回答 1'!$B:$B,N14,'フォームの回答 1'!$H:$H,$A16,'フォームの回答 1'!$F:$F,"Cash")</f>
        <v>0</v>
      </c>
      <c r="O16" s="1">
        <f>SUMIFS('フォームの回答 1'!$E:$E,'フォームの回答 1'!$B:$B,O14,'フォームの回答 1'!$H:$H,$A16,'フォームの回答 1'!$F:$F,"Cash")</f>
        <v>0</v>
      </c>
      <c r="P16" s="1">
        <f>SUMIFS('フォームの回答 1'!$E:$E,'フォームの回答 1'!$B:$B,P14,'フォームの回答 1'!$H:$H,$A16,'フォームの回答 1'!$F:$F,"Cash")</f>
        <v>6577</v>
      </c>
      <c r="Q16" s="1">
        <f>SUMIFS('フォームの回答 1'!$E:$E,'フォームの回答 1'!$B:$B,Q14,'フォームの回答 1'!$H:$H,$A16,'フォームの回答 1'!$F:$F,"Cash")</f>
        <v>2835</v>
      </c>
      <c r="R16" s="1">
        <f>SUMIFS('フォームの回答 1'!$E:$E,'フォームの回答 1'!$B:$B,R14,'フォームの回答 1'!$H:$H,$A16,'フォームの回答 1'!$F:$F,"Cash")</f>
        <v>0</v>
      </c>
      <c r="S16" s="1">
        <f>SUMIFS('フォームの回答 1'!$E:$E,'フォームの回答 1'!$B:$B,S14,'フォームの回答 1'!$H:$H,$A16,'フォームの回答 1'!$F:$F,"Cash")</f>
        <v>2382</v>
      </c>
      <c r="T16" s="1">
        <f>SUMIFS('フォームの回答 1'!$E:$E,'フォームの回答 1'!$B:$B,T14,'フォームの回答 1'!$H:$H,$A16,'フォームの回答 1'!$F:$F,"Cash")</f>
        <v>1046</v>
      </c>
      <c r="U16" s="1">
        <f>SUMIFS('フォームの回答 1'!$E:$E,'フォームの回答 1'!$B:$B,U14,'フォームの回答 1'!$H:$H,$A16,'フォームの回答 1'!$F:$F,"Cash")</f>
        <v>2460</v>
      </c>
      <c r="V16" s="1">
        <f>SUMIFS('フォームの回答 1'!$E:$E,'フォームの回答 1'!$B:$B,V14,'フォームの回答 1'!$H:$H,$A16,'フォームの回答 1'!$F:$F,"Cash")</f>
        <v>2000</v>
      </c>
      <c r="W16" s="1">
        <f>SUMIFS('フォームの回答 1'!$E:$E,'フォームの回答 1'!$B:$B,W14,'フォームの回答 1'!$H:$H,$A16,'フォームの回答 1'!$F:$F,"Cash")</f>
        <v>878</v>
      </c>
      <c r="X16" s="1">
        <f>SUMIFS('フォームの回答 1'!$E:$E,'フォームの回答 1'!$B:$B,X14,'フォームの回答 1'!$H:$H,$A16,'フォームの回答 1'!$F:$F,"Cash")</f>
        <v>3022</v>
      </c>
      <c r="Y16" s="1">
        <f>SUMIFS('フォームの回答 1'!$E:$E,'フォームの回答 1'!$B:$B,Y14,'フォームの回答 1'!$H:$H,$A16,'フォームの回答 1'!$F:$F,"Cash")</f>
        <v>2380</v>
      </c>
      <c r="Z16" s="1">
        <f>SUMIFS('フォームの回答 1'!$E:$E,'フォームの回答 1'!$B:$B,Z14,'フォームの回答 1'!$H:$H,$A16,'フォームの回答 1'!$F:$F,"Cash")</f>
        <v>867</v>
      </c>
      <c r="AA16" s="1">
        <f>SUMIFS('フォームの回答 1'!$E:$E,'フォームの回答 1'!$B:$B,AA14,'フォームの回答 1'!$H:$H,$A16,'フォームの回答 1'!$F:$F,"Cash")</f>
        <v>1100</v>
      </c>
      <c r="AB16" s="1">
        <f>SUMIFS('フォームの回答 1'!$E:$E,'フォームの回答 1'!$B:$B,AB14,'フォームの回答 1'!$H:$H,$A16,'フォームの回答 1'!$F:$F,"Cash")</f>
        <v>2649</v>
      </c>
      <c r="AC16" s="1">
        <f>SUMIFS('フォームの回答 1'!$E:$E,'フォームの回答 1'!$B:$B,AC14,'フォームの回答 1'!$H:$H,$A16,'フォームの回答 1'!$F:$F,"Cash")+AI15</f>
        <v>336183</v>
      </c>
      <c r="AD16" s="1">
        <f>SUMIFS('フォームの回答 1'!$E:$E,'フォームの回答 1'!$B:$B,AD14,'フォームの回答 1'!$H:$H,$A16,'フォームの回答 1'!$F:$F,"Cash")</f>
        <v>0</v>
      </c>
      <c r="AE16" s="1">
        <f>SUMIFS('フォームの回答 1'!$E:$E,'フォームの回答 1'!$B:$B,AE14,'フォームの回答 1'!$H:$H,$A16,'フォームの回答 1'!$F:$F,"Cash")</f>
        <v>1190</v>
      </c>
      <c r="AF16" s="1">
        <f>SUMIFS('フォームの回答 1'!$E:$E,'フォームの回答 1'!$B:$B,AF14,'フォームの回答 1'!$H:$H,$A16,'フォームの回答 1'!$F:$F,"Cash")</f>
        <v>4179</v>
      </c>
      <c r="AG16" s="1">
        <f>SUMIFS('フォームの回答 1'!$E:$E,'フォームの回答 1'!$B:$B,AG14,'フォームの回答 1'!$H:$H,$A16,'フォームの回答 1'!$F:$F,"Cash")</f>
        <v>1916</v>
      </c>
      <c r="AJ16" s="1"/>
    </row>
    <row r="17" spans="1:38" ht="15.75" customHeight="1">
      <c r="A17" s="2" t="s">
        <v>32</v>
      </c>
      <c r="C17" s="1">
        <f>AD11+C15-C16</f>
        <v>32233</v>
      </c>
      <c r="D17" s="1">
        <f t="shared" ref="D17:AG17" si="2">C17+D15-D16</f>
        <v>21948</v>
      </c>
      <c r="E17" s="1">
        <f t="shared" si="2"/>
        <v>20648</v>
      </c>
      <c r="F17" s="1">
        <f t="shared" si="2"/>
        <v>19748</v>
      </c>
      <c r="G17" s="1">
        <f t="shared" si="2"/>
        <v>55714</v>
      </c>
      <c r="H17" s="1">
        <f t="shared" si="2"/>
        <v>55192</v>
      </c>
      <c r="I17" s="1">
        <f t="shared" si="2"/>
        <v>55192</v>
      </c>
      <c r="J17" s="1">
        <f t="shared" si="2"/>
        <v>53412</v>
      </c>
      <c r="K17" s="1">
        <f t="shared" si="2"/>
        <v>48261</v>
      </c>
      <c r="L17" s="1">
        <f t="shared" si="2"/>
        <v>46919</v>
      </c>
      <c r="M17" s="1">
        <f t="shared" si="2"/>
        <v>46919</v>
      </c>
      <c r="N17" s="1">
        <f t="shared" si="2"/>
        <v>46919</v>
      </c>
      <c r="O17" s="1">
        <f t="shared" si="2"/>
        <v>46919</v>
      </c>
      <c r="P17" s="1">
        <f t="shared" si="2"/>
        <v>42342</v>
      </c>
      <c r="Q17" s="1">
        <f t="shared" si="2"/>
        <v>39507</v>
      </c>
      <c r="R17" s="1">
        <f t="shared" si="2"/>
        <v>39507</v>
      </c>
      <c r="S17" s="1">
        <f t="shared" si="2"/>
        <v>37125</v>
      </c>
      <c r="T17" s="1">
        <f t="shared" si="2"/>
        <v>36079</v>
      </c>
      <c r="U17" s="1">
        <f t="shared" si="2"/>
        <v>33619</v>
      </c>
      <c r="V17" s="1">
        <f t="shared" si="2"/>
        <v>31619</v>
      </c>
      <c r="W17" s="1">
        <f t="shared" si="2"/>
        <v>30741</v>
      </c>
      <c r="X17" s="1">
        <f t="shared" si="2"/>
        <v>27719</v>
      </c>
      <c r="Y17" s="1">
        <f t="shared" si="2"/>
        <v>25339</v>
      </c>
      <c r="Z17" s="1">
        <f t="shared" si="2"/>
        <v>24472</v>
      </c>
      <c r="AA17" s="1">
        <f t="shared" si="2"/>
        <v>408637</v>
      </c>
      <c r="AB17" s="1">
        <f t="shared" si="2"/>
        <v>407488</v>
      </c>
      <c r="AC17" s="1">
        <f t="shared" si="2"/>
        <v>71305</v>
      </c>
      <c r="AD17" s="1">
        <f t="shared" si="2"/>
        <v>71305</v>
      </c>
      <c r="AE17" s="1">
        <f t="shared" si="2"/>
        <v>73292</v>
      </c>
      <c r="AF17" s="1">
        <f t="shared" si="2"/>
        <v>69113</v>
      </c>
      <c r="AG17" s="1">
        <f t="shared" si="2"/>
        <v>67197</v>
      </c>
      <c r="AJ17" s="1"/>
    </row>
    <row r="18" spans="1:38" ht="15.75" customHeight="1">
      <c r="AJ18" s="1"/>
    </row>
    <row r="19" spans="1:38" ht="15.75" customHeight="1">
      <c r="B19" s="20" t="s">
        <v>60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12"/>
      <c r="AI19" s="2" t="s">
        <v>61</v>
      </c>
      <c r="AJ19" s="1"/>
    </row>
    <row r="20" spans="1:38" ht="15.75" customHeight="1">
      <c r="B20" s="2" t="s">
        <v>29</v>
      </c>
      <c r="C20" s="11">
        <v>45748</v>
      </c>
      <c r="D20" s="11">
        <v>45749</v>
      </c>
      <c r="E20" s="11">
        <v>45750</v>
      </c>
      <c r="F20" s="11">
        <v>45751</v>
      </c>
      <c r="G20" s="11">
        <v>45752</v>
      </c>
      <c r="H20" s="11">
        <v>45753</v>
      </c>
      <c r="I20" s="11">
        <v>45754</v>
      </c>
      <c r="J20" s="11">
        <v>45755</v>
      </c>
      <c r="K20" s="11">
        <v>45756</v>
      </c>
      <c r="L20" s="11">
        <v>45757</v>
      </c>
      <c r="M20" s="11">
        <v>45758</v>
      </c>
      <c r="N20" s="11">
        <v>45759</v>
      </c>
      <c r="O20" s="11">
        <v>45760</v>
      </c>
      <c r="P20" s="11">
        <v>45761</v>
      </c>
      <c r="Q20" s="11">
        <v>45762</v>
      </c>
      <c r="R20" s="11">
        <v>45763</v>
      </c>
      <c r="S20" s="11">
        <v>45764</v>
      </c>
      <c r="T20" s="11">
        <v>45765</v>
      </c>
      <c r="U20" s="11">
        <v>45766</v>
      </c>
      <c r="V20" s="11">
        <v>45767</v>
      </c>
      <c r="W20" s="11">
        <v>45768</v>
      </c>
      <c r="X20" s="11">
        <v>45769</v>
      </c>
      <c r="Y20" s="11">
        <v>45770</v>
      </c>
      <c r="Z20" s="11">
        <v>45771</v>
      </c>
      <c r="AA20" s="11">
        <v>45772</v>
      </c>
      <c r="AB20" s="11">
        <v>45773</v>
      </c>
      <c r="AC20" s="11">
        <v>45774</v>
      </c>
      <c r="AD20" s="11">
        <v>45775</v>
      </c>
      <c r="AE20" s="11">
        <v>45776</v>
      </c>
      <c r="AF20" s="11">
        <v>45777</v>
      </c>
      <c r="AG20" s="11"/>
      <c r="AI20" s="13">
        <f>130531</f>
        <v>130531</v>
      </c>
      <c r="AJ20" s="1"/>
      <c r="AL20" s="14"/>
    </row>
    <row r="21" spans="1:38" ht="15.75" customHeight="1">
      <c r="A21" s="2" t="s">
        <v>34</v>
      </c>
      <c r="B21" s="1">
        <f>SUM(V21:AG21)</f>
        <v>392705</v>
      </c>
      <c r="C21" s="1">
        <f>SUMIFS('フォームの回答 1'!$E:$E,'フォームの回答 1'!$B:$B,C20,'フォームの回答 1'!$H:$H,$A21)</f>
        <v>0</v>
      </c>
      <c r="D21" s="1">
        <f>SUMIFS('フォームの回答 1'!$E:$E,'フォームの回答 1'!$B:$B,D20,'フォームの回答 1'!$H:$H,$A21)</f>
        <v>12864</v>
      </c>
      <c r="E21" s="1">
        <f>SUMIFS('フォームの回答 1'!$E:$E,'フォームの回答 1'!$B:$B,E20,'フォームの回答 1'!$H:$H,$A21)</f>
        <v>0</v>
      </c>
      <c r="F21" s="1">
        <f>SUMIFS('フォームの回答 1'!$E:$E,'フォームの回答 1'!$B:$B,F20,'フォームの回答 1'!$H:$H,$A21)</f>
        <v>0</v>
      </c>
      <c r="G21" s="1">
        <f>SUMIFS('フォームの回答 1'!$E:$E,'フォームの回答 1'!$B:$B,G20,'フォームの回答 1'!$H:$H,$A21)</f>
        <v>4900</v>
      </c>
      <c r="H21" s="1">
        <f>SUMIFS('フォームの回答 1'!$E:$E,'フォームの回答 1'!$B:$B,H20,'フォームの回答 1'!$H:$H,$A21)</f>
        <v>16000</v>
      </c>
      <c r="I21" s="1">
        <f>SUMIFS('フォームの回答 1'!$E:$E,'フォームの回答 1'!$B:$B,I20,'フォームの回答 1'!$H:$H,$A21)</f>
        <v>0</v>
      </c>
      <c r="J21" s="1">
        <f>SUMIFS('フォームの回答 1'!$E:$E,'フォームの回答 1'!$B:$B,J20,'フォームの回答 1'!$H:$H,$A21)</f>
        <v>0</v>
      </c>
      <c r="K21" s="1">
        <f>SUMIFS('フォームの回答 1'!$E:$E,'フォームの回答 1'!$B:$B,K20,'フォームの回答 1'!$H:$H,$A21)</f>
        <v>0</v>
      </c>
      <c r="L21" s="1">
        <f>SUMIFS('フォームの回答 1'!$E:$E,'フォームの回答 1'!$B:$B,L20,'フォームの回答 1'!$H:$H,$A21)</f>
        <v>0</v>
      </c>
      <c r="M21" s="1">
        <f>SUMIFS('フォームの回答 1'!$E:$E,'フォームの回答 1'!$B:$B,M20,'フォームの回答 1'!$H:$H,$A21)</f>
        <v>0</v>
      </c>
      <c r="N21" s="1">
        <f>SUMIFS('フォームの回答 1'!$E:$E,'フォームの回答 1'!$B:$B,N20,'フォームの回答 1'!$H:$H,$A21)</f>
        <v>0</v>
      </c>
      <c r="O21" s="1">
        <f>SUMIFS('フォームの回答 1'!$E:$E,'フォームの回答 1'!$B:$B,O20,'フォームの回答 1'!$H:$H,$A21)</f>
        <v>0</v>
      </c>
      <c r="P21" s="1">
        <f>SUMIFS('フォームの回答 1'!$E:$E,'フォームの回答 1'!$B:$B,P20,'フォームの回答 1'!$H:$H,$A21)</f>
        <v>0</v>
      </c>
      <c r="Q21" s="1">
        <f>SUMIFS('フォームの回答 1'!$E:$E,'フォームの回答 1'!$B:$B,Q20,'フォームの回答 1'!$H:$H,$A21)</f>
        <v>0</v>
      </c>
      <c r="R21" s="1">
        <f>SUMIFS('フォームの回答 1'!$E:$E,'フォームの回答 1'!$B:$B,R20,'フォームの回答 1'!$H:$H,$A21)</f>
        <v>0</v>
      </c>
      <c r="S21" s="1">
        <f>SUMIFS('フォームの回答 1'!$E:$E,'フォームの回答 1'!$B:$B,S20,'フォームの回答 1'!$H:$H,$A21)</f>
        <v>0</v>
      </c>
      <c r="T21" s="1">
        <f>SUMIFS('フォームの回答 1'!$E:$E,'フォームの回答 1'!$B:$B,T20,'フォームの回答 1'!$H:$H,$A21)</f>
        <v>0</v>
      </c>
      <c r="U21" s="1">
        <f>SUMIFS('フォームの回答 1'!$E:$E,'フォームの回答 1'!$B:$B,U20,'フォームの回答 1'!$H:$H,$A21)</f>
        <v>0</v>
      </c>
      <c r="V21" s="1">
        <f>SUMIFS('フォームの回答 1'!$E:$E,'フォームの回答 1'!$B:$B,V20,'フォームの回答 1'!$H:$H,$A21)</f>
        <v>0</v>
      </c>
      <c r="W21" s="1">
        <f>SUMIFS('フォームの回答 1'!$E:$E,'フォームの回答 1'!$B:$B,W20,'フォームの回答 1'!$H:$H,$A21)</f>
        <v>0</v>
      </c>
      <c r="X21" s="1">
        <f>SUMIFS('フォームの回答 1'!$E:$E,'フォームの回答 1'!$B:$B,X20,'フォームの回答 1'!$H:$H,$A21)</f>
        <v>0</v>
      </c>
      <c r="Y21" s="1">
        <f>SUMIFS('フォームの回答 1'!$E:$E,'フォームの回答 1'!$B:$B,Y20,'フォームの回答 1'!$H:$H,$A21)</f>
        <v>4300</v>
      </c>
      <c r="Z21" s="1">
        <f>SUMIFS('フォームの回答 1'!$E:$E,'フォームの回答 1'!$B:$B,Z20,'フォームの回答 1'!$H:$H,$A21)</f>
        <v>2900</v>
      </c>
      <c r="AA21" s="1">
        <f>SUMIFS('フォームの回答 1'!$E:$E,'フォームの回答 1'!$B:$B,AA20,'フォームの回答 1'!$H:$H,$A21)</f>
        <v>385505</v>
      </c>
      <c r="AB21" s="1">
        <f>SUMIFS('フォームの回答 1'!$E:$E,'フォームの回答 1'!$B:$B,AB20,'フォームの回答 1'!$H:$H,$A21)</f>
        <v>0</v>
      </c>
      <c r="AC21" s="1">
        <f>SUMIFS('フォームの回答 1'!$E:$E,'フォームの回答 1'!$B:$B,AC20,'フォームの回答 1'!$H:$H,$A21)</f>
        <v>0</v>
      </c>
      <c r="AD21" s="1">
        <f>SUMIFS('フォームの回答 1'!$E:$E,'フォームの回答 1'!$B:$B,AD20,'フォームの回答 1'!$H:$H,$A21)</f>
        <v>0</v>
      </c>
      <c r="AE21" s="1">
        <f>SUMIFS('フォームの回答 1'!$E:$E,'フォームの回答 1'!$B:$B,AE20,'フォームの回答 1'!$H:$H,$A21)</f>
        <v>0</v>
      </c>
      <c r="AF21" s="1">
        <f>SUMIFS('フォームの回答 1'!$E:$E,'フォームの回答 1'!$B:$B,AF20,'フォームの回答 1'!$H:$H,$A21)</f>
        <v>0</v>
      </c>
      <c r="AG21" s="1"/>
    </row>
    <row r="22" spans="1:38" ht="15.75" customHeight="1">
      <c r="A22" s="2" t="s">
        <v>35</v>
      </c>
      <c r="B22" s="1">
        <f>SUM(V22:AG22)</f>
        <v>330347</v>
      </c>
      <c r="C22" s="1">
        <f>SUMIFS('フォームの回答 1'!$E:$E,'フォームの回答 1'!$B:$B,C20,'フォームの回答 1'!$H:$H,$A22,'フォームの回答 1'!$F:$F,"Cash")</f>
        <v>1300</v>
      </c>
      <c r="D22" s="1">
        <f>SUMIFS('フォームの回答 1'!$E:$E,'フォームの回答 1'!$B:$B,D20,'フォームの回答 1'!$H:$H,$A22,'フォームの回答 1'!$F:$F,"Cash")</f>
        <v>940</v>
      </c>
      <c r="E22" s="1">
        <f>SUMIFS('フォームの回答 1'!$E:$E,'フォームの回答 1'!$B:$B,E20,'フォームの回答 1'!$H:$H,$A22,'フォームの回答 1'!$F:$F,"Cash")</f>
        <v>0</v>
      </c>
      <c r="F22" s="1">
        <f>SUMIFS('フォームの回答 1'!$E:$E,'フォームの回答 1'!$B:$B,F20,'フォームの回答 1'!$H:$H,$A22,'フォームの回答 1'!$F:$F,"Cash")</f>
        <v>1218</v>
      </c>
      <c r="G22" s="1">
        <f>SUMIFS('フォームの回答 1'!$E:$E,'フォームの回答 1'!$B:$B,G20,'フォームの回答 1'!$H:$H,$A22,'フォームの回答 1'!$F:$F,"Cash")</f>
        <v>10500</v>
      </c>
      <c r="H22" s="1">
        <f>SUMIFS('フォームの回答 1'!$E:$E,'フォームの回答 1'!$B:$B,H20,'フォームの回答 1'!$H:$H,$A22,'フォームの回答 1'!$F:$F,"Cash")</f>
        <v>27681</v>
      </c>
      <c r="I22" s="1">
        <f>SUMIFS('フォームの回答 1'!$E:$E,'フォームの回答 1'!$B:$B,I20,'フォームの回答 1'!$H:$H,$A22,'フォームの回答 1'!$F:$F,"Cash")</f>
        <v>1117</v>
      </c>
      <c r="J22" s="1">
        <f>SUMIFS('フォームの回答 1'!$E:$E,'フォームの回答 1'!$B:$B,J20,'フォームの回答 1'!$H:$H,$A22,'フォームの回答 1'!$F:$F,"Cash")</f>
        <v>1620</v>
      </c>
      <c r="K22" s="1">
        <f>SUMIFS('フォームの回答 1'!$E:$E,'フォームの回答 1'!$B:$B,K20,'フォームの回答 1'!$H:$H,$A22,'フォームの回答 1'!$F:$F,"Cash")</f>
        <v>0</v>
      </c>
      <c r="L22" s="1">
        <f>SUMIFS('フォームの回答 1'!$E:$E,'フォームの回答 1'!$B:$B,L20,'フォームの回答 1'!$H:$H,$A22,'フォームの回答 1'!$F:$F,"Cash")</f>
        <v>0</v>
      </c>
      <c r="M22" s="1">
        <f>SUMIFS('フォームの回答 1'!$E:$E,'フォームの回答 1'!$B:$B,M20,'フォームの回答 1'!$H:$H,$A22,'フォームの回答 1'!$F:$F,"Cash")</f>
        <v>1220</v>
      </c>
      <c r="N22" s="1">
        <f>SUMIFS('フォームの回答 1'!$E:$E,'フォームの回答 1'!$B:$B,N20,'フォームの回答 1'!$H:$H,$A22,'フォームの回答 1'!$F:$F,"Cash")</f>
        <v>5340</v>
      </c>
      <c r="O22" s="1">
        <f>SUMIFS('フォームの回答 1'!$E:$E,'フォームの回答 1'!$B:$B,O20,'フォームの回答 1'!$H:$H,$A22,'フォームの回答 1'!$F:$F,"Cash")</f>
        <v>6790</v>
      </c>
      <c r="P22" s="1">
        <f>SUMIFS('フォームの回答 1'!$E:$E,'フォームの回答 1'!$B:$B,P20,'フォームの回答 1'!$H:$H,$A22,'フォームの回答 1'!$F:$F,"Cash")</f>
        <v>938</v>
      </c>
      <c r="Q22" s="1">
        <f>SUMIFS('フォームの回答 1'!$E:$E,'フォームの回答 1'!$B:$B,Q20,'フォームの回答 1'!$H:$H,$A22,'フォームの回答 1'!$F:$F,"Cash")</f>
        <v>1530</v>
      </c>
      <c r="R22" s="1">
        <f>SUMIFS('フォームの回答 1'!$E:$E,'フォームの回答 1'!$B:$B,R20,'フォームの回答 1'!$H:$H,$A22,'フォームの回答 1'!$F:$F,"Cash")</f>
        <v>1471</v>
      </c>
      <c r="S22" s="1">
        <f>SUMIFS('フォームの回答 1'!$E:$E,'フォームの回答 1'!$B:$B,S20,'フォームの回答 1'!$H:$H,$A22,'フォームの回答 1'!$F:$F,"Cash")</f>
        <v>11110</v>
      </c>
      <c r="T22" s="1">
        <f>SUMIFS('フォームの回答 1'!$E:$E,'フォームの回答 1'!$B:$B,T20,'フォームの回答 1'!$H:$H,$A22,'フォームの回答 1'!$F:$F,"Cash")</f>
        <v>2133</v>
      </c>
      <c r="U22" s="1">
        <f>SUMIFS('フォームの回答 1'!$E:$E,'フォームの回答 1'!$B:$B,U20,'フォームの回答 1'!$H:$H,$A22,'フォームの回答 1'!$F:$F,"Cash")</f>
        <v>3162</v>
      </c>
      <c r="V22" s="1">
        <f>SUMIFS('フォームの回答 1'!$E:$E,'フォームの回答 1'!$B:$B,V20,'フォームの回答 1'!$H:$H,$A22,'フォームの回答 1'!$F:$F,"Cash")</f>
        <v>3568</v>
      </c>
      <c r="W22" s="1">
        <f>SUMIFS('フォームの回答 1'!$E:$E,'フォームの回答 1'!$B:$B,W20,'フォームの回答 1'!$H:$H,$A22,'フォームの回答 1'!$F:$F,"Cash")</f>
        <v>0</v>
      </c>
      <c r="X22" s="1">
        <f>SUMIFS('フォームの回答 1'!$E:$E,'フォームの回答 1'!$B:$B,X20,'フォームの回答 1'!$H:$H,$A22,'フォームの回答 1'!$F:$F,"Cash")</f>
        <v>1108</v>
      </c>
      <c r="Y22" s="1">
        <f>SUMIFS('フォームの回答 1'!$E:$E,'フォームの回答 1'!$B:$B,Y20,'フォームの回答 1'!$H:$H,$A22,'フォームの回答 1'!$F:$F,"Cash")</f>
        <v>0</v>
      </c>
      <c r="Z22" s="1">
        <f>SUMIFS('フォームの回答 1'!$E:$E,'フォームの回答 1'!$B:$B,Z20,'フォームの回答 1'!$H:$H,$A22,'フォームの回答 1'!$F:$F,"Cash")</f>
        <v>1138</v>
      </c>
      <c r="AA22" s="1">
        <f>SUMIFS('フォームの回答 1'!$E:$E,'フォームの回答 1'!$B:$B,AA20,'フォームの回答 1'!$H:$H,$A22,'フォームの回答 1'!$F:$F,"Cash")</f>
        <v>1100</v>
      </c>
      <c r="AB22" s="1">
        <f>SUMIFS('フォームの回答 1'!$E:$E,'フォームの回答 1'!$B:$B,AB20,'フォームの回答 1'!$H:$H,$A22,'フォームの回答 1'!$F:$F,"Cash")</f>
        <v>5078</v>
      </c>
      <c r="AC22" s="1">
        <f>SUMIFS('フォームの回答 1'!$E:$E,'フォームの回答 1'!$B:$B,AC20,'フォームの回答 1'!$H:$H,$A22,'フォームの回答 1'!$F:$F,"Cash")+AI20</f>
        <v>161964</v>
      </c>
      <c r="AD22" s="1">
        <f>SUMIFS('フォームの回答 1'!$E:$E,'フォームの回答 1'!$B:$B,AD20,'フォームの回答 1'!$H:$H,$A22,'フォームの回答 1'!$F:$F,"Cash")</f>
        <v>149370</v>
      </c>
      <c r="AE22" s="1">
        <f>SUMIFS('フォームの回答 1'!$E:$E,'フォームの回答 1'!$B:$B,AE20,'フォームの回答 1'!$H:$H,$A22,'フォームの回答 1'!$F:$F,"Cash")</f>
        <v>2571</v>
      </c>
      <c r="AF22" s="1">
        <f>SUMIFS('フォームの回答 1'!$E:$E,'フォームの回答 1'!$B:$B,AF20,'フォームの回答 1'!$H:$H,$A22,'フォームの回答 1'!$F:$F,"Cash")</f>
        <v>4450</v>
      </c>
      <c r="AG22" s="1"/>
      <c r="AJ22" s="1"/>
    </row>
    <row r="23" spans="1:38" ht="15.75" customHeight="1">
      <c r="A23" s="2" t="s">
        <v>32</v>
      </c>
      <c r="C23" s="1">
        <f>AG17+C21-C22</f>
        <v>65897</v>
      </c>
      <c r="D23" s="1">
        <f t="shared" ref="D23:AF23" si="3">C23+D21-D22</f>
        <v>77821</v>
      </c>
      <c r="E23" s="1">
        <f t="shared" si="3"/>
        <v>77821</v>
      </c>
      <c r="F23" s="1">
        <f t="shared" si="3"/>
        <v>76603</v>
      </c>
      <c r="G23" s="1">
        <f t="shared" si="3"/>
        <v>71003</v>
      </c>
      <c r="H23" s="1">
        <f t="shared" si="3"/>
        <v>59322</v>
      </c>
      <c r="I23" s="1">
        <f t="shared" si="3"/>
        <v>58205</v>
      </c>
      <c r="J23" s="1">
        <f t="shared" si="3"/>
        <v>56585</v>
      </c>
      <c r="K23" s="1">
        <f t="shared" si="3"/>
        <v>56585</v>
      </c>
      <c r="L23" s="1">
        <f t="shared" si="3"/>
        <v>56585</v>
      </c>
      <c r="M23" s="1">
        <f t="shared" si="3"/>
        <v>55365</v>
      </c>
      <c r="N23" s="1">
        <f t="shared" si="3"/>
        <v>50025</v>
      </c>
      <c r="O23" s="1">
        <f t="shared" si="3"/>
        <v>43235</v>
      </c>
      <c r="P23" s="1">
        <f t="shared" si="3"/>
        <v>42297</v>
      </c>
      <c r="Q23" s="1">
        <f t="shared" si="3"/>
        <v>40767</v>
      </c>
      <c r="R23" s="1">
        <f t="shared" si="3"/>
        <v>39296</v>
      </c>
      <c r="S23" s="1">
        <f t="shared" si="3"/>
        <v>28186</v>
      </c>
      <c r="T23" s="1">
        <f t="shared" si="3"/>
        <v>26053</v>
      </c>
      <c r="U23" s="1">
        <f t="shared" si="3"/>
        <v>22891</v>
      </c>
      <c r="V23" s="1">
        <f t="shared" si="3"/>
        <v>19323</v>
      </c>
      <c r="W23" s="1">
        <f t="shared" si="3"/>
        <v>19323</v>
      </c>
      <c r="X23" s="1">
        <f t="shared" si="3"/>
        <v>18215</v>
      </c>
      <c r="Y23" s="1">
        <f t="shared" si="3"/>
        <v>22515</v>
      </c>
      <c r="Z23" s="1">
        <f t="shared" si="3"/>
        <v>24277</v>
      </c>
      <c r="AA23" s="1">
        <f t="shared" si="3"/>
        <v>408682</v>
      </c>
      <c r="AB23" s="1">
        <f t="shared" si="3"/>
        <v>403604</v>
      </c>
      <c r="AC23" s="1">
        <f t="shared" si="3"/>
        <v>241640</v>
      </c>
      <c r="AD23" s="1">
        <f t="shared" si="3"/>
        <v>92270</v>
      </c>
      <c r="AE23" s="1">
        <f t="shared" si="3"/>
        <v>89699</v>
      </c>
      <c r="AF23" s="1">
        <f t="shared" si="3"/>
        <v>85249</v>
      </c>
      <c r="AJ23" s="1"/>
    </row>
    <row r="25" spans="1:38" ht="15.75" customHeight="1">
      <c r="B25" s="20" t="s">
        <v>62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I25" s="2" t="s">
        <v>63</v>
      </c>
      <c r="AJ25" s="1"/>
    </row>
    <row r="26" spans="1:38" ht="15.75" customHeight="1">
      <c r="B26" s="2" t="s">
        <v>29</v>
      </c>
      <c r="C26" s="11">
        <v>45778</v>
      </c>
      <c r="D26" s="11">
        <v>45779</v>
      </c>
      <c r="E26" s="11">
        <v>45780</v>
      </c>
      <c r="F26" s="11">
        <v>45781</v>
      </c>
      <c r="G26" s="11">
        <v>45782</v>
      </c>
      <c r="H26" s="11">
        <v>45783</v>
      </c>
      <c r="I26" s="11">
        <v>45784</v>
      </c>
      <c r="J26" s="11">
        <v>45785</v>
      </c>
      <c r="K26" s="11">
        <v>45786</v>
      </c>
      <c r="L26" s="11">
        <v>45787</v>
      </c>
      <c r="M26" s="11">
        <v>45788</v>
      </c>
      <c r="N26" s="11">
        <v>45789</v>
      </c>
      <c r="O26" s="11">
        <v>45790</v>
      </c>
      <c r="P26" s="11">
        <v>45791</v>
      </c>
      <c r="Q26" s="11">
        <v>45792</v>
      </c>
      <c r="R26" s="11">
        <v>45793</v>
      </c>
      <c r="S26" s="11">
        <v>45794</v>
      </c>
      <c r="T26" s="11">
        <v>45795</v>
      </c>
      <c r="U26" s="11">
        <v>45796</v>
      </c>
      <c r="V26" s="11">
        <v>45797</v>
      </c>
      <c r="W26" s="11">
        <v>45798</v>
      </c>
      <c r="X26" s="11">
        <v>45799</v>
      </c>
      <c r="Y26" s="11">
        <v>45800</v>
      </c>
      <c r="Z26" s="11">
        <v>45801</v>
      </c>
      <c r="AA26" s="11">
        <v>45802</v>
      </c>
      <c r="AB26" s="11">
        <v>45803</v>
      </c>
      <c r="AC26" s="11">
        <v>45804</v>
      </c>
      <c r="AD26" s="11">
        <v>45805</v>
      </c>
      <c r="AE26" s="11">
        <v>45806</v>
      </c>
      <c r="AF26" s="11">
        <v>45807</v>
      </c>
      <c r="AG26" s="11">
        <v>45808</v>
      </c>
      <c r="AI26" s="13">
        <f>177989</f>
        <v>177989</v>
      </c>
    </row>
    <row r="27" spans="1:38" ht="15.75" customHeight="1">
      <c r="A27" s="2" t="s">
        <v>34</v>
      </c>
      <c r="B27" s="1">
        <f>SUM(V27:AG27)</f>
        <v>535505</v>
      </c>
      <c r="C27" s="1">
        <f>SUMIFS('フォームの回答 1'!$E:$E,'フォームの回答 1'!$B:$B,C26,'フォームの回答 1'!$H:$H,$A27)</f>
        <v>0</v>
      </c>
      <c r="D27" s="1">
        <f>SUMIFS('フォームの回答 1'!$E:$E,'フォームの回答 1'!$B:$B,D26,'フォームの回答 1'!$H:$H,$A27)</f>
        <v>0</v>
      </c>
      <c r="E27" s="1">
        <f>SUMIFS('フォームの回答 1'!$E:$E,'フォームの回答 1'!$B:$B,E26,'フォームの回答 1'!$H:$H,$A27)</f>
        <v>250</v>
      </c>
      <c r="F27" s="1">
        <f>SUMIFS('フォームの回答 1'!$E:$E,'フォームの回答 1'!$B:$B,F26,'フォームの回答 1'!$H:$H,$A27)</f>
        <v>0</v>
      </c>
      <c r="G27" s="1">
        <f>SUMIFS('フォームの回答 1'!$E:$E,'フォームの回答 1'!$B:$B,G26,'フォームの回答 1'!$H:$H,$A27)</f>
        <v>0</v>
      </c>
      <c r="H27" s="1">
        <f>SUMIFS('フォームの回答 1'!$E:$E,'フォームの回答 1'!$B:$B,H26,'フォームの回答 1'!$H:$H,$A27)</f>
        <v>0</v>
      </c>
      <c r="I27" s="1">
        <f>SUMIFS('フォームの回答 1'!$E:$E,'フォームの回答 1'!$B:$B,I26,'フォームの回答 1'!$H:$H,$A27)</f>
        <v>0</v>
      </c>
      <c r="J27" s="1">
        <f>SUMIFS('フォームの回答 1'!$E:$E,'フォームの回答 1'!$B:$B,J26,'フォームの回答 1'!$H:$H,$A27)</f>
        <v>0</v>
      </c>
      <c r="K27" s="1">
        <f>SUMIFS('フォームの回答 1'!$E:$E,'フォームの回答 1'!$B:$B,K26,'フォームの回答 1'!$H:$H,$A27)</f>
        <v>0</v>
      </c>
      <c r="L27" s="1">
        <f>SUMIFS('フォームの回答 1'!$E:$E,'フォームの回答 1'!$B:$B,L26,'フォームの回答 1'!$H:$H,$A27)</f>
        <v>0</v>
      </c>
      <c r="M27" s="1">
        <f>SUMIFS('フォームの回答 1'!$E:$E,'フォームの回答 1'!$B:$B,M26,'フォームの回答 1'!$H:$H,$A27)</f>
        <v>2760</v>
      </c>
      <c r="N27" s="1">
        <f>SUMIFS('フォームの回答 1'!$E:$E,'フォームの回答 1'!$B:$B,N26,'フォームの回答 1'!$H:$H,$A27)</f>
        <v>0</v>
      </c>
      <c r="O27" s="1">
        <f>SUMIFS('フォームの回答 1'!$E:$E,'フォームの回答 1'!$B:$B,O26,'フォームの回答 1'!$H:$H,$A27)</f>
        <v>0</v>
      </c>
      <c r="P27" s="1">
        <f>SUMIFS('フォームの回答 1'!$E:$E,'フォームの回答 1'!$B:$B,P26,'フォームの回答 1'!$H:$H,$A27)</f>
        <v>7180</v>
      </c>
      <c r="Q27" s="1">
        <f>SUMIFS('フォームの回答 1'!$E:$E,'フォームの回答 1'!$B:$B,Q26,'フォームの回答 1'!$H:$H,$A27)</f>
        <v>0</v>
      </c>
      <c r="R27" s="1">
        <f>SUMIFS('フォームの回答 1'!$E:$E,'フォームの回答 1'!$B:$B,R26,'フォームの回答 1'!$H:$H,$A27)</f>
        <v>0</v>
      </c>
      <c r="S27" s="1">
        <f>SUMIFS('フォームの回答 1'!$E:$E,'フォームの回答 1'!$B:$B,S26,'フォームの回答 1'!$H:$H,$A27)</f>
        <v>0</v>
      </c>
      <c r="T27" s="1">
        <f>SUMIFS('フォームの回答 1'!$E:$E,'フォームの回答 1'!$B:$B,T26,'フォームの回答 1'!$H:$H,$A27)</f>
        <v>0</v>
      </c>
      <c r="U27" s="1">
        <f>SUMIFS('フォームの回答 1'!$E:$E,'フォームの回答 1'!$B:$B,U26,'フォームの回答 1'!$H:$H,$A27)</f>
        <v>0</v>
      </c>
      <c r="V27" s="1">
        <f>SUMIFS('フォームの回答 1'!$E:$E,'フォームの回答 1'!$B:$B,V26,'フォームの回答 1'!$H:$H,$A27)</f>
        <v>0</v>
      </c>
      <c r="W27" s="1">
        <f>SUMIFS('フォームの回答 1'!$E:$E,'フォームの回答 1'!$B:$B,W26,'フォームの回答 1'!$H:$H,$A27)</f>
        <v>0</v>
      </c>
      <c r="X27" s="1">
        <f>SUMIFS('フォームの回答 1'!$E:$E,'フォームの回答 1'!$B:$B,X26,'フォームの回答 1'!$H:$H,$A27)</f>
        <v>0</v>
      </c>
      <c r="Y27" s="1">
        <f>SUMIFS('フォームの回答 1'!$E:$E,'フォームの回答 1'!$B:$B,Y26,'フォームの回答 1'!$H:$H,$A27)</f>
        <v>385505</v>
      </c>
      <c r="Z27" s="1">
        <f>SUMIFS('フォームの回答 1'!$E:$E,'フォームの回答 1'!$B:$B,Z26,'フォームの回答 1'!$H:$H,$A27)</f>
        <v>0</v>
      </c>
      <c r="AA27" s="1">
        <f>SUMIFS('フォームの回答 1'!$E:$E,'フォームの回答 1'!$B:$B,AA26,'フォームの回答 1'!$H:$H,$A27)+AJ18</f>
        <v>0</v>
      </c>
      <c r="AB27" s="1">
        <f>SUMIFS('フォームの回答 1'!$E:$E,'フォームの回答 1'!$B:$B,AB26,'フォームの回答 1'!$H:$H,$A27)+AI28</f>
        <v>150000</v>
      </c>
      <c r="AC27" s="1">
        <f>SUMIFS('フォームの回答 1'!$E:$E,'フォームの回答 1'!$B:$B,AC26,'フォームの回答 1'!$H:$H,$A27)</f>
        <v>0</v>
      </c>
      <c r="AD27" s="1">
        <f>SUMIFS('フォームの回答 1'!$E:$E,'フォームの回答 1'!$B:$B,AD26,'フォームの回答 1'!$H:$H,$A27)</f>
        <v>0</v>
      </c>
      <c r="AE27" s="1">
        <f>SUMIFS('フォームの回答 1'!$E:$E,'フォームの回答 1'!$B:$B,AE26,'フォームの回答 1'!$H:$H,$A27)</f>
        <v>0</v>
      </c>
      <c r="AF27" s="1">
        <f>SUMIFS('フォームの回答 1'!$E:$E,'フォームの回答 1'!$B:$B,AF26,'フォームの回答 1'!$H:$H,$A27)</f>
        <v>0</v>
      </c>
      <c r="AG27" s="1">
        <f>SUMIFS('フォームの回答 1'!$E:$E,'フォームの回答 1'!$B:$B,AG26,'フォームの回答 1'!$H:$H,$A27)</f>
        <v>0</v>
      </c>
      <c r="AI27" s="2" t="s">
        <v>78</v>
      </c>
    </row>
    <row r="28" spans="1:38" ht="15.75" customHeight="1">
      <c r="A28" s="2" t="s">
        <v>35</v>
      </c>
      <c r="B28" s="1">
        <f>SUM(C28:AG28)</f>
        <v>581673</v>
      </c>
      <c r="C28" s="1">
        <f>SUMIFS('フォームの回答 1'!$E:$E,'フォームの回答 1'!$B:$B,C26,'フォームの回答 1'!$H:$H,$A28,'フォームの回答 1'!$F:$F,"Cash")</f>
        <v>352</v>
      </c>
      <c r="D28" s="1">
        <f>SUMIFS('フォームの回答 1'!$E:$E,'フォームの回答 1'!$B:$B,D26,'フォームの回答 1'!$H:$H,$A28,'フォームの回答 1'!$F:$F,"Cash")</f>
        <v>10191</v>
      </c>
      <c r="E28" s="1">
        <f>SUMIFS('フォームの回答 1'!$E:$E,'フォームの回答 1'!$B:$B,E26,'フォームの回答 1'!$H:$H,$A28,'フォームの回答 1'!$F:$F,"Cash")</f>
        <v>5693</v>
      </c>
      <c r="F28" s="1">
        <f>SUMIFS('フォームの回答 1'!$E:$E,'フォームの回答 1'!$B:$B,F26,'フォームの回答 1'!$H:$H,$A28,'フォームの回答 1'!$F:$F,"Cash")</f>
        <v>871</v>
      </c>
      <c r="G28" s="1">
        <f>SUMIFS('フォームの回答 1'!$E:$E,'フォームの回答 1'!$B:$B,G26,'フォームの回答 1'!$H:$H,$A28,'フォームの回答 1'!$F:$F,"Cash")</f>
        <v>0</v>
      </c>
      <c r="H28" s="1">
        <f>SUMIFS('フォームの回答 1'!$E:$E,'フォームの回答 1'!$B:$B,H26,'フォームの回答 1'!$H:$H,$A28,'フォームの回答 1'!$F:$F,"Cash")</f>
        <v>1320</v>
      </c>
      <c r="I28" s="1">
        <f>SUMIFS('フォームの回答 1'!$E:$E,'フォームの回答 1'!$B:$B,I26,'フォームの回答 1'!$H:$H,$A28,'フォームの回答 1'!$F:$F,"Cash")</f>
        <v>2127</v>
      </c>
      <c r="J28" s="1">
        <f>SUMIFS('フォームの回答 1'!$E:$E,'フォームの回答 1'!$B:$B,J26,'フォームの回答 1'!$H:$H,$A28,'フォームの回答 1'!$F:$F,"Cash")</f>
        <v>3250</v>
      </c>
      <c r="K28" s="1">
        <f>SUMIFS('フォームの回答 1'!$E:$E,'フォームの回答 1'!$B:$B,K26,'フォームの回答 1'!$H:$H,$A28,'フォームの回答 1'!$F:$F,"Cash")</f>
        <v>0</v>
      </c>
      <c r="L28" s="1">
        <f>SUMIFS('フォームの回答 1'!$E:$E,'フォームの回答 1'!$B:$B,L26,'フォームの回答 1'!$H:$H,$A28,'フォームの回答 1'!$F:$F,"Cash")</f>
        <v>2053</v>
      </c>
      <c r="M28" s="1">
        <f>SUMIFS('フォームの回答 1'!$E:$E,'フォームの回答 1'!$B:$B,M26,'フォームの回答 1'!$H:$H,$A28,'フォームの回答 1'!$F:$F,"Cash")</f>
        <v>2516</v>
      </c>
      <c r="N28" s="1">
        <f>SUMIFS('フォームの回答 1'!$E:$E,'フォームの回答 1'!$B:$B,N26,'フォームの回答 1'!$H:$H,$A28,'フォームの回答 1'!$F:$F,"Cash")</f>
        <v>728</v>
      </c>
      <c r="O28" s="1">
        <f>SUMIFS('フォームの回答 1'!$E:$E,'フォームの回答 1'!$B:$B,O26,'フォームの回答 1'!$H:$H,$A28,'フォームの回答 1'!$F:$F,"Cash")</f>
        <v>9900</v>
      </c>
      <c r="P28" s="1">
        <f>SUMIFS('フォームの回答 1'!$E:$E,'フォームの回答 1'!$B:$B,P26,'フォームの回答 1'!$H:$H,$A28,'フォームの回答 1'!$F:$F,"Cash")</f>
        <v>0</v>
      </c>
      <c r="Q28" s="1">
        <f>SUMIFS('フォームの回答 1'!$E:$E,'フォームの回答 1'!$B:$B,Q26,'フォームの回答 1'!$H:$H,$A28,'フォームの回答 1'!$F:$F,"Cash")</f>
        <v>1200</v>
      </c>
      <c r="R28" s="1">
        <f>SUMIFS('フォームの回答 1'!$E:$E,'フォームの回答 1'!$B:$B,R26,'フォームの回答 1'!$H:$H,$A28,'フォームの回答 1'!$F:$F,"Cash")</f>
        <v>1664</v>
      </c>
      <c r="S28" s="1">
        <f>SUMIFS('フォームの回答 1'!$E:$E,'フォームの回答 1'!$B:$B,S26,'フォームの回答 1'!$H:$H,$A28,'フォームの回答 1'!$F:$F,"Cash")</f>
        <v>10268</v>
      </c>
      <c r="T28" s="1">
        <f>SUMIFS('フォームの回答 1'!$E:$E,'フォームの回答 1'!$B:$B,T26,'フォームの回答 1'!$H:$H,$A28,'フォームの回答 1'!$F:$F,"Cash")</f>
        <v>3888</v>
      </c>
      <c r="U28" s="1">
        <f>SUMIFS('フォームの回答 1'!$E:$E,'フォームの回答 1'!$B:$B,U26,'フォームの回答 1'!$H:$H,$A28,'フォームの回答 1'!$F:$F,"Cash")</f>
        <v>4669</v>
      </c>
      <c r="V28" s="1">
        <f>SUMIFS('フォームの回答 1'!$E:$E,'フォームの回答 1'!$B:$B,V26,'フォームの回答 1'!$H:$H,$A28,'フォームの回答 1'!$F:$F,"Cash")</f>
        <v>2190</v>
      </c>
      <c r="W28" s="1">
        <f>SUMIFS('フォームの回答 1'!$E:$E,'フォームの回答 1'!$B:$B,W26,'フォームの回答 1'!$H:$H,$A28,'フォームの回答 1'!$F:$F,"Cash")</f>
        <v>733</v>
      </c>
      <c r="X28" s="1">
        <f>SUMIFS('フォームの回答 1'!$E:$E,'フォームの回答 1'!$B:$B,X26,'フォームの回答 1'!$H:$H,$A28,'フォームの回答 1'!$F:$F,"Cash")</f>
        <v>1412</v>
      </c>
      <c r="Y28" s="1">
        <f>SUMIFS('フォームの回答 1'!$E:$E,'フォームの回答 1'!$B:$B,Y26,'フォームの回答 1'!$H:$H,$A28,'フォームの回答 1'!$F:$F,"Cash")</f>
        <v>0</v>
      </c>
      <c r="Z28" s="1">
        <f>SUMIFS('フォームの回答 1'!$E:$E,'フォームの回答 1'!$B:$B,Z26,'フォームの回答 1'!$H:$H,$A28,'フォームの回答 1'!$F:$F,"Cash")</f>
        <v>977</v>
      </c>
      <c r="AA28" s="1">
        <f>SUMIFS('フォームの回答 1'!$E:$E,'フォームの回答 1'!$B:$B,AA26,'フォームの回答 1'!$H:$H,$A28,'フォームの回答 1'!$F:$F,"Cash")</f>
        <v>15700</v>
      </c>
      <c r="AB28" s="1">
        <f>SUMIFS('フォームの回答 1'!$E:$E,'フォームの回答 1'!$B:$B,AB26,'フォームの回答 1'!$H:$H,$A28,'フォームの回答 1'!$F:$F,"Cash")</f>
        <v>131510</v>
      </c>
      <c r="AC28" s="1">
        <f>SUMIFS('フォームの回答 1'!$E:$E,'フォームの回答 1'!$B:$B,AC26,'フォームの回答 1'!$H:$H,$A28,'フォームの回答 1'!$F:$F,"Cash")+AI26</f>
        <v>359389</v>
      </c>
      <c r="AD28" s="1">
        <f>SUMIFS('フォームの回答 1'!$E:$E,'フォームの回答 1'!$B:$B,AD26,'フォームの回答 1'!$H:$H,$A28,'フォームの回答 1'!$F:$F,"Cash")</f>
        <v>3745</v>
      </c>
      <c r="AE28" s="1">
        <f>SUMIFS('フォームの回答 1'!$E:$E,'フォームの回答 1'!$B:$B,AE26,'フォームの回答 1'!$H:$H,$A28,'フォームの回答 1'!$F:$F,"Cash")</f>
        <v>1990</v>
      </c>
      <c r="AF28" s="1">
        <f>SUMIFS('フォームの回答 1'!$E:$E,'フォームの回答 1'!$B:$B,AF26,'フォームの回答 1'!$H:$H,$A28,'フォームの回答 1'!$F:$F,"Cash")</f>
        <v>1453</v>
      </c>
      <c r="AG28" s="1">
        <f>SUMIFS('フォームの回答 1'!$E:$E,'フォームの回答 1'!$B:$B,AG26,'フォームの回答 1'!$H:$H,$A28,'フォームの回答 1'!$F:$F,"Cash")</f>
        <v>1884</v>
      </c>
      <c r="AI28" s="2">
        <v>150000</v>
      </c>
    </row>
    <row r="29" spans="1:38" ht="15.75" customHeight="1">
      <c r="A29" s="2" t="s">
        <v>32</v>
      </c>
      <c r="C29" s="1">
        <f>AF23+C27-C28</f>
        <v>84897</v>
      </c>
      <c r="D29" s="1">
        <f t="shared" ref="D29:AG29" si="4">C29+D27-D28</f>
        <v>74706</v>
      </c>
      <c r="E29" s="1">
        <f t="shared" si="4"/>
        <v>69263</v>
      </c>
      <c r="F29" s="1">
        <f t="shared" si="4"/>
        <v>68392</v>
      </c>
      <c r="G29" s="1">
        <f t="shared" si="4"/>
        <v>68392</v>
      </c>
      <c r="H29" s="1">
        <f t="shared" si="4"/>
        <v>67072</v>
      </c>
      <c r="I29" s="1">
        <f t="shared" si="4"/>
        <v>64945</v>
      </c>
      <c r="J29" s="1">
        <f t="shared" si="4"/>
        <v>61695</v>
      </c>
      <c r="K29" s="1">
        <f t="shared" si="4"/>
        <v>61695</v>
      </c>
      <c r="L29" s="1">
        <f t="shared" si="4"/>
        <v>59642</v>
      </c>
      <c r="M29" s="1">
        <f t="shared" si="4"/>
        <v>59886</v>
      </c>
      <c r="N29" s="1">
        <f t="shared" si="4"/>
        <v>59158</v>
      </c>
      <c r="O29" s="1">
        <f t="shared" si="4"/>
        <v>49258</v>
      </c>
      <c r="P29" s="1">
        <f t="shared" si="4"/>
        <v>56438</v>
      </c>
      <c r="Q29" s="1">
        <f t="shared" si="4"/>
        <v>55238</v>
      </c>
      <c r="R29" s="1">
        <f t="shared" si="4"/>
        <v>53574</v>
      </c>
      <c r="S29" s="1">
        <f t="shared" si="4"/>
        <v>43306</v>
      </c>
      <c r="T29" s="1">
        <f t="shared" si="4"/>
        <v>39418</v>
      </c>
      <c r="U29" s="1">
        <f t="shared" si="4"/>
        <v>34749</v>
      </c>
      <c r="V29" s="1">
        <f t="shared" si="4"/>
        <v>32559</v>
      </c>
      <c r="W29" s="1">
        <f t="shared" si="4"/>
        <v>31826</v>
      </c>
      <c r="X29" s="1">
        <f t="shared" si="4"/>
        <v>30414</v>
      </c>
      <c r="Y29" s="1">
        <f t="shared" si="4"/>
        <v>415919</v>
      </c>
      <c r="Z29" s="1">
        <f t="shared" si="4"/>
        <v>414942</v>
      </c>
      <c r="AA29" s="1">
        <f t="shared" si="4"/>
        <v>399242</v>
      </c>
      <c r="AB29" s="1">
        <f t="shared" si="4"/>
        <v>417732</v>
      </c>
      <c r="AC29" s="1">
        <f t="shared" si="4"/>
        <v>58343</v>
      </c>
      <c r="AD29" s="1">
        <f t="shared" si="4"/>
        <v>54598</v>
      </c>
      <c r="AE29" s="1">
        <f t="shared" si="4"/>
        <v>52608</v>
      </c>
      <c r="AF29" s="1">
        <f t="shared" si="4"/>
        <v>51155</v>
      </c>
      <c r="AG29" s="1">
        <f t="shared" si="4"/>
        <v>49271</v>
      </c>
    </row>
    <row r="31" spans="1:38" ht="15.75" customHeight="1">
      <c r="B31" s="20" t="s">
        <v>64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12"/>
      <c r="AI31" s="2" t="s">
        <v>65</v>
      </c>
      <c r="AJ31" s="1"/>
    </row>
    <row r="32" spans="1:38" ht="15.75" customHeight="1">
      <c r="B32" s="2" t="s">
        <v>29</v>
      </c>
      <c r="C32" s="11">
        <v>45809</v>
      </c>
      <c r="D32" s="11">
        <v>45810</v>
      </c>
      <c r="E32" s="11">
        <v>45811</v>
      </c>
      <c r="F32" s="11">
        <v>45812</v>
      </c>
      <c r="G32" s="11">
        <v>45813</v>
      </c>
      <c r="H32" s="11">
        <v>45814</v>
      </c>
      <c r="I32" s="11">
        <v>45815</v>
      </c>
      <c r="J32" s="11">
        <v>45816</v>
      </c>
      <c r="K32" s="11">
        <v>45817</v>
      </c>
      <c r="L32" s="11">
        <v>45818</v>
      </c>
      <c r="M32" s="11">
        <v>45819</v>
      </c>
      <c r="N32" s="11">
        <v>45820</v>
      </c>
      <c r="O32" s="11">
        <v>45821</v>
      </c>
      <c r="P32" s="11">
        <v>45822</v>
      </c>
      <c r="Q32" s="11">
        <v>45823</v>
      </c>
      <c r="R32" s="11">
        <v>45824</v>
      </c>
      <c r="S32" s="11">
        <v>45825</v>
      </c>
      <c r="T32" s="11">
        <v>45826</v>
      </c>
      <c r="U32" s="11">
        <v>45827</v>
      </c>
      <c r="V32" s="11">
        <v>45828</v>
      </c>
      <c r="W32" s="11">
        <v>45829</v>
      </c>
      <c r="X32" s="11">
        <v>45830</v>
      </c>
      <c r="Y32" s="11">
        <v>45831</v>
      </c>
      <c r="Z32" s="11">
        <v>45832</v>
      </c>
      <c r="AA32" s="11">
        <v>45833</v>
      </c>
      <c r="AB32" s="11">
        <v>45834</v>
      </c>
      <c r="AC32" s="11">
        <v>45835</v>
      </c>
      <c r="AD32" s="11">
        <v>45836</v>
      </c>
      <c r="AE32" s="11">
        <v>45837</v>
      </c>
      <c r="AF32" s="11">
        <v>45838</v>
      </c>
      <c r="AG32" s="11"/>
      <c r="AI32" s="13">
        <f>153036</f>
        <v>153036</v>
      </c>
    </row>
    <row r="33" spans="1:36" ht="15.75" customHeight="1">
      <c r="A33" s="2" t="s">
        <v>34</v>
      </c>
      <c r="B33" s="1">
        <f>SUM(V33:AG33)</f>
        <v>378905</v>
      </c>
      <c r="C33" s="1">
        <f>SUMIFS('フォームの回答 1'!$E:$E,'フォームの回答 1'!$B:$B,C32,'フォームの回答 1'!$H:$H,$A33)</f>
        <v>0</v>
      </c>
      <c r="D33" s="1">
        <f>SUMIFS('フォームの回答 1'!$E:$E,'フォームの回答 1'!$B:$B,D32,'フォームの回答 1'!$H:$H,$A33)</f>
        <v>0</v>
      </c>
      <c r="E33" s="1">
        <f>SUMIFS('フォームの回答 1'!$E:$E,'フォームの回答 1'!$B:$B,E32,'フォームの回答 1'!$H:$H,$A33)</f>
        <v>0</v>
      </c>
      <c r="F33" s="1">
        <f>SUMIFS('フォームの回答 1'!$E:$E,'フォームの回答 1'!$B:$B,F32,'フォームの回答 1'!$H:$H,$A33)</f>
        <v>0</v>
      </c>
      <c r="G33" s="1">
        <f>SUMIFS('フォームの回答 1'!$E:$E,'フォームの回答 1'!$B:$B,G32,'フォームの回答 1'!$H:$H,$A33)</f>
        <v>0</v>
      </c>
      <c r="H33" s="1">
        <f>SUMIFS('フォームの回答 1'!$E:$E,'フォームの回答 1'!$B:$B,H32,'フォームの回答 1'!$H:$H,$A33)</f>
        <v>7118</v>
      </c>
      <c r="I33" s="1">
        <f>SUMIFS('フォームの回答 1'!$E:$E,'フォームの回答 1'!$B:$B,I32,'フォームの回答 1'!$H:$H,$A33)</f>
        <v>0</v>
      </c>
      <c r="J33" s="1">
        <f>SUMIFS('フォームの回答 1'!$E:$E,'フォームの回答 1'!$B:$B,J32,'フォームの回答 1'!$H:$H,$A33)</f>
        <v>0</v>
      </c>
      <c r="K33" s="1">
        <f>SUMIFS('フォームの回答 1'!$E:$E,'フォームの回答 1'!$B:$B,K32,'フォームの回答 1'!$H:$H,$A33)</f>
        <v>0</v>
      </c>
      <c r="L33" s="1">
        <f>SUMIFS('フォームの回答 1'!$E:$E,'フォームの回答 1'!$B:$B,L32,'フォームの回答 1'!$H:$H,$A33)</f>
        <v>0</v>
      </c>
      <c r="M33" s="1">
        <f>SUMIFS('フォームの回答 1'!$E:$E,'フォームの回答 1'!$B:$B,M32,'フォームの回答 1'!$H:$H,$A33)</f>
        <v>0</v>
      </c>
      <c r="N33" s="1">
        <f>SUMIFS('フォームの回答 1'!$E:$E,'フォームの回答 1'!$B:$B,N32,'フォームの回答 1'!$H:$H,$A33)</f>
        <v>0</v>
      </c>
      <c r="O33" s="1">
        <f>SUMIFS('フォームの回答 1'!$E:$E,'フォームの回答 1'!$B:$B,O32,'フォームの回答 1'!$H:$H,$A33)</f>
        <v>0</v>
      </c>
      <c r="P33" s="1">
        <f>SUMIFS('フォームの回答 1'!$E:$E,'フォームの回答 1'!$B:$B,P32,'フォームの回答 1'!$H:$H,$A33)</f>
        <v>0</v>
      </c>
      <c r="Q33" s="1">
        <f>SUMIFS('フォームの回答 1'!$E:$E,'フォームの回答 1'!$B:$B,Q32,'フォームの回答 1'!$H:$H,$A33)</f>
        <v>0</v>
      </c>
      <c r="R33" s="1">
        <f>SUMIFS('フォームの回答 1'!$E:$E,'フォームの回答 1'!$B:$B,R32,'フォームの回答 1'!$H:$H,$A33)</f>
        <v>0</v>
      </c>
      <c r="S33" s="1">
        <f>SUMIFS('フォームの回答 1'!$E:$E,'フォームの回答 1'!$B:$B,S32,'フォームの回答 1'!$H:$H,$A33)</f>
        <v>0</v>
      </c>
      <c r="T33" s="1">
        <f>SUMIFS('フォームの回答 1'!$E:$E,'フォームの回答 1'!$B:$B,T32,'フォームの回答 1'!$H:$H,$A33)</f>
        <v>0</v>
      </c>
      <c r="U33" s="1">
        <f>SUMIFS('フォームの回答 1'!$E:$E,'フォームの回答 1'!$B:$B,U32,'フォームの回答 1'!$H:$H,$A33)</f>
        <v>0</v>
      </c>
      <c r="V33" s="1">
        <f>SUMIFS('フォームの回答 1'!$E:$E,'フォームの回答 1'!$B:$B,V32,'フォームの回答 1'!$H:$H,$A33)</f>
        <v>0</v>
      </c>
      <c r="W33" s="1">
        <f>SUMIFS('フォームの回答 1'!$E:$E,'フォームの回答 1'!$B:$B,W32,'フォームの回答 1'!$H:$H,$A33)</f>
        <v>0</v>
      </c>
      <c r="X33" s="1">
        <f>SUMIFS('フォームの回答 1'!$E:$E,'フォームの回答 1'!$B:$B,X32,'フォームの回答 1'!$H:$H,$A33)</f>
        <v>0</v>
      </c>
      <c r="Y33" s="1">
        <f>SUMIFS('フォームの回答 1'!$E:$E,'フォームの回答 1'!$B:$B,Y32,'フォームの回答 1'!$H:$H,$A33)</f>
        <v>0</v>
      </c>
      <c r="Z33" s="1">
        <f>SUMIFS('フォームの回答 1'!$E:$E,'フォームの回答 1'!$B:$B,Z32,'フォームの回答 1'!$H:$H,$A33)</f>
        <v>0</v>
      </c>
      <c r="AA33" s="1">
        <f>SUMIFS('フォームの回答 1'!$E:$E,'フォームの回答 1'!$B:$B,AA32,'フォームの回答 1'!$H:$H,$A33)+AJ24</f>
        <v>378905</v>
      </c>
      <c r="AB33" s="1">
        <f>SUMIFS('フォームの回答 1'!$E:$E,'フォームの回答 1'!$B:$B,AB32,'フォームの回答 1'!$H:$H,$A33)</f>
        <v>0</v>
      </c>
      <c r="AC33" s="1">
        <f>SUMIFS('フォームの回答 1'!$E:$E,'フォームの回答 1'!$B:$B,AC32,'フォームの回答 1'!$H:$H,$A33)</f>
        <v>0</v>
      </c>
      <c r="AD33" s="1">
        <f>SUMIFS('フォームの回答 1'!$E:$E,'フォームの回答 1'!$B:$B,AD32,'フォームの回答 1'!$H:$H,$A33)</f>
        <v>0</v>
      </c>
      <c r="AE33" s="1">
        <f>SUMIFS('フォームの回答 1'!$E:$E,'フォームの回答 1'!$B:$B,AE32,'フォームの回答 1'!$H:$H,$A33)</f>
        <v>0</v>
      </c>
      <c r="AF33" s="1">
        <f>SUMIFS('フォームの回答 1'!$E:$E,'フォームの回答 1'!$B:$B,AF32,'フォームの回答 1'!$H:$H,$A33)</f>
        <v>0</v>
      </c>
      <c r="AG33" s="1"/>
    </row>
    <row r="34" spans="1:36" ht="15.75" customHeight="1">
      <c r="A34" s="2" t="s">
        <v>35</v>
      </c>
      <c r="B34" s="1">
        <f>SUM(C34:AG34)</f>
        <v>414509</v>
      </c>
      <c r="C34" s="1">
        <f>SUMIFS('フォームの回答 1'!$E:$E,'フォームの回答 1'!$B:$B,C32,'フォームの回答 1'!$H:$H,$A34,'フォームの回答 1'!$F:$F,"Cash")</f>
        <v>9396</v>
      </c>
      <c r="D34" s="1">
        <f>SUMIFS('フォームの回答 1'!$E:$E,'フォームの回答 1'!$B:$B,D32,'フォームの回答 1'!$H:$H,$A34,'フォームの回答 1'!$F:$F,"Cash")</f>
        <v>1300</v>
      </c>
      <c r="E34" s="1">
        <f>SUMIFS('フォームの回答 1'!$E:$E,'フォームの回答 1'!$B:$B,E32,'フォームの回答 1'!$H:$H,$A34,'フォームの回答 1'!$F:$F,"Cash")</f>
        <v>899</v>
      </c>
      <c r="F34" s="1">
        <f>SUMIFS('フォームの回答 1'!$E:$E,'フォームの回答 1'!$B:$B,F32,'フォームの回答 1'!$H:$H,$A34,'フォームの回答 1'!$F:$F,"Cash")</f>
        <v>500</v>
      </c>
      <c r="G34" s="1">
        <f>SUMIFS('フォームの回答 1'!$E:$E,'フォームの回答 1'!$B:$B,G32,'フォームの回答 1'!$H:$H,$A34,'フォームの回答 1'!$F:$F,"Cash")</f>
        <v>1107</v>
      </c>
      <c r="H34" s="1">
        <f>SUMIFS('フォームの回答 1'!$E:$E,'フォームの回答 1'!$B:$B,H32,'フォームの回答 1'!$H:$H,$A34,'フォームの回答 1'!$F:$F,"Cash")</f>
        <v>2318</v>
      </c>
      <c r="I34" s="1">
        <f>SUMIFS('フォームの回答 1'!$E:$E,'フォームの回答 1'!$B:$B,I32,'フォームの回答 1'!$H:$H,$A34,'フォームの回答 1'!$F:$F,"Cash")</f>
        <v>7123</v>
      </c>
      <c r="J34" s="1">
        <f>SUMIFS('フォームの回答 1'!$E:$E,'フォームの回答 1'!$B:$B,J32,'フォームの回答 1'!$H:$H,$A34,'フォームの回答 1'!$F:$F,"Cash")</f>
        <v>0</v>
      </c>
      <c r="K34" s="1">
        <f>SUMIFS('フォームの回答 1'!$E:$E,'フォームの回答 1'!$B:$B,K32,'フォームの回答 1'!$H:$H,$A34,'フォームの回答 1'!$F:$F,"Cash")</f>
        <v>980</v>
      </c>
      <c r="L34" s="1">
        <f>SUMIFS('フォームの回答 1'!$E:$E,'フォームの回答 1'!$B:$B,L32,'フォームの回答 1'!$H:$H,$A34,'フォームの回答 1'!$F:$F,"Cash")</f>
        <v>0</v>
      </c>
      <c r="M34" s="1">
        <f>SUMIFS('フォームの回答 1'!$E:$E,'フォームの回答 1'!$B:$B,M32,'フォームの回答 1'!$H:$H,$A34,'フォームの回答 1'!$F:$F,"Cash")</f>
        <v>2065</v>
      </c>
      <c r="N34" s="1">
        <f>SUMIFS('フォームの回答 1'!$E:$E,'フォームの回答 1'!$B:$B,N32,'フォームの回答 1'!$H:$H,$A34,'フォームの回答 1'!$F:$F,"Cash")</f>
        <v>0</v>
      </c>
      <c r="O34" s="1">
        <f>SUMIFS('フォームの回答 1'!$E:$E,'フォームの回答 1'!$B:$B,O32,'フォームの回答 1'!$H:$H,$A34,'フォームの回答 1'!$F:$F,"Cash")</f>
        <v>2604</v>
      </c>
      <c r="P34" s="1">
        <f>SUMIFS('フォームの回答 1'!$E:$E,'フォームの回答 1'!$B:$B,P32,'フォームの回答 1'!$H:$H,$A34,'フォームの回答 1'!$F:$F,"Cash")</f>
        <v>864</v>
      </c>
      <c r="Q34" s="1">
        <f>SUMIFS('フォームの回答 1'!$E:$E,'フォームの回答 1'!$B:$B,Q32,'フォームの回答 1'!$H:$H,$A34,'フォームの回答 1'!$F:$F,"Cash")</f>
        <v>2547</v>
      </c>
      <c r="R34" s="1">
        <f>SUMIFS('フォームの回答 1'!$E:$E,'フォームの回答 1'!$B:$B,R32,'フォームの回答 1'!$H:$H,$A34,'フォームの回答 1'!$F:$F,"Cash")</f>
        <v>0</v>
      </c>
      <c r="S34" s="1">
        <f>SUMIFS('フォームの回答 1'!$E:$E,'フォームの回答 1'!$B:$B,S32,'フォームの回答 1'!$H:$H,$A34,'フォームの回答 1'!$F:$F,"Cash")</f>
        <v>378</v>
      </c>
      <c r="T34" s="1">
        <f>SUMIFS('フォームの回答 1'!$E:$E,'フォームの回答 1'!$B:$B,T32,'フォームの回答 1'!$H:$H,$A34,'フォームの回答 1'!$F:$F,"Cash")</f>
        <v>1860</v>
      </c>
      <c r="U34" s="1">
        <f>SUMIFS('フォームの回答 1'!$E:$E,'フォームの回答 1'!$B:$B,U32,'フォームの回答 1'!$H:$H,$A34,'フォームの回答 1'!$F:$F,"Cash")</f>
        <v>407</v>
      </c>
      <c r="V34" s="1">
        <f>SUMIFS('フォームの回答 1'!$E:$E,'フォームの回答 1'!$B:$B,V32,'フォームの回答 1'!$H:$H,$A34,'フォームの回答 1'!$F:$F,"Cash")</f>
        <v>2390</v>
      </c>
      <c r="W34" s="1">
        <f>SUMIFS('フォームの回答 1'!$E:$E,'フォームの回答 1'!$B:$B,W32,'フォームの回答 1'!$H:$H,$A34,'フォームの回答 1'!$F:$F,"Cash")</f>
        <v>5887</v>
      </c>
      <c r="X34" s="1">
        <f>SUMIFS('フォームの回答 1'!$E:$E,'フォームの回答 1'!$B:$B,X32,'フォームの回答 1'!$H:$H,$A34,'フォームの回答 1'!$F:$F,"Cash")</f>
        <v>3771</v>
      </c>
      <c r="Y34" s="1">
        <f>SUMIFS('フォームの回答 1'!$E:$E,'フォームの回答 1'!$B:$B,Y32,'フォームの回答 1'!$H:$H,$A34,'フォームの回答 1'!$F:$F,"Cash")</f>
        <v>5590</v>
      </c>
      <c r="Z34" s="1">
        <f>SUMIFS('フォームの回答 1'!$E:$E,'フォームの回答 1'!$B:$B,Z32,'フォームの回答 1'!$H:$H,$A34,'フォームの回答 1'!$F:$F,"Cash")</f>
        <v>2629</v>
      </c>
      <c r="AA34" s="1">
        <f>SUMIFS('フォームの回答 1'!$E:$E,'フォームの回答 1'!$B:$B,AA32,'フォームの回答 1'!$H:$H,$A34,'フォームの回答 1'!$F:$F,"Cash")</f>
        <v>11813</v>
      </c>
      <c r="AB34" s="1">
        <f>SUMIFS('フォームの回答 1'!$E:$E,'フォームの回答 1'!$B:$B,AB32,'フォームの回答 1'!$H:$H,$A34,'フォームの回答 1'!$F:$F,"Cash")</f>
        <v>239</v>
      </c>
      <c r="AC34" s="1">
        <f>SUMIFS('フォームの回答 1'!$E:$E,'フォームの回答 1'!$B:$B,AC32,'フォームの回答 1'!$H:$H,$A34,'フォームの回答 1'!$F:$F,"Cash")+AI32</f>
        <v>342236</v>
      </c>
      <c r="AD34" s="1">
        <f>SUMIFS('フォームの回答 1'!$E:$E,'フォームの回答 1'!$B:$B,AD32,'フォームの回答 1'!$H:$H,$A34,'フォームの回答 1'!$F:$F,"Cash")</f>
        <v>3929</v>
      </c>
      <c r="AE34" s="1">
        <f>SUMIFS('フォームの回答 1'!$E:$E,'フォームの回答 1'!$B:$B,AE32,'フォームの回答 1'!$H:$H,$A34,'フォームの回答 1'!$F:$F,"Cash")</f>
        <v>1677</v>
      </c>
      <c r="AF34" s="1">
        <f>SUMIFS('フォームの回答 1'!$E:$E,'フォームの回答 1'!$B:$B,AF32,'フォームの回答 1'!$H:$H,$A34,'フォームの回答 1'!$F:$F,"Cash")</f>
        <v>0</v>
      </c>
      <c r="AG34" s="1"/>
    </row>
    <row r="35" spans="1:36" ht="15.75" customHeight="1">
      <c r="A35" s="2" t="s">
        <v>32</v>
      </c>
      <c r="C35" s="1">
        <f>AG29+C33-C34</f>
        <v>39875</v>
      </c>
      <c r="D35" s="1">
        <f t="shared" ref="D35:AF35" si="5">C35+D33-D34</f>
        <v>38575</v>
      </c>
      <c r="E35" s="1">
        <f t="shared" si="5"/>
        <v>37676</v>
      </c>
      <c r="F35" s="1">
        <f t="shared" si="5"/>
        <v>37176</v>
      </c>
      <c r="G35" s="1">
        <f t="shared" si="5"/>
        <v>36069</v>
      </c>
      <c r="H35" s="1">
        <f t="shared" si="5"/>
        <v>40869</v>
      </c>
      <c r="I35" s="1">
        <f t="shared" si="5"/>
        <v>33746</v>
      </c>
      <c r="J35" s="1">
        <f t="shared" si="5"/>
        <v>33746</v>
      </c>
      <c r="K35" s="1">
        <f t="shared" si="5"/>
        <v>32766</v>
      </c>
      <c r="L35" s="1">
        <f t="shared" si="5"/>
        <v>32766</v>
      </c>
      <c r="M35" s="1">
        <f t="shared" si="5"/>
        <v>30701</v>
      </c>
      <c r="N35" s="1">
        <f t="shared" si="5"/>
        <v>30701</v>
      </c>
      <c r="O35" s="1">
        <f t="shared" si="5"/>
        <v>28097</v>
      </c>
      <c r="P35" s="1">
        <f t="shared" si="5"/>
        <v>27233</v>
      </c>
      <c r="Q35" s="1">
        <f t="shared" si="5"/>
        <v>24686</v>
      </c>
      <c r="R35" s="1">
        <f t="shared" si="5"/>
        <v>24686</v>
      </c>
      <c r="S35" s="1">
        <f t="shared" si="5"/>
        <v>24308</v>
      </c>
      <c r="T35" s="1">
        <f t="shared" si="5"/>
        <v>22448</v>
      </c>
      <c r="U35" s="1">
        <f t="shared" si="5"/>
        <v>22041</v>
      </c>
      <c r="V35" s="1">
        <f t="shared" si="5"/>
        <v>19651</v>
      </c>
      <c r="W35" s="1">
        <f t="shared" si="5"/>
        <v>13764</v>
      </c>
      <c r="X35" s="1">
        <f t="shared" si="5"/>
        <v>9993</v>
      </c>
      <c r="Y35" s="1">
        <f t="shared" si="5"/>
        <v>4403</v>
      </c>
      <c r="Z35" s="1">
        <f t="shared" si="5"/>
        <v>1774</v>
      </c>
      <c r="AA35" s="1">
        <f t="shared" si="5"/>
        <v>368866</v>
      </c>
      <c r="AB35" s="1">
        <f t="shared" si="5"/>
        <v>368627</v>
      </c>
      <c r="AC35" s="1">
        <f t="shared" si="5"/>
        <v>26391</v>
      </c>
      <c r="AD35" s="1">
        <f t="shared" si="5"/>
        <v>22462</v>
      </c>
      <c r="AE35" s="1">
        <f t="shared" si="5"/>
        <v>20785</v>
      </c>
      <c r="AF35" s="1">
        <f t="shared" si="5"/>
        <v>20785</v>
      </c>
    </row>
    <row r="37" spans="1:36" ht="15.75" customHeight="1">
      <c r="B37" s="20" t="s">
        <v>66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I37" s="2" t="s">
        <v>67</v>
      </c>
      <c r="AJ37" s="1"/>
    </row>
    <row r="38" spans="1:36" ht="15.75" customHeight="1">
      <c r="B38" s="2" t="s">
        <v>29</v>
      </c>
      <c r="C38" s="11">
        <v>45839</v>
      </c>
      <c r="D38" s="11">
        <v>45840</v>
      </c>
      <c r="E38" s="11">
        <v>45841</v>
      </c>
      <c r="F38" s="11">
        <v>45842</v>
      </c>
      <c r="G38" s="11">
        <v>45843</v>
      </c>
      <c r="H38" s="11">
        <v>45844</v>
      </c>
      <c r="I38" s="11">
        <v>45845</v>
      </c>
      <c r="J38" s="11">
        <v>45846</v>
      </c>
      <c r="K38" s="11">
        <v>45847</v>
      </c>
      <c r="L38" s="11">
        <v>45848</v>
      </c>
      <c r="M38" s="11">
        <v>45849</v>
      </c>
      <c r="N38" s="11">
        <v>45850</v>
      </c>
      <c r="O38" s="11">
        <v>45851</v>
      </c>
      <c r="P38" s="11">
        <v>45852</v>
      </c>
      <c r="Q38" s="11">
        <v>45853</v>
      </c>
      <c r="R38" s="11">
        <v>45854</v>
      </c>
      <c r="S38" s="11">
        <v>45855</v>
      </c>
      <c r="T38" s="11">
        <v>45856</v>
      </c>
      <c r="U38" s="11">
        <v>45857</v>
      </c>
      <c r="V38" s="11">
        <v>45858</v>
      </c>
      <c r="W38" s="11">
        <v>45859</v>
      </c>
      <c r="X38" s="11">
        <v>45860</v>
      </c>
      <c r="Y38" s="11">
        <v>45861</v>
      </c>
      <c r="Z38" s="11">
        <v>45862</v>
      </c>
      <c r="AA38" s="11">
        <v>45863</v>
      </c>
      <c r="AB38" s="11">
        <v>45864</v>
      </c>
      <c r="AC38" s="11">
        <v>45865</v>
      </c>
      <c r="AD38" s="11">
        <v>45866</v>
      </c>
      <c r="AE38" s="11">
        <v>45867</v>
      </c>
      <c r="AF38" s="11">
        <v>45868</v>
      </c>
      <c r="AG38" s="11">
        <v>45869</v>
      </c>
      <c r="AI38" s="13">
        <v>198038</v>
      </c>
    </row>
    <row r="39" spans="1:36" ht="15.75" customHeight="1">
      <c r="A39" s="2" t="s">
        <v>34</v>
      </c>
      <c r="B39" s="1">
        <f>SUM(V39:AG39)</f>
        <v>481705</v>
      </c>
      <c r="C39" s="1">
        <f>SUMIFS('フォームの回答 1'!$E:$E,'フォームの回答 1'!$B:$B,C38,'フォームの回答 1'!$H:$H,$A39)</f>
        <v>0</v>
      </c>
      <c r="D39" s="1">
        <f>SUMIFS('フォームの回答 1'!$E:$E,'フォームの回答 1'!$B:$B,D38,'フォームの回答 1'!$H:$H,$A39)</f>
        <v>6287</v>
      </c>
      <c r="E39" s="1">
        <f>SUMIFS('フォームの回答 1'!$E:$E,'フォームの回答 1'!$B:$B,E38,'フォームの回答 1'!$H:$H,$A39)</f>
        <v>8361</v>
      </c>
      <c r="F39" s="1">
        <f>SUMIFS('フォームの回答 1'!$E:$E,'フォームの回答 1'!$B:$B,F38,'フォームの回答 1'!$H:$H,$A39)</f>
        <v>0</v>
      </c>
      <c r="G39" s="1">
        <f>SUMIFS('フォームの回答 1'!$E:$E,'フォームの回答 1'!$B:$B,G38,'フォームの回答 1'!$H:$H,$A39)</f>
        <v>0</v>
      </c>
      <c r="H39" s="1">
        <f>SUMIFS('フォームの回答 1'!$E:$E,'フォームの回答 1'!$B:$B,H38,'フォームの回答 1'!$H:$H,$A39)</f>
        <v>0</v>
      </c>
      <c r="I39" s="1">
        <f>SUMIFS('フォームの回答 1'!$E:$E,'フォームの回答 1'!$B:$B,I38,'フォームの回答 1'!$H:$H,$A39)</f>
        <v>0</v>
      </c>
      <c r="J39" s="1">
        <f>SUMIFS('フォームの回答 1'!$E:$E,'フォームの回答 1'!$B:$B,J38,'フォームの回答 1'!$H:$H,$A39)</f>
        <v>0</v>
      </c>
      <c r="K39" s="1">
        <f>SUMIFS('フォームの回答 1'!$E:$E,'フォームの回答 1'!$B:$B,K38,'フォームの回答 1'!$H:$H,$A39)</f>
        <v>0</v>
      </c>
      <c r="L39" s="1">
        <f>SUMIFS('フォームの回答 1'!$E:$E,'フォームの回答 1'!$B:$B,L38,'フォームの回答 1'!$H:$H,$A39)</f>
        <v>0</v>
      </c>
      <c r="M39" s="1">
        <f>SUMIFS('フォームの回答 1'!$E:$E,'フォームの回答 1'!$B:$B,M38,'フォームの回答 1'!$H:$H,$A39)</f>
        <v>0</v>
      </c>
      <c r="N39" s="1">
        <f>SUMIFS('フォームの回答 1'!$E:$E,'フォームの回答 1'!$B:$B,N38,'フォームの回答 1'!$H:$H,$A39)</f>
        <v>200</v>
      </c>
      <c r="O39" s="1">
        <f>SUMIFS('フォームの回答 1'!$E:$E,'フォームの回答 1'!$B:$B,O38,'フォームの回答 1'!$H:$H,$A39)</f>
        <v>1600</v>
      </c>
      <c r="P39" s="1">
        <f>SUMIFS('フォームの回答 1'!$E:$E,'フォームの回答 1'!$B:$B,P38,'フォームの回答 1'!$H:$H,$A39)</f>
        <v>27620</v>
      </c>
      <c r="Q39" s="1">
        <f>SUMIFS('フォームの回答 1'!$E:$E,'フォームの回答 1'!$B:$B,Q38,'フォームの回答 1'!$H:$H,$A39)</f>
        <v>0</v>
      </c>
      <c r="R39" s="1">
        <f>SUMIFS('フォームの回答 1'!$E:$E,'フォームの回答 1'!$B:$B,R38,'フォームの回答 1'!$H:$H,$A39)</f>
        <v>0</v>
      </c>
      <c r="S39" s="1">
        <f>SUMIFS('フォームの回答 1'!$E:$E,'フォームの回答 1'!$B:$B,S38,'フォームの回答 1'!$H:$H,$A39)</f>
        <v>0</v>
      </c>
      <c r="T39" s="1">
        <f>SUMIFS('フォームの回答 1'!$E:$E,'フォームの回答 1'!$B:$B,T38,'フォームの回答 1'!$H:$H,$A39)</f>
        <v>0</v>
      </c>
      <c r="U39" s="1">
        <f>SUMIFS('フォームの回答 1'!$E:$E,'フォームの回答 1'!$B:$B,U38,'フォームの回答 1'!$H:$H,$A39)</f>
        <v>0</v>
      </c>
      <c r="V39" s="1">
        <f>SUMIFS('フォームの回答 1'!$E:$E,'フォームの回答 1'!$B:$B,V38,'フォームの回答 1'!$H:$H,$A39)</f>
        <v>1100</v>
      </c>
      <c r="W39" s="1">
        <f>SUMIFS('フォームの回答 1'!$E:$E,'フォームの回答 1'!$B:$B,W38,'フォームの回答 1'!$H:$H,$A39)</f>
        <v>0</v>
      </c>
      <c r="X39" s="1">
        <f>SUMIFS('フォームの回答 1'!$E:$E,'フォームの回答 1'!$B:$B,X38,'フォームの回答 1'!$H:$H,$A39)</f>
        <v>0</v>
      </c>
      <c r="Y39" s="1">
        <f>SUMIFS('フォームの回答 1'!$E:$E,'フォームの回答 1'!$B:$B,Y38,'フォームの回答 1'!$H:$H,$A39)</f>
        <v>0</v>
      </c>
      <c r="Z39" s="1">
        <f>SUMIFS('フォームの回答 1'!$E:$E,'フォームの回答 1'!$B:$B,Z38,'フォームの回答 1'!$H:$H,$A39)</f>
        <v>900</v>
      </c>
      <c r="AA39" s="1">
        <f>SUMIFS('フォームの回答 1'!$E:$E,'フォームの回答 1'!$B:$B,AA38,'フォームの回答 1'!$H:$H,$A39)+AJ30</f>
        <v>379705</v>
      </c>
      <c r="AB39" s="1">
        <f>SUMIFS('フォームの回答 1'!$E:$E,'フォームの回答 1'!$B:$B,AB38,'フォームの回答 1'!$H:$H,$A39)</f>
        <v>0</v>
      </c>
      <c r="AC39" s="1">
        <f>SUMIFS('フォームの回答 1'!$E:$E,'フォームの回答 1'!$B:$B,AC38,'フォームの回答 1'!$H:$H,$A39)</f>
        <v>100000</v>
      </c>
      <c r="AD39" s="1">
        <f>SUMIFS('フォームの回答 1'!$E:$E,'フォームの回答 1'!$B:$B,AD38,'フォームの回答 1'!$H:$H,$A39)</f>
        <v>0</v>
      </c>
      <c r="AE39" s="1">
        <f>SUMIFS('フォームの回答 1'!$E:$E,'フォームの回答 1'!$B:$B,AE38,'フォームの回答 1'!$H:$H,$A39)</f>
        <v>0</v>
      </c>
      <c r="AF39" s="1">
        <f>SUMIFS('フォームの回答 1'!$E:$E,'フォームの回答 1'!$B:$B,AF38,'フォームの回答 1'!$H:$H,$A39)</f>
        <v>0</v>
      </c>
      <c r="AG39" s="1">
        <f>SUMIFS('フォームの回答 1'!$E:$E,'フォームの回答 1'!$B:$B,AG38,'フォームの回答 1'!$H:$H,$A39)</f>
        <v>0</v>
      </c>
      <c r="AI39" s="2">
        <v>100000</v>
      </c>
    </row>
    <row r="40" spans="1:36" ht="15.75" customHeight="1">
      <c r="A40" s="2" t="s">
        <v>35</v>
      </c>
      <c r="B40" s="1">
        <f>SUM(C40:AG40)</f>
        <v>463902</v>
      </c>
      <c r="C40" s="1">
        <f>SUMIFS('フォームの回答 1'!$E:$E,'フォームの回答 1'!$B:$B,C38,'フォームの回答 1'!$H:$H,$A40,'フォームの回答 1'!$F:$F,"Cash")</f>
        <v>1950</v>
      </c>
      <c r="D40" s="1">
        <f>SUMIFS('フォームの回答 1'!$E:$E,'フォームの回答 1'!$B:$B,D38,'フォームの回答 1'!$H:$H,$A40,'フォームの回答 1'!$F:$F,"Cash")</f>
        <v>4481</v>
      </c>
      <c r="E40" s="1">
        <f>SUMIFS('フォームの回答 1'!$E:$E,'フォームの回答 1'!$B:$B,E38,'フォームの回答 1'!$H:$H,$A40,'フォームの回答 1'!$F:$F,"Cash")</f>
        <v>1504</v>
      </c>
      <c r="F40" s="1">
        <f>SUMIFS('フォームの回答 1'!$E:$E,'フォームの回答 1'!$B:$B,F38,'フォームの回答 1'!$H:$H,$A40,'フォームの回答 1'!$F:$F,"Cash")</f>
        <v>3780</v>
      </c>
      <c r="G40" s="1">
        <f>SUMIFS('フォームの回答 1'!$E:$E,'フォームの回答 1'!$B:$B,G38,'フォームの回答 1'!$H:$H,$A40,'フォームの回答 1'!$F:$F,"Cash")</f>
        <v>220</v>
      </c>
      <c r="H40" s="1">
        <f>SUMIFS('フォームの回答 1'!$E:$E,'フォームの回答 1'!$B:$B,H38,'フォームの回答 1'!$H:$H,$A40,'フォームの回答 1'!$F:$F,"Cash")</f>
        <v>6681</v>
      </c>
      <c r="I40" s="1">
        <f>SUMIFS('フォームの回答 1'!$E:$E,'フォームの回答 1'!$B:$B,I38,'フォームの回答 1'!$H:$H,$A40,'フォームの回答 1'!$F:$F,"Cash")</f>
        <v>3080</v>
      </c>
      <c r="J40" s="1">
        <f>SUMIFS('フォームの回答 1'!$E:$E,'フォームの回答 1'!$B:$B,J38,'フォームの回答 1'!$H:$H,$A40,'フォームの回答 1'!$F:$F,"Cash")</f>
        <v>0</v>
      </c>
      <c r="K40" s="1">
        <f>SUMIFS('フォームの回答 1'!$E:$E,'フォームの回答 1'!$B:$B,K38,'フォームの回答 1'!$H:$H,$A40,'フォームの回答 1'!$F:$F,"Cash")</f>
        <v>289</v>
      </c>
      <c r="L40" s="1">
        <f>SUMIFS('フォームの回答 1'!$E:$E,'フォームの回答 1'!$B:$B,L38,'フォームの回答 1'!$H:$H,$A40,'フォームの回答 1'!$F:$F,"Cash")</f>
        <v>120</v>
      </c>
      <c r="M40" s="1">
        <f>SUMIFS('フォームの回答 1'!$E:$E,'フォームの回答 1'!$B:$B,M38,'フォームの回答 1'!$H:$H,$A40,'フォームの回答 1'!$F:$F,"Cash")</f>
        <v>0</v>
      </c>
      <c r="N40" s="1">
        <f>SUMIFS('フォームの回答 1'!$E:$E,'フォームの回答 1'!$B:$B,N38,'フォームの回答 1'!$H:$H,$A40,'フォームの回答 1'!$F:$F,"Cash")</f>
        <v>1298</v>
      </c>
      <c r="O40" s="1">
        <f>SUMIFS('フォームの回答 1'!$E:$E,'フォームの回答 1'!$B:$B,O38,'フォームの回答 1'!$H:$H,$A40,'フォームの回答 1'!$F:$F,"Cash")</f>
        <v>7283</v>
      </c>
      <c r="P40" s="1">
        <f>SUMIFS('フォームの回答 1'!$E:$E,'フォームの回答 1'!$B:$B,P38,'フォームの回答 1'!$H:$H,$A40,'フォームの回答 1'!$F:$F,"Cash")</f>
        <v>6536</v>
      </c>
      <c r="Q40" s="1">
        <f>SUMIFS('フォームの回答 1'!$E:$E,'フォームの回答 1'!$B:$B,Q38,'フォームの回答 1'!$H:$H,$A40,'フォームの回答 1'!$F:$F,"Cash")</f>
        <v>641</v>
      </c>
      <c r="R40" s="1">
        <f>SUMIFS('フォームの回答 1'!$E:$E,'フォームの回答 1'!$B:$B,R38,'フォームの回答 1'!$H:$H,$A40,'フォームの回答 1'!$F:$F,"Cash")</f>
        <v>880</v>
      </c>
      <c r="S40" s="1">
        <f>SUMIFS('フォームの回答 1'!$E:$E,'フォームの回答 1'!$B:$B,S38,'フォームの回答 1'!$H:$H,$A40,'フォームの回答 1'!$F:$F,"Cash")</f>
        <v>0</v>
      </c>
      <c r="T40" s="1">
        <f>SUMIFS('フォームの回答 1'!$E:$E,'フォームの回答 1'!$B:$B,T38,'フォームの回答 1'!$H:$H,$A40,'フォームの回答 1'!$F:$F,"Cash")</f>
        <v>2655</v>
      </c>
      <c r="U40" s="1">
        <f>SUMIFS('フォームの回答 1'!$E:$E,'フォームの回答 1'!$B:$B,U38,'フォームの回答 1'!$H:$H,$A40,'フォームの回答 1'!$F:$F,"Cash")</f>
        <v>1135</v>
      </c>
      <c r="V40" s="1">
        <f>SUMIFS('フォームの回答 1'!$E:$E,'フォームの回答 1'!$B:$B,V38,'フォームの回答 1'!$H:$H,$A40,'フォームの回答 1'!$F:$F,"Cash")</f>
        <v>884</v>
      </c>
      <c r="W40" s="1">
        <f>SUMIFS('フォームの回答 1'!$E:$E,'フォームの回答 1'!$B:$B,W38,'フォームの回答 1'!$H:$H,$A40,'フォームの回答 1'!$F:$F,"Cash")</f>
        <v>1978</v>
      </c>
      <c r="X40" s="1">
        <f>SUMIFS('フォームの回答 1'!$E:$E,'フォームの回答 1'!$B:$B,X38,'フォームの回答 1'!$H:$H,$A40,'フォームの回答 1'!$F:$F,"Cash")</f>
        <v>465</v>
      </c>
      <c r="Y40" s="1">
        <f>SUMIFS('フォームの回答 1'!$E:$E,'フォームの回答 1'!$B:$B,Y38,'フォームの回答 1'!$H:$H,$A40,'フォームの回答 1'!$F:$F,"Cash")</f>
        <v>6147</v>
      </c>
      <c r="Z40" s="1">
        <f>SUMIFS('フォームの回答 1'!$E:$E,'フォームの回答 1'!$B:$B,Z38,'フォームの回答 1'!$H:$H,$A40,'フォームの回答 1'!$F:$F,"Cash")</f>
        <v>1480</v>
      </c>
      <c r="AA40" s="1">
        <f>SUMIFS('フォームの回答 1'!$E:$E,'フォームの回答 1'!$B:$B,AA38,'フォームの回答 1'!$H:$H,$A40,'フォームの回答 1'!$F:$F,"Cash")</f>
        <v>47687</v>
      </c>
      <c r="AB40" s="1">
        <f>SUMIFS('フォームの回答 1'!$E:$E,'フォームの回答 1'!$B:$B,AB38,'フォームの回答 1'!$H:$H,$A40,'フォームの回答 1'!$F:$F,"Cash")</f>
        <v>4203</v>
      </c>
      <c r="AC40" s="1">
        <f>SUMIFS('フォームの回答 1'!$E:$E,'フォームの回答 1'!$B:$B,AC38,'フォームの回答 1'!$H:$H,$A40,'フォームの回答 1'!$F:$F,"Cash")</f>
        <v>1960</v>
      </c>
      <c r="AD40" s="1">
        <f>SUMIFS('フォームの回答 1'!$E:$E,'フォームの回答 1'!$B:$B,AD38,'フォームの回答 1'!$H:$H,$A40,'フォームの回答 1'!$F:$F,"Cash")+AI38</f>
        <v>349116</v>
      </c>
      <c r="AE40" s="1">
        <f>SUMIFS('フォームの回答 1'!$E:$E,'フォームの回答 1'!$B:$B,AE38,'フォームの回答 1'!$H:$H,$A40,'フォームの回答 1'!$F:$F,"Cash")</f>
        <v>5849</v>
      </c>
      <c r="AF40" s="1">
        <f>SUMIFS('フォームの回答 1'!$E:$E,'フォームの回答 1'!$B:$B,AF38,'フォームの回答 1'!$H:$H,$A40,'フォームの回答 1'!$F:$F,"Cash")</f>
        <v>1100</v>
      </c>
      <c r="AG40" s="1">
        <f>SUMIFS('フォームの回答 1'!$E:$E,'フォームの回答 1'!$B:$B,AG38,'フォームの回答 1'!$H:$H,$A40,'フォームの回答 1'!$F:$F,"Cash")</f>
        <v>500</v>
      </c>
    </row>
    <row r="41" spans="1:36" ht="15.75" customHeight="1">
      <c r="A41" s="2" t="s">
        <v>32</v>
      </c>
      <c r="C41" s="1">
        <f>AF35+C39-C40</f>
        <v>18835</v>
      </c>
      <c r="D41" s="1">
        <f t="shared" ref="D41:AG41" si="6">C41+D39-D40</f>
        <v>20641</v>
      </c>
      <c r="E41" s="1">
        <f t="shared" si="6"/>
        <v>27498</v>
      </c>
      <c r="F41" s="1">
        <f t="shared" si="6"/>
        <v>23718</v>
      </c>
      <c r="G41" s="1">
        <f t="shared" si="6"/>
        <v>23498</v>
      </c>
      <c r="H41" s="1">
        <f t="shared" si="6"/>
        <v>16817</v>
      </c>
      <c r="I41" s="1">
        <f t="shared" si="6"/>
        <v>13737</v>
      </c>
      <c r="J41" s="1">
        <f t="shared" si="6"/>
        <v>13737</v>
      </c>
      <c r="K41" s="1">
        <f t="shared" si="6"/>
        <v>13448</v>
      </c>
      <c r="L41" s="1">
        <f t="shared" si="6"/>
        <v>13328</v>
      </c>
      <c r="M41" s="1">
        <f t="shared" si="6"/>
        <v>13328</v>
      </c>
      <c r="N41" s="1">
        <f t="shared" si="6"/>
        <v>12230</v>
      </c>
      <c r="O41" s="1">
        <f t="shared" si="6"/>
        <v>6547</v>
      </c>
      <c r="P41" s="1">
        <f t="shared" si="6"/>
        <v>27631</v>
      </c>
      <c r="Q41" s="1">
        <f t="shared" si="6"/>
        <v>26990</v>
      </c>
      <c r="R41" s="1">
        <f t="shared" si="6"/>
        <v>26110</v>
      </c>
      <c r="S41" s="1">
        <f t="shared" si="6"/>
        <v>26110</v>
      </c>
      <c r="T41" s="1">
        <f t="shared" si="6"/>
        <v>23455</v>
      </c>
      <c r="U41" s="1">
        <f t="shared" si="6"/>
        <v>22320</v>
      </c>
      <c r="V41" s="1">
        <f t="shared" si="6"/>
        <v>22536</v>
      </c>
      <c r="W41" s="1">
        <f t="shared" si="6"/>
        <v>20558</v>
      </c>
      <c r="X41" s="1">
        <f t="shared" si="6"/>
        <v>20093</v>
      </c>
      <c r="Y41" s="1">
        <f t="shared" si="6"/>
        <v>13946</v>
      </c>
      <c r="Z41" s="1">
        <f t="shared" si="6"/>
        <v>13366</v>
      </c>
      <c r="AA41" s="1">
        <f t="shared" si="6"/>
        <v>345384</v>
      </c>
      <c r="AB41" s="1">
        <f t="shared" si="6"/>
        <v>341181</v>
      </c>
      <c r="AC41" s="1">
        <f t="shared" si="6"/>
        <v>439221</v>
      </c>
      <c r="AD41" s="1">
        <f t="shared" si="6"/>
        <v>90105</v>
      </c>
      <c r="AE41" s="1">
        <f t="shared" si="6"/>
        <v>84256</v>
      </c>
      <c r="AF41" s="1">
        <f t="shared" si="6"/>
        <v>83156</v>
      </c>
      <c r="AG41" s="1">
        <f t="shared" si="6"/>
        <v>82656</v>
      </c>
    </row>
    <row r="43" spans="1:36" ht="15.75" customHeight="1">
      <c r="B43" s="20" t="s">
        <v>68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I43" s="2" t="s">
        <v>69</v>
      </c>
      <c r="AJ43" s="1"/>
    </row>
    <row r="44" spans="1:36" ht="15.75" customHeight="1">
      <c r="B44" s="2" t="s">
        <v>29</v>
      </c>
      <c r="C44" s="11">
        <v>45870</v>
      </c>
      <c r="D44" s="11">
        <v>45871</v>
      </c>
      <c r="E44" s="11">
        <v>45872</v>
      </c>
      <c r="F44" s="11">
        <v>45873</v>
      </c>
      <c r="G44" s="11">
        <v>45874</v>
      </c>
      <c r="H44" s="11">
        <v>45875</v>
      </c>
      <c r="I44" s="11">
        <v>45876</v>
      </c>
      <c r="J44" s="11">
        <v>45877</v>
      </c>
      <c r="K44" s="11">
        <v>45878</v>
      </c>
      <c r="L44" s="11">
        <v>45879</v>
      </c>
      <c r="M44" s="11">
        <v>45880</v>
      </c>
      <c r="N44" s="11">
        <v>45881</v>
      </c>
      <c r="O44" s="11">
        <v>45882</v>
      </c>
      <c r="P44" s="11">
        <v>45883</v>
      </c>
      <c r="Q44" s="11">
        <v>45884</v>
      </c>
      <c r="R44" s="11">
        <v>45885</v>
      </c>
      <c r="S44" s="11">
        <v>45886</v>
      </c>
      <c r="T44" s="11">
        <v>45887</v>
      </c>
      <c r="U44" s="11">
        <v>45888</v>
      </c>
      <c r="V44" s="11">
        <v>45889</v>
      </c>
      <c r="W44" s="11">
        <v>45890</v>
      </c>
      <c r="X44" s="11">
        <v>45891</v>
      </c>
      <c r="Y44" s="11">
        <v>45892</v>
      </c>
      <c r="Z44" s="11">
        <v>45893</v>
      </c>
      <c r="AA44" s="11">
        <v>45894</v>
      </c>
      <c r="AB44" s="11">
        <v>45895</v>
      </c>
      <c r="AC44" s="11">
        <v>45896</v>
      </c>
      <c r="AD44" s="11">
        <v>45897</v>
      </c>
      <c r="AE44" s="11">
        <v>45898</v>
      </c>
      <c r="AF44" s="11">
        <v>45899</v>
      </c>
      <c r="AG44" s="11">
        <v>45900</v>
      </c>
      <c r="AI44" s="13">
        <v>167345</v>
      </c>
    </row>
    <row r="45" spans="1:36" ht="15.75" customHeight="1">
      <c r="A45" s="2" t="s">
        <v>34</v>
      </c>
      <c r="B45" s="1">
        <f>SUM(V45:AG45)</f>
        <v>389705</v>
      </c>
      <c r="C45" s="1">
        <f>SUMIFS('フォームの回答 1'!$E:$E,'フォームの回答 1'!$B:$B,C44,'フォームの回答 1'!$H:$H,$A45)</f>
        <v>0</v>
      </c>
      <c r="D45" s="1">
        <f>SUMIFS('フォームの回答 1'!$E:$E,'フォームの回答 1'!$B:$B,D44,'フォームの回答 1'!$H:$H,$A45)</f>
        <v>0</v>
      </c>
      <c r="E45" s="1">
        <f>SUMIFS('フォームの回答 1'!$E:$E,'フォームの回答 1'!$B:$B,E44,'フォームの回答 1'!$H:$H,$A45)</f>
        <v>0</v>
      </c>
      <c r="F45" s="1">
        <f>SUMIFS('フォームの回答 1'!$E:$E,'フォームの回答 1'!$B:$B,F44,'フォームの回答 1'!$H:$H,$A45)</f>
        <v>0</v>
      </c>
      <c r="G45" s="1">
        <f>SUMIFS('フォームの回答 1'!$E:$E,'フォームの回答 1'!$B:$B,G44,'フォームの回答 1'!$H:$H,$A45)</f>
        <v>0</v>
      </c>
      <c r="H45" s="1">
        <f>SUMIFS('フォームの回答 1'!$E:$E,'フォームの回答 1'!$B:$B,H44,'フォームの回答 1'!$H:$H,$A45)</f>
        <v>0</v>
      </c>
      <c r="I45" s="1">
        <f>SUMIFS('フォームの回答 1'!$E:$E,'フォームの回答 1'!$B:$B,I44,'フォームの回答 1'!$H:$H,$A45)</f>
        <v>0</v>
      </c>
      <c r="J45" s="1">
        <f>SUMIFS('フォームの回答 1'!$E:$E,'フォームの回答 1'!$B:$B,J44,'フォームの回答 1'!$H:$H,$A45)</f>
        <v>0</v>
      </c>
      <c r="K45" s="1">
        <f>SUMIFS('フォームの回答 1'!$E:$E,'フォームの回答 1'!$B:$B,K44,'フォームの回答 1'!$H:$H,$A45)</f>
        <v>0</v>
      </c>
      <c r="L45" s="1">
        <f>SUMIFS('フォームの回答 1'!$E:$E,'フォームの回答 1'!$B:$B,L44,'フォームの回答 1'!$H:$H,$A45)</f>
        <v>0</v>
      </c>
      <c r="M45" s="1">
        <f>SUMIFS('フォームの回答 1'!$E:$E,'フォームの回答 1'!$B:$B,M44,'フォームの回答 1'!$H:$H,$A45)</f>
        <v>0</v>
      </c>
      <c r="N45" s="1">
        <f>SUMIFS('フォームの回答 1'!$E:$E,'フォームの回答 1'!$B:$B,N44,'フォームの回答 1'!$H:$H,$A45)</f>
        <v>0</v>
      </c>
      <c r="O45" s="1">
        <f>SUMIFS('フォームの回答 1'!$E:$E,'フォームの回答 1'!$B:$B,O44,'フォームの回答 1'!$H:$H,$A45)</f>
        <v>0</v>
      </c>
      <c r="P45" s="1">
        <f>SUMIFS('フォームの回答 1'!$E:$E,'フォームの回答 1'!$B:$B,P44,'フォームの回答 1'!$H:$H,$A45)</f>
        <v>0</v>
      </c>
      <c r="Q45" s="1">
        <f>SUMIFS('フォームの回答 1'!$E:$E,'フォームの回答 1'!$B:$B,Q44,'フォームの回答 1'!$H:$H,$A45)</f>
        <v>0</v>
      </c>
      <c r="R45" s="1">
        <f>SUMIFS('フォームの回答 1'!$E:$E,'フォームの回答 1'!$B:$B,R44,'フォームの回答 1'!$H:$H,$A45)</f>
        <v>0</v>
      </c>
      <c r="S45" s="1">
        <f>SUMIFS('フォームの回答 1'!$E:$E,'フォームの回答 1'!$B:$B,S44,'フォームの回答 1'!$H:$H,$A45)</f>
        <v>0</v>
      </c>
      <c r="T45" s="1">
        <f>SUMIFS('フォームの回答 1'!$E:$E,'フォームの回答 1'!$B:$B,T44,'フォームの回答 1'!$H:$H,$A45)</f>
        <v>0</v>
      </c>
      <c r="U45" s="1">
        <f>SUMIFS('フォームの回答 1'!$E:$E,'フォームの回答 1'!$B:$B,U44,'フォームの回答 1'!$H:$H,$A45)</f>
        <v>0</v>
      </c>
      <c r="V45" s="1">
        <f>SUMIFS('フォームの回答 1'!$E:$E,'フォームの回答 1'!$B:$B,V44,'フォームの回答 1'!$H:$H,$A45)</f>
        <v>0</v>
      </c>
      <c r="W45" s="1">
        <f>SUMIFS('フォームの回答 1'!$E:$E,'フォームの回答 1'!$B:$B,W44,'フォームの回答 1'!$H:$H,$A45)</f>
        <v>0</v>
      </c>
      <c r="X45" s="1">
        <f>SUMIFS('フォームの回答 1'!$E:$E,'フォームの回答 1'!$B:$B,X44,'フォームの回答 1'!$H:$H,$A45)</f>
        <v>0</v>
      </c>
      <c r="Y45" s="1">
        <f>SUMIFS('フォームの回答 1'!$E:$E,'フォームの回答 1'!$B:$B,Y44,'フォームの回答 1'!$H:$H,$A45)</f>
        <v>0</v>
      </c>
      <c r="Z45" s="1">
        <f>SUMIFS('フォームの回答 1'!$E:$E,'フォームの回答 1'!$B:$B,Z44,'フォームの回答 1'!$H:$H,$A45)</f>
        <v>0</v>
      </c>
      <c r="AA45" s="1">
        <f>SUMIFS('フォームの回答 1'!$E:$E,'フォームの回答 1'!$B:$B,AA44,'フォームの回答 1'!$H:$H,$A45)+AJ36</f>
        <v>379705</v>
      </c>
      <c r="AB45" s="1">
        <f>SUMIFS('フォームの回答 1'!$E:$E,'フォームの回答 1'!$B:$B,AB44,'フォームの回答 1'!$H:$H,$A45)</f>
        <v>0</v>
      </c>
      <c r="AC45" s="1">
        <f>SUMIFS('フォームの回答 1'!$E:$E,'フォームの回答 1'!$B:$B,AC44,'フォームの回答 1'!$H:$H,$A45)</f>
        <v>0</v>
      </c>
      <c r="AD45" s="1">
        <f>SUMIFS('フォームの回答 1'!$E:$E,'フォームの回答 1'!$B:$B,AD44,'フォームの回答 1'!$H:$H,$A45)</f>
        <v>0</v>
      </c>
      <c r="AE45" s="1">
        <f>SUMIFS('フォームの回答 1'!$E:$E,'フォームの回答 1'!$B:$B,AE44,'フォームの回答 1'!$H:$H,$A45)</f>
        <v>0</v>
      </c>
      <c r="AF45" s="1">
        <f>SUMIFS('フォームの回答 1'!$E:$E,'フォームの回答 1'!$B:$B,AF44,'フォームの回答 1'!$H:$H,$A45)</f>
        <v>0</v>
      </c>
      <c r="AG45" s="1">
        <f>SUMIFS('フォームの回答 1'!$E:$E,'フォームの回答 1'!$B:$B,AG44,'フォームの回答 1'!$H:$H,$A45)</f>
        <v>10000</v>
      </c>
    </row>
    <row r="46" spans="1:36" ht="13">
      <c r="A46" s="2" t="s">
        <v>35</v>
      </c>
      <c r="B46" s="1">
        <f>SUM(C46:AG46)</f>
        <v>445157</v>
      </c>
      <c r="C46" s="1">
        <f>SUMIFS('フォームの回答 1'!$E:$E,'フォームの回答 1'!$B:$B,C44,'フォームの回答 1'!$H:$H,$A46,'フォームの回答 1'!$F:$F,"Cash")</f>
        <v>850</v>
      </c>
      <c r="D46" s="1">
        <f>SUMIFS('フォームの回答 1'!$E:$E,'フォームの回答 1'!$B:$B,D44,'フォームの回答 1'!$H:$H,$A46,'フォームの回答 1'!$F:$F,"Cash")</f>
        <v>2044</v>
      </c>
      <c r="E46" s="1">
        <f>SUMIFS('フォームの回答 1'!$E:$E,'フォームの回答 1'!$B:$B,E44,'フォームの回答 1'!$H:$H,$A46,'フォームの回答 1'!$F:$F,"Cash")</f>
        <v>1190</v>
      </c>
      <c r="F46" s="1">
        <f>SUMIFS('フォームの回答 1'!$E:$E,'フォームの回答 1'!$B:$B,F44,'フォームの回答 1'!$H:$H,$A46,'フォームの回答 1'!$F:$F,"Cash")</f>
        <v>2847</v>
      </c>
      <c r="G46" s="1">
        <f>SUMIFS('フォームの回答 1'!$E:$E,'フォームの回答 1'!$B:$B,G44,'フォームの回答 1'!$H:$H,$A46,'フォームの回答 1'!$F:$F,"Cash")</f>
        <v>0</v>
      </c>
      <c r="H46" s="1">
        <f>SUMIFS('フォームの回答 1'!$E:$E,'フォームの回答 1'!$B:$B,H44,'フォームの回答 1'!$H:$H,$A46,'フォームの回答 1'!$F:$F,"Cash")</f>
        <v>4448</v>
      </c>
      <c r="I46" s="1">
        <f>SUMIFS('フォームの回答 1'!$E:$E,'フォームの回答 1'!$B:$B,I44,'フォームの回答 1'!$H:$H,$A46,'フォームの回答 1'!$F:$F,"Cash")</f>
        <v>0</v>
      </c>
      <c r="J46" s="1">
        <f>SUMIFS('フォームの回答 1'!$E:$E,'フォームの回答 1'!$B:$B,J44,'フォームの回答 1'!$H:$H,$A46,'フォームの回答 1'!$F:$F,"Cash")</f>
        <v>1230</v>
      </c>
      <c r="K46" s="1">
        <f>SUMIFS('フォームの回答 1'!$E:$E,'フォームの回答 1'!$B:$B,K44,'フォームの回答 1'!$H:$H,$A46,'フォームの回答 1'!$F:$F,"Cash")</f>
        <v>20431</v>
      </c>
      <c r="L46" s="1">
        <f>SUMIFS('フォームの回答 1'!$E:$E,'フォームの回答 1'!$B:$B,L44,'フォームの回答 1'!$H:$H,$A46,'フォームの回答 1'!$F:$F,"Cash")</f>
        <v>694</v>
      </c>
      <c r="M46" s="1">
        <f>SUMIFS('フォームの回答 1'!$E:$E,'フォームの回答 1'!$B:$B,M44,'フォームの回答 1'!$H:$H,$A46,'フォームの回答 1'!$F:$F,"Cash")</f>
        <v>2014</v>
      </c>
      <c r="N46" s="1">
        <f>SUMIFS('フォームの回答 1'!$E:$E,'フォームの回答 1'!$B:$B,N44,'フォームの回答 1'!$H:$H,$A46,'フォームの回答 1'!$F:$F,"Cash")</f>
        <v>0</v>
      </c>
      <c r="O46" s="1">
        <f>SUMIFS('フォームの回答 1'!$E:$E,'フォームの回答 1'!$B:$B,O44,'フォームの回答 1'!$H:$H,$A46,'フォームの回答 1'!$F:$F,"Cash")</f>
        <v>3525</v>
      </c>
      <c r="P46" s="1">
        <f>SUMIFS('フォームの回答 1'!$E:$E,'フォームの回答 1'!$B:$B,P44,'フォームの回答 1'!$H:$H,$A46,'フォームの回答 1'!$F:$F,"Cash")</f>
        <v>1969</v>
      </c>
      <c r="Q46" s="1">
        <f>SUMIFS('フォームの回答 1'!$E:$E,'フォームの回答 1'!$B:$B,Q44,'フォームの回答 1'!$H:$H,$A46,'フォームの回答 1'!$F:$F,"Cash")</f>
        <v>1500</v>
      </c>
      <c r="R46" s="1">
        <f>SUMIFS('フォームの回答 1'!$E:$E,'フォームの回答 1'!$B:$B,R44,'フォームの回答 1'!$H:$H,$A46,'フォームの回答 1'!$F:$F,"Cash")</f>
        <v>2487</v>
      </c>
      <c r="S46" s="1">
        <f>SUMIFS('フォームの回答 1'!$E:$E,'フォームの回答 1'!$B:$B,S44,'フォームの回答 1'!$H:$H,$A46,'フォームの回答 1'!$F:$F,"Cash")</f>
        <v>8460</v>
      </c>
      <c r="T46" s="1">
        <f>SUMIFS('フォームの回答 1'!$E:$E,'フォームの回答 1'!$B:$B,T44,'フォームの回答 1'!$H:$H,$A46,'フォームの回答 1'!$F:$F,"Cash")</f>
        <v>1100</v>
      </c>
      <c r="U46" s="1">
        <f>SUMIFS('フォームの回答 1'!$E:$E,'フォームの回答 1'!$B:$B,U44,'フォームの回答 1'!$H:$H,$A46,'フォームの回答 1'!$F:$F,"Cash")</f>
        <v>7020</v>
      </c>
      <c r="V46" s="1">
        <f>SUMIFS('フォームの回答 1'!$E:$E,'フォームの回答 1'!$B:$B,V44,'フォームの回答 1'!$H:$H,$A46,'フォームの回答 1'!$F:$F,"Cash")</f>
        <v>1100</v>
      </c>
      <c r="W46" s="1">
        <f>SUMIFS('フォームの回答 1'!$E:$E,'フォームの回答 1'!$B:$B,W44,'フォームの回答 1'!$H:$H,$A46,'フォームの回答 1'!$F:$F,"Cash")</f>
        <v>2332</v>
      </c>
      <c r="X46" s="1">
        <f>SUMIFS('フォームの回答 1'!$E:$E,'フォームの回答 1'!$B:$B,X44,'フォームの回答 1'!$H:$H,$A46,'フォームの回答 1'!$F:$F,"Cash")</f>
        <v>3999</v>
      </c>
      <c r="Y46" s="1">
        <f>SUMIFS('フォームの回答 1'!$E:$E,'フォームの回答 1'!$B:$B,Y44,'フォームの回答 1'!$H:$H,$A46,'フォームの回答 1'!$F:$F,"Cash")</f>
        <v>3122</v>
      </c>
      <c r="Z46" s="1">
        <f>SUMIFS('フォームの回答 1'!$E:$E,'フォームの回答 1'!$B:$B,Z44,'フォームの回答 1'!$H:$H,$A46,'フォームの回答 1'!$F:$F,"Cash")</f>
        <v>3315</v>
      </c>
      <c r="AA46" s="1">
        <f>SUMIFS('フォームの回答 1'!$E:$E,'フォームの回答 1'!$B:$B,AA44,'フォームの回答 1'!$H:$H,$A46,'フォームの回答 1'!$F:$F,"Cash")</f>
        <v>41740</v>
      </c>
      <c r="AB46" s="1">
        <f>SUMIFS('フォームの回答 1'!$E:$E,'フォームの回答 1'!$B:$B,AB44,'フォームの回答 1'!$H:$H,$A46,'フォームの回答 1'!$F:$F,"Cash")</f>
        <v>5251</v>
      </c>
      <c r="AC46" s="1">
        <f>SUMIFS('フォームの回答 1'!$E:$E,'フォームの回答 1'!$B:$B,AC44,'フォームの回答 1'!$H:$H,$A46,'フォームの回答 1'!$F:$F,"Cash")+AI44</f>
        <v>317415</v>
      </c>
      <c r="AD46" s="1">
        <f>SUMIFS('フォームの回答 1'!$E:$E,'フォームの回答 1'!$B:$B,AD44,'フォームの回答 1'!$H:$H,$A46,'フォームの回答 1'!$F:$F,"Cash")</f>
        <v>1300</v>
      </c>
      <c r="AE46" s="1">
        <f>SUMIFS('フォームの回答 1'!$E:$E,'フォームの回答 1'!$B:$B,AE44,'フォームの回答 1'!$H:$H,$A46,'フォームの回答 1'!$F:$F,"Cash")</f>
        <v>1386</v>
      </c>
      <c r="AF46" s="1">
        <f>SUMIFS('フォームの回答 1'!$E:$E,'フォームの回答 1'!$B:$B,AF44,'フォームの回答 1'!$H:$H,$A46,'フォームの回答 1'!$F:$F,"Cash")</f>
        <v>1941</v>
      </c>
      <c r="AG46" s="1">
        <f>SUMIFS('フォームの回答 1'!$E:$E,'フォームの回答 1'!$B:$B,AG44,'フォームの回答 1'!$H:$H,$A46,'フォームの回答 1'!$F:$F,"Cash")</f>
        <v>447</v>
      </c>
    </row>
    <row r="47" spans="1:36" ht="13">
      <c r="A47" s="2" t="s">
        <v>32</v>
      </c>
      <c r="C47" s="1">
        <f>AG41+C45-C46</f>
        <v>81806</v>
      </c>
      <c r="D47" s="1">
        <f t="shared" ref="D47:AG47" si="7">C47+D45-D46</f>
        <v>79762</v>
      </c>
      <c r="E47" s="1">
        <f t="shared" si="7"/>
        <v>78572</v>
      </c>
      <c r="F47" s="1">
        <f t="shared" si="7"/>
        <v>75725</v>
      </c>
      <c r="G47" s="1">
        <f t="shared" si="7"/>
        <v>75725</v>
      </c>
      <c r="H47" s="1">
        <f t="shared" si="7"/>
        <v>71277</v>
      </c>
      <c r="I47" s="1">
        <f t="shared" si="7"/>
        <v>71277</v>
      </c>
      <c r="J47" s="1">
        <f t="shared" si="7"/>
        <v>70047</v>
      </c>
      <c r="K47" s="1">
        <f t="shared" si="7"/>
        <v>49616</v>
      </c>
      <c r="L47" s="1">
        <f t="shared" si="7"/>
        <v>48922</v>
      </c>
      <c r="M47" s="1">
        <f t="shared" si="7"/>
        <v>46908</v>
      </c>
      <c r="N47" s="1">
        <f t="shared" si="7"/>
        <v>46908</v>
      </c>
      <c r="O47" s="1">
        <f t="shared" si="7"/>
        <v>43383</v>
      </c>
      <c r="P47" s="1">
        <f t="shared" si="7"/>
        <v>41414</v>
      </c>
      <c r="Q47" s="1">
        <f t="shared" si="7"/>
        <v>39914</v>
      </c>
      <c r="R47" s="1">
        <f t="shared" si="7"/>
        <v>37427</v>
      </c>
      <c r="S47" s="1">
        <f t="shared" si="7"/>
        <v>28967</v>
      </c>
      <c r="T47" s="1">
        <f t="shared" si="7"/>
        <v>27867</v>
      </c>
      <c r="U47" s="1">
        <f t="shared" si="7"/>
        <v>20847</v>
      </c>
      <c r="V47" s="1">
        <f t="shared" si="7"/>
        <v>19747</v>
      </c>
      <c r="W47" s="1">
        <f t="shared" si="7"/>
        <v>17415</v>
      </c>
      <c r="X47" s="1">
        <f t="shared" si="7"/>
        <v>13416</v>
      </c>
      <c r="Y47" s="1">
        <f t="shared" si="7"/>
        <v>10294</v>
      </c>
      <c r="Z47" s="1">
        <f t="shared" si="7"/>
        <v>6979</v>
      </c>
      <c r="AA47" s="1">
        <f t="shared" si="7"/>
        <v>344944</v>
      </c>
      <c r="AB47" s="1">
        <f t="shared" si="7"/>
        <v>339693</v>
      </c>
      <c r="AC47" s="1">
        <f t="shared" si="7"/>
        <v>22278</v>
      </c>
      <c r="AD47" s="1">
        <f t="shared" si="7"/>
        <v>20978</v>
      </c>
      <c r="AE47" s="1">
        <f t="shared" si="7"/>
        <v>19592</v>
      </c>
      <c r="AF47" s="1">
        <f t="shared" si="7"/>
        <v>17651</v>
      </c>
      <c r="AG47" s="1">
        <f t="shared" si="7"/>
        <v>27204</v>
      </c>
    </row>
    <row r="49" spans="1:36" ht="13">
      <c r="B49" s="20" t="s">
        <v>70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12"/>
      <c r="AI49" s="2" t="s">
        <v>71</v>
      </c>
      <c r="AJ49" s="1"/>
    </row>
    <row r="50" spans="1:36" ht="13">
      <c r="B50" s="2" t="s">
        <v>29</v>
      </c>
      <c r="C50" s="11">
        <v>45901</v>
      </c>
      <c r="D50" s="11">
        <v>45902</v>
      </c>
      <c r="E50" s="11">
        <v>45903</v>
      </c>
      <c r="F50" s="11">
        <v>45904</v>
      </c>
      <c r="G50" s="11">
        <v>45905</v>
      </c>
      <c r="H50" s="11">
        <v>45906</v>
      </c>
      <c r="I50" s="11">
        <v>45907</v>
      </c>
      <c r="J50" s="11">
        <v>45908</v>
      </c>
      <c r="K50" s="11">
        <v>45909</v>
      </c>
      <c r="L50" s="11">
        <v>45910</v>
      </c>
      <c r="M50" s="11">
        <v>45911</v>
      </c>
      <c r="N50" s="11">
        <v>45912</v>
      </c>
      <c r="O50" s="11">
        <v>45913</v>
      </c>
      <c r="P50" s="11">
        <v>45914</v>
      </c>
      <c r="Q50" s="11">
        <v>45915</v>
      </c>
      <c r="R50" s="11">
        <v>45916</v>
      </c>
      <c r="S50" s="11">
        <v>45917</v>
      </c>
      <c r="T50" s="11">
        <v>45918</v>
      </c>
      <c r="U50" s="11">
        <v>45919</v>
      </c>
      <c r="V50" s="11">
        <v>45920</v>
      </c>
      <c r="W50" s="11">
        <v>45921</v>
      </c>
      <c r="X50" s="11">
        <v>45922</v>
      </c>
      <c r="Y50" s="11">
        <v>45923</v>
      </c>
      <c r="Z50" s="11">
        <v>45924</v>
      </c>
      <c r="AA50" s="11">
        <v>45925</v>
      </c>
      <c r="AB50" s="11">
        <v>45926</v>
      </c>
      <c r="AC50" s="11">
        <v>45927</v>
      </c>
      <c r="AD50" s="11">
        <v>45928</v>
      </c>
      <c r="AE50" s="11">
        <v>45929</v>
      </c>
      <c r="AF50" s="11">
        <v>45930</v>
      </c>
      <c r="AG50" s="11"/>
      <c r="AI50" s="13">
        <v>166252</v>
      </c>
    </row>
    <row r="51" spans="1:36" ht="13">
      <c r="A51" s="2" t="s">
        <v>34</v>
      </c>
      <c r="B51" s="1">
        <f>SUM(V51:AG51)</f>
        <v>379705</v>
      </c>
      <c r="C51" s="1">
        <f>SUMIFS('フォームの回答 1'!$E:$E,'フォームの回答 1'!$B:$B,C50,'フォームの回答 1'!$H:$H,$A51)</f>
        <v>13911</v>
      </c>
      <c r="D51" s="1">
        <f>SUMIFS('フォームの回答 1'!$E:$E,'フォームの回答 1'!$B:$B,D50,'フォームの回答 1'!$H:$H,$A51)</f>
        <v>0</v>
      </c>
      <c r="E51" s="1">
        <f>SUMIFS('フォームの回答 1'!$E:$E,'フォームの回答 1'!$B:$B,E50,'フォームの回答 1'!$H:$H,$A51)</f>
        <v>0</v>
      </c>
      <c r="F51" s="1">
        <f>SUMIFS('フォームの回答 1'!$E:$E,'フォームの回答 1'!$B:$B,F50,'フォームの回答 1'!$H:$H,$A51)</f>
        <v>8672</v>
      </c>
      <c r="G51" s="1">
        <f>SUMIFS('フォームの回答 1'!$E:$E,'フォームの回答 1'!$B:$B,G50,'フォームの回答 1'!$H:$H,$A51)</f>
        <v>3500</v>
      </c>
      <c r="H51" s="1">
        <f>SUMIFS('フォームの回答 1'!$E:$E,'フォームの回答 1'!$B:$B,H50,'フォームの回答 1'!$H:$H,$A51)</f>
        <v>0</v>
      </c>
      <c r="I51" s="1">
        <f>SUMIFS('フォームの回答 1'!$E:$E,'フォームの回答 1'!$B:$B,I50,'フォームの回答 1'!$H:$H,$A51)</f>
        <v>0</v>
      </c>
      <c r="J51" s="1">
        <f>SUMIFS('フォームの回答 1'!$E:$E,'フォームの回答 1'!$B:$B,J50,'フォームの回答 1'!$H:$H,$A51)</f>
        <v>0</v>
      </c>
      <c r="K51" s="1">
        <f>SUMIFS('フォームの回答 1'!$E:$E,'フォームの回答 1'!$B:$B,K50,'フォームの回答 1'!$H:$H,$A51)</f>
        <v>0</v>
      </c>
      <c r="L51" s="1">
        <f>SUMIFS('フォームの回答 1'!$E:$E,'フォームの回答 1'!$B:$B,L50,'フォームの回答 1'!$H:$H,$A51)</f>
        <v>1500</v>
      </c>
      <c r="M51" s="1">
        <f>SUMIFS('フォームの回答 1'!$E:$E,'フォームの回答 1'!$B:$B,M50,'フォームの回答 1'!$H:$H,$A51)</f>
        <v>0</v>
      </c>
      <c r="N51" s="1">
        <f>SUMIFS('フォームの回答 1'!$E:$E,'フォームの回答 1'!$B:$B,N50,'フォームの回答 1'!$H:$H,$A51)</f>
        <v>0</v>
      </c>
      <c r="O51" s="1">
        <f>SUMIFS('フォームの回答 1'!$E:$E,'フォームの回答 1'!$B:$B,O50,'フォームの回答 1'!$H:$H,$A51)</f>
        <v>0</v>
      </c>
      <c r="P51" s="1">
        <f>SUMIFS('フォームの回答 1'!$E:$E,'フォームの回答 1'!$B:$B,P50,'フォームの回答 1'!$H:$H,$A51)</f>
        <v>0</v>
      </c>
      <c r="Q51" s="1">
        <f>SUMIFS('フォームの回答 1'!$E:$E,'フォームの回答 1'!$B:$B,Q50,'フォームの回答 1'!$H:$H,$A51)</f>
        <v>0</v>
      </c>
      <c r="R51" s="1">
        <f>SUMIFS('フォームの回答 1'!$E:$E,'フォームの回答 1'!$B:$B,R50,'フォームの回答 1'!$H:$H,$A51)</f>
        <v>0</v>
      </c>
      <c r="S51" s="1">
        <f>SUMIFS('フォームの回答 1'!$E:$E,'フォームの回答 1'!$B:$B,S50,'フォームの回答 1'!$H:$H,$A51)</f>
        <v>3000</v>
      </c>
      <c r="T51" s="1">
        <f>SUMIFS('フォームの回答 1'!$E:$E,'フォームの回答 1'!$B:$B,T50,'フォームの回答 1'!$H:$H,$A51)</f>
        <v>0</v>
      </c>
      <c r="U51" s="1">
        <f>SUMIFS('フォームの回答 1'!$E:$E,'フォームの回答 1'!$B:$B,U50,'フォームの回答 1'!$H:$H,$A51)</f>
        <v>0</v>
      </c>
      <c r="V51" s="1">
        <f>SUMIFS('フォームの回答 1'!$E:$E,'フォームの回答 1'!$B:$B,V50,'フォームの回答 1'!$H:$H,$A51)</f>
        <v>0</v>
      </c>
      <c r="W51" s="1">
        <f>SUMIFS('フォームの回答 1'!$E:$E,'フォームの回答 1'!$B:$B,W50,'フォームの回答 1'!$H:$H,$A51)</f>
        <v>0</v>
      </c>
      <c r="X51" s="1">
        <f>SUMIFS('フォームの回答 1'!$E:$E,'フォームの回答 1'!$B:$B,X50,'フォームの回答 1'!$H:$H,$A51)</f>
        <v>0</v>
      </c>
      <c r="Y51" s="1">
        <f>SUMIFS('フォームの回答 1'!$E:$E,'フォームの回答 1'!$B:$B,Y50,'フォームの回答 1'!$H:$H,$A51)</f>
        <v>0</v>
      </c>
      <c r="Z51" s="1">
        <f>SUMIFS('フォームの回答 1'!$E:$E,'フォームの回答 1'!$B:$B,Z50,'フォームの回答 1'!$H:$H,$A51)</f>
        <v>0</v>
      </c>
      <c r="AA51" s="1">
        <f>SUMIFS('フォームの回答 1'!$E:$E,'フォームの回答 1'!$B:$B,AA50,'フォームの回答 1'!$H:$H,$A51)+AJ42</f>
        <v>379705</v>
      </c>
      <c r="AB51" s="1">
        <f>SUMIFS('フォームの回答 1'!$E:$E,'フォームの回答 1'!$B:$B,AB50,'フォームの回答 1'!$H:$H,$A51)</f>
        <v>0</v>
      </c>
      <c r="AC51" s="1">
        <f>SUMIFS('フォームの回答 1'!$E:$E,'フォームの回答 1'!$B:$B,AC50,'フォームの回答 1'!$H:$H,$A51)</f>
        <v>0</v>
      </c>
      <c r="AD51" s="1">
        <f>SUMIFS('フォームの回答 1'!$E:$E,'フォームの回答 1'!$B:$B,AD50,'フォームの回答 1'!$H:$H,$A51)</f>
        <v>0</v>
      </c>
      <c r="AE51" s="1">
        <f>SUMIFS('フォームの回答 1'!$E:$E,'フォームの回答 1'!$B:$B,AE50,'フォームの回答 1'!$H:$H,$A51)</f>
        <v>0</v>
      </c>
      <c r="AF51" s="1">
        <f>SUMIFS('フォームの回答 1'!$E:$E,'フォームの回答 1'!$B:$B,AF50,'フォームの回答 1'!$H:$H,$A51)</f>
        <v>0</v>
      </c>
      <c r="AG51" s="1"/>
    </row>
    <row r="52" spans="1:36" ht="13">
      <c r="A52" s="2" t="s">
        <v>35</v>
      </c>
      <c r="B52" s="1">
        <f>SUM(C52:AG52)</f>
        <v>416812</v>
      </c>
      <c r="C52" s="1">
        <f>SUMIFS('フォームの回答 1'!$E:$E,'フォームの回答 1'!$B:$B,C50,'フォームの回答 1'!$H:$H,$A52,'フォームの回答 1'!$F:$F,"Cash")</f>
        <v>852</v>
      </c>
      <c r="D52" s="1">
        <f>SUMIFS('フォームの回答 1'!$E:$E,'フォームの回答 1'!$B:$B,D50,'フォームの回答 1'!$H:$H,$A52,'フォームの回答 1'!$F:$F,"Cash")</f>
        <v>472</v>
      </c>
      <c r="E52" s="1">
        <f>SUMIFS('フォームの回答 1'!$E:$E,'フォームの回答 1'!$B:$B,E50,'フォームの回答 1'!$H:$H,$A52,'フォームの回答 1'!$F:$F,"Cash")</f>
        <v>4532</v>
      </c>
      <c r="F52" s="1">
        <f>SUMIFS('フォームの回答 1'!$E:$E,'フォームの回答 1'!$B:$B,F50,'フォームの回答 1'!$H:$H,$A52,'フォームの回答 1'!$F:$F,"Cash")</f>
        <v>1065</v>
      </c>
      <c r="G52" s="1">
        <f>SUMIFS('フォームの回答 1'!$E:$E,'フォームの回答 1'!$B:$B,G50,'フォームの回答 1'!$H:$H,$A52,'フォームの回答 1'!$F:$F,"Cash")</f>
        <v>2193</v>
      </c>
      <c r="H52" s="1">
        <f>SUMIFS('フォームの回答 1'!$E:$E,'フォームの回答 1'!$B:$B,H50,'フォームの回答 1'!$H:$H,$A52,'フォームの回答 1'!$F:$F,"Cash")</f>
        <v>4084</v>
      </c>
      <c r="I52" s="1">
        <f>SUMIFS('フォームの回答 1'!$E:$E,'フォームの回答 1'!$B:$B,I50,'フォームの回答 1'!$H:$H,$A52,'フォームの回答 1'!$F:$F,"Cash")</f>
        <v>130</v>
      </c>
      <c r="J52" s="1">
        <f>SUMIFS('フォームの回答 1'!$E:$E,'フォームの回答 1'!$B:$B,J50,'フォームの回答 1'!$H:$H,$A52,'フォームの回答 1'!$F:$F,"Cash")</f>
        <v>1100</v>
      </c>
      <c r="K52" s="1">
        <f>SUMIFS('フォームの回答 1'!$E:$E,'フォームの回答 1'!$B:$B,K50,'フォームの回答 1'!$H:$H,$A52,'フォームの回答 1'!$F:$F,"Cash")</f>
        <v>0</v>
      </c>
      <c r="L52" s="1">
        <f>SUMIFS('フォームの回答 1'!$E:$E,'フォームの回答 1'!$B:$B,L50,'フォームの回答 1'!$H:$H,$A52,'フォームの回答 1'!$F:$F,"Cash")</f>
        <v>2200</v>
      </c>
      <c r="M52" s="1">
        <f>SUMIFS('フォームの回答 1'!$E:$E,'フォームの回答 1'!$B:$B,M50,'フォームの回答 1'!$H:$H,$A52,'フォームの回答 1'!$F:$F,"Cash")</f>
        <v>0</v>
      </c>
      <c r="N52" s="1">
        <f>SUMIFS('フォームの回答 1'!$E:$E,'フォームの回答 1'!$B:$B,N50,'フォームの回答 1'!$H:$H,$A52,'フォームの回答 1'!$F:$F,"Cash")</f>
        <v>3848</v>
      </c>
      <c r="O52" s="1">
        <f>SUMIFS('フォームの回答 1'!$E:$E,'フォームの回答 1'!$B:$B,O50,'フォームの回答 1'!$H:$H,$A52,'フォームの回答 1'!$F:$F,"Cash")</f>
        <v>7480</v>
      </c>
      <c r="P52" s="1">
        <f>SUMIFS('フォームの回答 1'!$E:$E,'フォームの回答 1'!$B:$B,P50,'フォームの回答 1'!$H:$H,$A52,'フォームの回答 1'!$F:$F,"Cash")</f>
        <v>1057</v>
      </c>
      <c r="Q52" s="1">
        <f>SUMIFS('フォームの回答 1'!$E:$E,'フォームの回答 1'!$B:$B,Q50,'フォームの回答 1'!$H:$H,$A52,'フォームの回答 1'!$F:$F,"Cash")</f>
        <v>785</v>
      </c>
      <c r="R52" s="1">
        <f>SUMIFS('フォームの回答 1'!$E:$E,'フォームの回答 1'!$B:$B,R50,'フォームの回答 1'!$H:$H,$A52,'フォームの回答 1'!$F:$F,"Cash")</f>
        <v>1342</v>
      </c>
      <c r="S52" s="1">
        <f>SUMIFS('フォームの回答 1'!$E:$E,'フォームの回答 1'!$B:$B,S50,'フォームの回答 1'!$H:$H,$A52,'フォームの回答 1'!$F:$F,"Cash")</f>
        <v>1490</v>
      </c>
      <c r="T52" s="1">
        <f>SUMIFS('フォームの回答 1'!$E:$E,'フォームの回答 1'!$B:$B,T50,'フォームの回答 1'!$H:$H,$A52,'フォームの回答 1'!$F:$F,"Cash")</f>
        <v>9334</v>
      </c>
      <c r="U52" s="1">
        <f>SUMIFS('フォームの回答 1'!$E:$E,'フォームの回答 1'!$B:$B,U50,'フォームの回答 1'!$H:$H,$A52,'フォームの回答 1'!$F:$F,"Cash")</f>
        <v>899</v>
      </c>
      <c r="V52" s="1">
        <f>SUMIFS('フォームの回答 1'!$E:$E,'フォームの回答 1'!$B:$B,V50,'フォームの回答 1'!$H:$H,$A52,'フォームの回答 1'!$F:$F,"Cash")</f>
        <v>500</v>
      </c>
      <c r="W52" s="1">
        <f>SUMIFS('フォームの回答 1'!$E:$E,'フォームの回答 1'!$B:$B,W50,'フォームの回答 1'!$H:$H,$A52,'フォームの回答 1'!$F:$F,"Cash")</f>
        <v>0</v>
      </c>
      <c r="X52" s="1">
        <f>SUMIFS('フォームの回答 1'!$E:$E,'フォームの回答 1'!$B:$B,X50,'フォームの回答 1'!$H:$H,$A52,'フォームの回答 1'!$F:$F,"Cash")</f>
        <v>4976</v>
      </c>
      <c r="Y52" s="1">
        <f>SUMIFS('フォームの回答 1'!$E:$E,'フォームの回答 1'!$B:$B,Y50,'フォームの回答 1'!$H:$H,$A52,'フォームの回答 1'!$F:$F,"Cash")</f>
        <v>0</v>
      </c>
      <c r="Z52" s="1">
        <f>SUMIFS('フォームの回答 1'!$E:$E,'フォームの回答 1'!$B:$B,Z50,'フォームの回答 1'!$H:$H,$A52,'フォームの回答 1'!$F:$F,"Cash")</f>
        <v>0</v>
      </c>
      <c r="AA52" s="1">
        <f>SUMIFS('フォームの回答 1'!$E:$E,'フォームの回答 1'!$B:$B,AA50,'フォームの回答 1'!$H:$H,$A52,'フォームの回答 1'!$F:$F,"Cash")</f>
        <v>7296</v>
      </c>
      <c r="AB52" s="1">
        <f>SUMIFS('フォームの回答 1'!$E:$E,'フォームの回答 1'!$B:$B,AB50,'フォームの回答 1'!$H:$H,$A52,'フォームの回答 1'!$F:$F,"Cash")</f>
        <v>999</v>
      </c>
      <c r="AC52" s="1">
        <f>SUMIFS('フォームの回答 1'!$E:$E,'フォームの回答 1'!$B:$B,AC50,'フォームの回答 1'!$H:$H,$A52,'フォームの回答 1'!$F:$F,"Cash")+AI50</f>
        <v>206252</v>
      </c>
      <c r="AD52" s="1">
        <f>SUMIFS('フォームの回答 1'!$E:$E,'フォームの回答 1'!$B:$B,AD50,'フォームの回答 1'!$H:$H,$A52,'フォームの回答 1'!$F:$F,"Cash")</f>
        <v>5477</v>
      </c>
      <c r="AE52" s="1">
        <f>SUMIFS('フォームの回答 1'!$E:$E,'フォームの回答 1'!$B:$B,AE50,'フォームの回答 1'!$H:$H,$A52,'フォームの回答 1'!$F:$F,"Cash")</f>
        <v>146687</v>
      </c>
      <c r="AF52" s="1">
        <f>SUMIFS('フォームの回答 1'!$E:$E,'フォームの回答 1'!$B:$B,AF50,'フォームの回答 1'!$H:$H,$A52,'フォームの回答 1'!$F:$F,"Cash")</f>
        <v>1762</v>
      </c>
      <c r="AG52" s="1"/>
    </row>
    <row r="53" spans="1:36" ht="13">
      <c r="A53" s="2" t="s">
        <v>32</v>
      </c>
      <c r="C53" s="1">
        <f>AG47+C51-C52</f>
        <v>40263</v>
      </c>
      <c r="D53" s="1">
        <f t="shared" ref="D53:AF53" si="8">C53+D51-D52</f>
        <v>39791</v>
      </c>
      <c r="E53" s="1">
        <f t="shared" si="8"/>
        <v>35259</v>
      </c>
      <c r="F53" s="1">
        <f t="shared" si="8"/>
        <v>42866</v>
      </c>
      <c r="G53" s="1">
        <f t="shared" si="8"/>
        <v>44173</v>
      </c>
      <c r="H53" s="1">
        <f t="shared" si="8"/>
        <v>40089</v>
      </c>
      <c r="I53" s="1">
        <f t="shared" si="8"/>
        <v>39959</v>
      </c>
      <c r="J53" s="1">
        <f t="shared" si="8"/>
        <v>38859</v>
      </c>
      <c r="K53" s="1">
        <f t="shared" si="8"/>
        <v>38859</v>
      </c>
      <c r="L53" s="1">
        <f t="shared" si="8"/>
        <v>38159</v>
      </c>
      <c r="M53" s="1">
        <f t="shared" si="8"/>
        <v>38159</v>
      </c>
      <c r="N53" s="1">
        <f t="shared" si="8"/>
        <v>34311</v>
      </c>
      <c r="O53" s="1">
        <f t="shared" si="8"/>
        <v>26831</v>
      </c>
      <c r="P53" s="1">
        <f t="shared" si="8"/>
        <v>25774</v>
      </c>
      <c r="Q53" s="1">
        <f t="shared" si="8"/>
        <v>24989</v>
      </c>
      <c r="R53" s="1">
        <f t="shared" si="8"/>
        <v>23647</v>
      </c>
      <c r="S53" s="1">
        <f t="shared" si="8"/>
        <v>25157</v>
      </c>
      <c r="T53" s="1">
        <f t="shared" si="8"/>
        <v>15823</v>
      </c>
      <c r="U53" s="1">
        <f t="shared" si="8"/>
        <v>14924</v>
      </c>
      <c r="V53" s="1">
        <f t="shared" si="8"/>
        <v>14424</v>
      </c>
      <c r="W53" s="1">
        <f t="shared" si="8"/>
        <v>14424</v>
      </c>
      <c r="X53" s="1">
        <f t="shared" si="8"/>
        <v>9448</v>
      </c>
      <c r="Y53" s="1">
        <f t="shared" si="8"/>
        <v>9448</v>
      </c>
      <c r="Z53" s="1">
        <f t="shared" si="8"/>
        <v>9448</v>
      </c>
      <c r="AA53" s="1">
        <f t="shared" si="8"/>
        <v>381857</v>
      </c>
      <c r="AB53" s="1">
        <f t="shared" si="8"/>
        <v>380858</v>
      </c>
      <c r="AC53" s="1">
        <f t="shared" si="8"/>
        <v>174606</v>
      </c>
      <c r="AD53" s="1">
        <f t="shared" si="8"/>
        <v>169129</v>
      </c>
      <c r="AE53" s="1">
        <f t="shared" si="8"/>
        <v>22442</v>
      </c>
      <c r="AF53" s="1">
        <f t="shared" si="8"/>
        <v>20680</v>
      </c>
    </row>
    <row r="55" spans="1:36" ht="13">
      <c r="B55" s="20" t="s">
        <v>72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I55" s="2" t="s">
        <v>73</v>
      </c>
      <c r="AJ55" s="1"/>
    </row>
    <row r="56" spans="1:36" ht="13">
      <c r="B56" s="2" t="s">
        <v>29</v>
      </c>
      <c r="C56" s="11">
        <v>45931</v>
      </c>
      <c r="D56" s="11">
        <v>45932</v>
      </c>
      <c r="E56" s="11">
        <v>45933</v>
      </c>
      <c r="F56" s="11">
        <v>45934</v>
      </c>
      <c r="G56" s="11">
        <v>45935</v>
      </c>
      <c r="H56" s="11">
        <v>45936</v>
      </c>
      <c r="I56" s="11">
        <v>45937</v>
      </c>
      <c r="J56" s="11">
        <v>45938</v>
      </c>
      <c r="K56" s="11">
        <v>45939</v>
      </c>
      <c r="L56" s="11">
        <v>45940</v>
      </c>
      <c r="M56" s="11">
        <v>45941</v>
      </c>
      <c r="N56" s="11">
        <v>45942</v>
      </c>
      <c r="O56" s="11">
        <v>45943</v>
      </c>
      <c r="P56" s="11">
        <v>45944</v>
      </c>
      <c r="Q56" s="11">
        <v>45945</v>
      </c>
      <c r="R56" s="11">
        <v>45946</v>
      </c>
      <c r="S56" s="11">
        <v>45947</v>
      </c>
      <c r="T56" s="11">
        <v>45948</v>
      </c>
      <c r="U56" s="11">
        <v>45949</v>
      </c>
      <c r="V56" s="11">
        <v>45950</v>
      </c>
      <c r="W56" s="11">
        <v>45951</v>
      </c>
      <c r="X56" s="11">
        <v>45952</v>
      </c>
      <c r="Y56" s="11">
        <v>45953</v>
      </c>
      <c r="Z56" s="11">
        <v>45954</v>
      </c>
      <c r="AA56" s="11">
        <v>45955</v>
      </c>
      <c r="AB56" s="11">
        <v>45956</v>
      </c>
      <c r="AC56" s="11">
        <v>45957</v>
      </c>
      <c r="AD56" s="11">
        <v>45958</v>
      </c>
      <c r="AE56" s="11">
        <v>45959</v>
      </c>
      <c r="AF56" s="11">
        <v>45960</v>
      </c>
      <c r="AG56" s="11">
        <v>45961</v>
      </c>
      <c r="AI56" s="13">
        <v>231826</v>
      </c>
    </row>
    <row r="57" spans="1:36" ht="13">
      <c r="A57" s="2" t="s">
        <v>34</v>
      </c>
      <c r="B57" s="1">
        <f>SUM(V57:AG57)</f>
        <v>375775</v>
      </c>
      <c r="C57" s="1">
        <f>SUMIFS('フォームの回答 1'!$E:$E,'フォームの回答 1'!$B:$B,C56,'フォームの回答 1'!$H:$H,$A57)</f>
        <v>3523</v>
      </c>
      <c r="D57" s="1">
        <f>SUMIFS('フォームの回答 1'!$E:$E,'フォームの回答 1'!$B:$B,D56,'フォームの回答 1'!$H:$H,$A57)</f>
        <v>0</v>
      </c>
      <c r="E57" s="1">
        <f>SUMIFS('フォームの回答 1'!$E:$E,'フォームの回答 1'!$B:$B,E56,'フォームの回答 1'!$H:$H,$A57)</f>
        <v>0</v>
      </c>
      <c r="F57" s="1">
        <f>SUMIFS('フォームの回答 1'!$E:$E,'フォームの回答 1'!$B:$B,F56,'フォームの回答 1'!$H:$H,$A57)</f>
        <v>0</v>
      </c>
      <c r="G57" s="1">
        <f>SUMIFS('フォームの回答 1'!$E:$E,'フォームの回答 1'!$B:$B,G56,'フォームの回答 1'!$H:$H,$A57)</f>
        <v>0</v>
      </c>
      <c r="H57" s="1">
        <f>SUMIFS('フォームの回答 1'!$E:$E,'フォームの回答 1'!$B:$B,H56,'フォームの回答 1'!$H:$H,$A57)</f>
        <v>0</v>
      </c>
      <c r="I57" s="1">
        <f>SUMIFS('フォームの回答 1'!$E:$E,'フォームの回答 1'!$B:$B,I56,'フォームの回答 1'!$H:$H,$A57)</f>
        <v>0</v>
      </c>
      <c r="J57" s="1">
        <f>SUMIFS('フォームの回答 1'!$E:$E,'フォームの回答 1'!$B:$B,J56,'フォームの回答 1'!$H:$H,$A57)</f>
        <v>0</v>
      </c>
      <c r="K57" s="1">
        <f>SUMIFS('フォームの回答 1'!$E:$E,'フォームの回答 1'!$B:$B,K56,'フォームの回答 1'!$H:$H,$A57)</f>
        <v>0</v>
      </c>
      <c r="L57" s="1">
        <f>SUMIFS('フォームの回答 1'!$E:$E,'フォームの回答 1'!$B:$B,L56,'フォームの回答 1'!$H:$H,$A57)</f>
        <v>0</v>
      </c>
      <c r="M57" s="1">
        <f>SUMIFS('フォームの回答 1'!$E:$E,'フォームの回答 1'!$B:$B,M56,'フォームの回答 1'!$H:$H,$A57)</f>
        <v>0</v>
      </c>
      <c r="N57" s="1">
        <f>SUMIFS('フォームの回答 1'!$E:$E,'フォームの回答 1'!$B:$B,N56,'フォームの回答 1'!$H:$H,$A57)</f>
        <v>0</v>
      </c>
      <c r="O57" s="1">
        <f>SUMIFS('フォームの回答 1'!$E:$E,'フォームの回答 1'!$B:$B,O56,'フォームの回答 1'!$H:$H,$A57)</f>
        <v>0</v>
      </c>
      <c r="P57" s="1">
        <f>SUMIFS('フォームの回答 1'!$E:$E,'フォームの回答 1'!$B:$B,P56,'フォームの回答 1'!$H:$H,$A57)</f>
        <v>0</v>
      </c>
      <c r="Q57" s="1">
        <f>SUMIFS('フォームの回答 1'!$E:$E,'フォームの回答 1'!$B:$B,Q56,'フォームの回答 1'!$H:$H,$A57)</f>
        <v>0</v>
      </c>
      <c r="R57" s="1">
        <f>SUMIFS('フォームの回答 1'!$E:$E,'フォームの回答 1'!$B:$B,R56,'フォームの回答 1'!$H:$H,$A57)</f>
        <v>100000</v>
      </c>
      <c r="S57" s="1">
        <f>SUMIFS('フォームの回答 1'!$E:$E,'フォームの回答 1'!$B:$B,S56,'フォームの回答 1'!$H:$H,$A57)</f>
        <v>0</v>
      </c>
      <c r="T57" s="1">
        <f>SUMIFS('フォームの回答 1'!$E:$E,'フォームの回答 1'!$B:$B,T56,'フォームの回答 1'!$H:$H,$A57)</f>
        <v>0</v>
      </c>
      <c r="U57" s="1">
        <f>SUMIFS('フォームの回答 1'!$E:$E,'フォームの回答 1'!$B:$B,U56,'フォームの回答 1'!$H:$H,$A57)</f>
        <v>3975</v>
      </c>
      <c r="V57" s="1">
        <f>SUMIFS('フォームの回答 1'!$E:$E,'フォームの回答 1'!$B:$B,V56,'フォームの回答 1'!$H:$H,$A57)</f>
        <v>0</v>
      </c>
      <c r="W57" s="1">
        <f>SUMIFS('フォームの回答 1'!$E:$E,'フォームの回答 1'!$B:$B,W56,'フォームの回答 1'!$H:$H,$A57)</f>
        <v>0</v>
      </c>
      <c r="X57" s="1">
        <f>SUMIFS('フォームの回答 1'!$E:$E,'フォームの回答 1'!$B:$B,X56,'フォームの回答 1'!$H:$H,$A57)</f>
        <v>0</v>
      </c>
      <c r="Y57" s="1">
        <f>SUMIFS('フォームの回答 1'!$E:$E,'フォームの回答 1'!$B:$B,Y56,'フォームの回答 1'!$H:$H,$A57)</f>
        <v>0</v>
      </c>
      <c r="Z57" s="1">
        <f>SUMIFS('フォームの回答 1'!$E:$E,'フォームの回答 1'!$B:$B,Z56,'フォームの回答 1'!$H:$H,$A57)</f>
        <v>375775</v>
      </c>
      <c r="AA57" s="1">
        <f>SUMIFS('フォームの回答 1'!$E:$E,'フォームの回答 1'!$B:$B,AA56,'フォームの回答 1'!$H:$H,$A57)+AJ48</f>
        <v>0</v>
      </c>
      <c r="AB57" s="1">
        <f>SUMIFS('フォームの回答 1'!$E:$E,'フォームの回答 1'!$B:$B,AB56,'フォームの回答 1'!$H:$H,$A57)</f>
        <v>0</v>
      </c>
      <c r="AC57" s="1">
        <f>SUMIFS('フォームの回答 1'!$E:$E,'フォームの回答 1'!$B:$B,AC56,'フォームの回答 1'!$H:$H,$A57)</f>
        <v>0</v>
      </c>
      <c r="AD57" s="1">
        <f>SUMIFS('フォームの回答 1'!$E:$E,'フォームの回答 1'!$B:$B,AD56,'フォームの回答 1'!$H:$H,$A57)</f>
        <v>0</v>
      </c>
      <c r="AE57" s="1">
        <f>SUMIFS('フォームの回答 1'!$E:$E,'フォームの回答 1'!$B:$B,AE56,'フォームの回答 1'!$H:$H,$A57)</f>
        <v>0</v>
      </c>
      <c r="AF57" s="1">
        <f>SUMIFS('フォームの回答 1'!$E:$E,'フォームの回答 1'!$B:$B,AF56,'フォームの回答 1'!$H:$H,$A57)</f>
        <v>0</v>
      </c>
      <c r="AG57" s="1">
        <f>SUMIFS('フォームの回答 1'!$E:$E,'フォームの回答 1'!$B:$B,AG56,'フォームの回答 1'!$H:$H,$A57)</f>
        <v>0</v>
      </c>
    </row>
    <row r="58" spans="1:36" ht="13">
      <c r="A58" s="2" t="s">
        <v>35</v>
      </c>
      <c r="B58" s="1">
        <f>SUM(C58:AG58)</f>
        <v>487446</v>
      </c>
      <c r="C58" s="1">
        <f>SUMIFS('フォームの回答 1'!$E:$E,'フォームの回答 1'!$B:$B,C56,'フォームの回答 1'!$H:$H,$A58,'フォームの回答 1'!$F:$F,"Cash")</f>
        <v>3260</v>
      </c>
      <c r="D58" s="1">
        <f>SUMIFS('フォームの回答 1'!$E:$E,'フォームの回答 1'!$B:$B,D56,'フォームの回答 1'!$H:$H,$A58,'フォームの回答 1'!$F:$F,"Cash")</f>
        <v>3642</v>
      </c>
      <c r="E58" s="1">
        <f>SUMIFS('フォームの回答 1'!$E:$E,'フォームの回答 1'!$B:$B,E56,'フォームの回答 1'!$H:$H,$A58,'フォームの回答 1'!$F:$F,"Cash")</f>
        <v>1100</v>
      </c>
      <c r="F58" s="1">
        <f>SUMIFS('フォームの回答 1'!$E:$E,'フォームの回答 1'!$B:$B,F56,'フォームの回答 1'!$H:$H,$A58,'フォームの回答 1'!$F:$F,"Cash")</f>
        <v>2460</v>
      </c>
      <c r="G58" s="1">
        <f>SUMIFS('フォームの回答 1'!$E:$E,'フォームの回答 1'!$B:$B,G56,'フォームの回答 1'!$H:$H,$A58,'フォームの回答 1'!$F:$F,"Cash")</f>
        <v>680</v>
      </c>
      <c r="H58" s="1">
        <f>SUMIFS('フォームの回答 1'!$E:$E,'フォームの回答 1'!$B:$B,H56,'フォームの回答 1'!$H:$H,$A58,'フォームの回答 1'!$F:$F,"Cash")</f>
        <v>1350</v>
      </c>
      <c r="I58" s="1">
        <f>SUMIFS('フォームの回答 1'!$E:$E,'フォームの回答 1'!$B:$B,I56,'フォームの回答 1'!$H:$H,$A58,'フォームの回答 1'!$F:$F,"Cash")</f>
        <v>3308</v>
      </c>
      <c r="J58" s="1">
        <f>SUMIFS('フォームの回答 1'!$E:$E,'フォームの回答 1'!$B:$B,J56,'フォームの回答 1'!$H:$H,$A58,'フォームの回答 1'!$F:$F,"Cash")</f>
        <v>950</v>
      </c>
      <c r="K58" s="1">
        <f>SUMIFS('フォームの回答 1'!$E:$E,'フォームの回答 1'!$B:$B,K56,'フォームの回答 1'!$H:$H,$A58,'フォームの回答 1'!$F:$F,"Cash")</f>
        <v>0</v>
      </c>
      <c r="L58" s="1">
        <f>SUMIFS('フォームの回答 1'!$E:$E,'フォームの回答 1'!$B:$B,L56,'フォームの回答 1'!$H:$H,$A58,'フォームの回答 1'!$F:$F,"Cash")</f>
        <v>1100</v>
      </c>
      <c r="M58" s="1">
        <f>SUMIFS('フォームの回答 1'!$E:$E,'フォームの回答 1'!$B:$B,M56,'フォームの回答 1'!$H:$H,$A58,'フォームの回答 1'!$F:$F,"Cash")</f>
        <v>610</v>
      </c>
      <c r="N58" s="1">
        <f>SUMIFS('フォームの回答 1'!$E:$E,'フォームの回答 1'!$B:$B,N56,'フォームの回答 1'!$H:$H,$A58,'フォームの回答 1'!$F:$F,"Cash")</f>
        <v>3093</v>
      </c>
      <c r="O58" s="1">
        <f>SUMIFS('フォームの回答 1'!$E:$E,'フォームの回答 1'!$B:$B,O56,'フォームの回答 1'!$H:$H,$A58,'フォームの回答 1'!$F:$F,"Cash")</f>
        <v>1066</v>
      </c>
      <c r="P58" s="1">
        <f>SUMIFS('フォームの回答 1'!$E:$E,'フォームの回答 1'!$B:$B,P56,'フォームの回答 1'!$H:$H,$A58,'フォームの回答 1'!$F:$F,"Cash")</f>
        <v>0</v>
      </c>
      <c r="Q58" s="1">
        <f>SUMIFS('フォームの回答 1'!$E:$E,'フォームの回答 1'!$B:$B,Q56,'フォームの回答 1'!$H:$H,$A58,'フォームの回答 1'!$F:$F,"Cash")</f>
        <v>3059</v>
      </c>
      <c r="R58" s="1">
        <f>SUMIFS('フォームの回答 1'!$E:$E,'フォームの回答 1'!$B:$B,R56,'フォームの回答 1'!$H:$H,$A58,'フォームの回答 1'!$F:$F,"Cash")</f>
        <v>7402</v>
      </c>
      <c r="S58" s="1">
        <f>SUMIFS('フォームの回答 1'!$E:$E,'フォームの回答 1'!$B:$B,S56,'フォームの回答 1'!$H:$H,$A58,'フォームの回答 1'!$F:$F,"Cash")</f>
        <v>2245</v>
      </c>
      <c r="T58" s="1">
        <f>SUMIFS('フォームの回答 1'!$E:$E,'フォームの回答 1'!$B:$B,T56,'フォームの回答 1'!$H:$H,$A58,'フォームの回答 1'!$F:$F,"Cash")</f>
        <v>9425</v>
      </c>
      <c r="U58" s="1">
        <f>SUMIFS('フォームの回答 1'!$E:$E,'フォームの回答 1'!$B:$B,U56,'フォームの回答 1'!$H:$H,$A58,'フォームの回答 1'!$F:$F,"Cash")</f>
        <v>535</v>
      </c>
      <c r="V58" s="1">
        <f>SUMIFS('フォームの回答 1'!$E:$E,'フォームの回答 1'!$B:$B,V56,'フォームの回答 1'!$H:$H,$A58,'フォームの回答 1'!$F:$F,"Cash")</f>
        <v>1300</v>
      </c>
      <c r="W58" s="1">
        <f>SUMIFS('フォームの回答 1'!$E:$E,'フォームの回答 1'!$B:$B,W56,'フォームの回答 1'!$H:$H,$A58,'フォームの回答 1'!$F:$F,"Cash")</f>
        <v>1300</v>
      </c>
      <c r="X58" s="1">
        <f>SUMIFS('フォームの回答 1'!$E:$E,'フォームの回答 1'!$B:$B,X56,'フォームの回答 1'!$H:$H,$A58,'フォームの回答 1'!$F:$F,"Cash")</f>
        <v>2299</v>
      </c>
      <c r="Y58" s="1">
        <f>SUMIFS('フォームの回答 1'!$E:$E,'フォームの回答 1'!$B:$B,Y56,'フォームの回答 1'!$H:$H,$A58,'フォームの回答 1'!$F:$F,"Cash")</f>
        <v>2157</v>
      </c>
      <c r="Z58" s="1">
        <f>SUMIFS('フォームの回答 1'!$E:$E,'フォームの回答 1'!$B:$B,Z56,'フォームの回答 1'!$H:$H,$A58,'フォームの回答 1'!$F:$F,"Cash")</f>
        <v>41040</v>
      </c>
      <c r="AA58" s="1">
        <f>SUMIFS('フォームの回答 1'!$E:$E,'フォームの回答 1'!$B:$B,AA56,'フォームの回答 1'!$H:$H,$A58,'フォームの回答 1'!$F:$F,"Cash")</f>
        <v>1805</v>
      </c>
      <c r="AB58" s="1">
        <f>SUMIFS('フォームの回答 1'!$E:$E,'フォームの回答 1'!$B:$B,AB56,'フォームの回答 1'!$H:$H,$A58,'フォームの回答 1'!$F:$F,"Cash")</f>
        <v>4380</v>
      </c>
      <c r="AC58" s="1">
        <f>SUMIFS('フォームの回答 1'!$E:$E,'フォームの回答 1'!$B:$B,AC56,'フォームの回答 1'!$H:$H,$A58,'フォームの回答 1'!$F:$F,"Cash")+AI56</f>
        <v>381926</v>
      </c>
      <c r="AD58" s="1">
        <f>SUMIFS('フォームの回答 1'!$E:$E,'フォームの回答 1'!$B:$B,AD56,'フォームの回答 1'!$H:$H,$A58,'フォームの回答 1'!$F:$F,"Cash")</f>
        <v>300</v>
      </c>
      <c r="AE58" s="1">
        <f>SUMIFS('フォームの回答 1'!$E:$E,'フォームの回答 1'!$B:$B,AE56,'フォームの回答 1'!$H:$H,$A58,'フォームの回答 1'!$F:$F,"Cash")</f>
        <v>1570</v>
      </c>
      <c r="AF58" s="1">
        <f>SUMIFS('フォームの回答 1'!$E:$E,'フォームの回答 1'!$B:$B,AF56,'フォームの回答 1'!$H:$H,$A58,'フォームの回答 1'!$F:$F,"Cash")</f>
        <v>1909</v>
      </c>
      <c r="AG58" s="1">
        <f>SUMIFS('フォームの回答 1'!$E:$E,'フォームの回答 1'!$B:$B,AG56,'フォームの回答 1'!$H:$H,$A58,'フォームの回答 1'!$F:$F,"Cash")</f>
        <v>2175</v>
      </c>
    </row>
    <row r="59" spans="1:36" ht="13">
      <c r="A59" s="2" t="s">
        <v>32</v>
      </c>
      <c r="C59" s="1">
        <f>AF53+C57-C58</f>
        <v>20943</v>
      </c>
      <c r="D59" s="1">
        <f t="shared" ref="D59:AG59" si="9">C59+D57-D58</f>
        <v>17301</v>
      </c>
      <c r="E59" s="1">
        <f t="shared" si="9"/>
        <v>16201</v>
      </c>
      <c r="F59" s="1">
        <f t="shared" si="9"/>
        <v>13741</v>
      </c>
      <c r="G59" s="1">
        <f t="shared" si="9"/>
        <v>13061</v>
      </c>
      <c r="H59" s="1">
        <f t="shared" si="9"/>
        <v>11711</v>
      </c>
      <c r="I59" s="1">
        <f t="shared" si="9"/>
        <v>8403</v>
      </c>
      <c r="J59" s="1">
        <f t="shared" si="9"/>
        <v>7453</v>
      </c>
      <c r="K59" s="1">
        <f t="shared" si="9"/>
        <v>7453</v>
      </c>
      <c r="L59" s="1">
        <f t="shared" si="9"/>
        <v>6353</v>
      </c>
      <c r="M59" s="1">
        <f t="shared" si="9"/>
        <v>5743</v>
      </c>
      <c r="N59" s="1">
        <f t="shared" si="9"/>
        <v>2650</v>
      </c>
      <c r="O59" s="1">
        <f t="shared" si="9"/>
        <v>1584</v>
      </c>
      <c r="P59" s="1">
        <f t="shared" si="9"/>
        <v>1584</v>
      </c>
      <c r="Q59" s="1">
        <f t="shared" si="9"/>
        <v>-1475</v>
      </c>
      <c r="R59" s="1">
        <f t="shared" si="9"/>
        <v>91123</v>
      </c>
      <c r="S59" s="1">
        <f t="shared" si="9"/>
        <v>88878</v>
      </c>
      <c r="T59" s="1">
        <f t="shared" si="9"/>
        <v>79453</v>
      </c>
      <c r="U59" s="1">
        <f t="shared" si="9"/>
        <v>82893</v>
      </c>
      <c r="V59" s="1">
        <f t="shared" si="9"/>
        <v>81593</v>
      </c>
      <c r="W59" s="1">
        <f t="shared" si="9"/>
        <v>80293</v>
      </c>
      <c r="X59" s="1">
        <f t="shared" si="9"/>
        <v>77994</v>
      </c>
      <c r="Y59" s="1">
        <f t="shared" si="9"/>
        <v>75837</v>
      </c>
      <c r="Z59" s="1">
        <f t="shared" si="9"/>
        <v>410572</v>
      </c>
      <c r="AA59" s="1">
        <f t="shared" si="9"/>
        <v>408767</v>
      </c>
      <c r="AB59" s="1">
        <f t="shared" si="9"/>
        <v>404387</v>
      </c>
      <c r="AC59" s="1">
        <f t="shared" si="9"/>
        <v>22461</v>
      </c>
      <c r="AD59" s="1">
        <f t="shared" si="9"/>
        <v>22161</v>
      </c>
      <c r="AE59" s="1">
        <f t="shared" si="9"/>
        <v>20591</v>
      </c>
      <c r="AF59" s="1">
        <f t="shared" si="9"/>
        <v>18682</v>
      </c>
      <c r="AG59" s="1">
        <f t="shared" si="9"/>
        <v>16507</v>
      </c>
    </row>
    <row r="61" spans="1:36" ht="13">
      <c r="B61" s="20" t="s">
        <v>74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12"/>
      <c r="AI61" s="2" t="s">
        <v>75</v>
      </c>
      <c r="AJ61" s="1"/>
    </row>
    <row r="62" spans="1:36" ht="13">
      <c r="B62" s="2" t="s">
        <v>29</v>
      </c>
      <c r="C62" s="11">
        <v>45962</v>
      </c>
      <c r="D62" s="11">
        <v>45963</v>
      </c>
      <c r="E62" s="11">
        <v>45964</v>
      </c>
      <c r="F62" s="11">
        <v>45965</v>
      </c>
      <c r="G62" s="11">
        <v>45966</v>
      </c>
      <c r="H62" s="11">
        <v>45967</v>
      </c>
      <c r="I62" s="11">
        <v>45968</v>
      </c>
      <c r="J62" s="11">
        <v>45969</v>
      </c>
      <c r="K62" s="11">
        <v>45970</v>
      </c>
      <c r="L62" s="11">
        <v>45971</v>
      </c>
      <c r="M62" s="11">
        <v>45972</v>
      </c>
      <c r="N62" s="11">
        <v>45973</v>
      </c>
      <c r="O62" s="11">
        <v>45974</v>
      </c>
      <c r="P62" s="11">
        <v>45975</v>
      </c>
      <c r="Q62" s="11">
        <v>45976</v>
      </c>
      <c r="R62" s="11">
        <v>45977</v>
      </c>
      <c r="S62" s="11">
        <v>45978</v>
      </c>
      <c r="T62" s="11">
        <v>45979</v>
      </c>
      <c r="U62" s="11">
        <v>45980</v>
      </c>
      <c r="V62" s="11">
        <v>45981</v>
      </c>
      <c r="W62" s="11">
        <v>45982</v>
      </c>
      <c r="X62" s="11">
        <v>45983</v>
      </c>
      <c r="Y62" s="11">
        <v>45984</v>
      </c>
      <c r="Z62" s="11">
        <v>45985</v>
      </c>
      <c r="AA62" s="11">
        <v>45986</v>
      </c>
      <c r="AB62" s="11">
        <v>45987</v>
      </c>
      <c r="AC62" s="11">
        <v>45988</v>
      </c>
      <c r="AD62" s="11">
        <v>45989</v>
      </c>
      <c r="AE62" s="11">
        <v>45990</v>
      </c>
      <c r="AF62" s="11">
        <v>45991</v>
      </c>
      <c r="AG62" s="11"/>
      <c r="AI62" s="13">
        <v>251749</v>
      </c>
    </row>
    <row r="63" spans="1:36" ht="13">
      <c r="A63" s="2" t="s">
        <v>34</v>
      </c>
      <c r="B63" s="1">
        <f>SUM(V63:AG63)</f>
        <v>525775</v>
      </c>
      <c r="C63" s="1">
        <f>SUMIFS('フォームの回答 1'!$E:$E,'フォームの回答 1'!$B:$B,C62,'フォームの回答 1'!$H:$H,$A63)</f>
        <v>5250</v>
      </c>
      <c r="D63" s="1">
        <f>SUMIFS('フォームの回答 1'!$E:$E,'フォームの回答 1'!$B:$B,D62,'フォームの回答 1'!$H:$H,$A63)</f>
        <v>1189</v>
      </c>
      <c r="E63" s="1">
        <f>SUMIFS('フォームの回答 1'!$E:$E,'フォームの回答 1'!$B:$B,E62,'フォームの回答 1'!$H:$H,$A63)</f>
        <v>0</v>
      </c>
      <c r="F63" s="1">
        <f>SUMIFS('フォームの回答 1'!$E:$E,'フォームの回答 1'!$B:$B,F62,'フォームの回答 1'!$H:$H,$A63)</f>
        <v>0</v>
      </c>
      <c r="G63" s="1">
        <f>SUMIFS('フォームの回答 1'!$E:$E,'フォームの回答 1'!$B:$B,G62,'フォームの回答 1'!$H:$H,$A63)</f>
        <v>0</v>
      </c>
      <c r="H63" s="1">
        <f>SUMIFS('フォームの回答 1'!$E:$E,'フォームの回答 1'!$B:$B,H62,'フォームの回答 1'!$H:$H,$A63)</f>
        <v>8040</v>
      </c>
      <c r="I63" s="1">
        <f>SUMIFS('フォームの回答 1'!$E:$E,'フォームの回答 1'!$B:$B,I62,'フォームの回答 1'!$H:$H,$A63)</f>
        <v>0</v>
      </c>
      <c r="J63" s="1">
        <f>SUMIFS('フォームの回答 1'!$E:$E,'フォームの回答 1'!$B:$B,J62,'フォームの回答 1'!$H:$H,$A63)</f>
        <v>0</v>
      </c>
      <c r="K63" s="1">
        <f>SUMIFS('フォームの回答 1'!$E:$E,'フォームの回答 1'!$B:$B,K62,'フォームの回答 1'!$H:$H,$A63)</f>
        <v>0</v>
      </c>
      <c r="L63" s="1">
        <f>SUMIFS('フォームの回答 1'!$E:$E,'フォームの回答 1'!$B:$B,L62,'フォームの回答 1'!$H:$H,$A63)</f>
        <v>0</v>
      </c>
      <c r="M63" s="1">
        <f>SUMIFS('フォームの回答 1'!$E:$E,'フォームの回答 1'!$B:$B,M62,'フォームの回答 1'!$H:$H,$A63)</f>
        <v>0</v>
      </c>
      <c r="N63" s="1">
        <f>SUMIFS('フォームの回答 1'!$E:$E,'フォームの回答 1'!$B:$B,N62,'フォームの回答 1'!$H:$H,$A63)</f>
        <v>50000</v>
      </c>
      <c r="O63" s="1">
        <f>SUMIFS('フォームの回答 1'!$E:$E,'フォームの回答 1'!$B:$B,O62,'フォームの回答 1'!$H:$H,$A63)</f>
        <v>0</v>
      </c>
      <c r="P63" s="1">
        <f>SUMIFS('フォームの回答 1'!$E:$E,'フォームの回答 1'!$B:$B,P62,'フォームの回答 1'!$H:$H,$A63)</f>
        <v>0</v>
      </c>
      <c r="Q63" s="1">
        <f>SUMIFS('フォームの回答 1'!$E:$E,'フォームの回答 1'!$B:$B,Q62,'フォームの回答 1'!$H:$H,$A63)</f>
        <v>0</v>
      </c>
      <c r="R63" s="1">
        <f>SUMIFS('フォームの回答 1'!$E:$E,'フォームの回答 1'!$B:$B,R62,'フォームの回答 1'!$H:$H,$A63)</f>
        <v>1500</v>
      </c>
      <c r="S63" s="1">
        <f>SUMIFS('フォームの回答 1'!$E:$E,'フォームの回答 1'!$B:$B,S62,'フォームの回答 1'!$H:$H,$A63)</f>
        <v>0</v>
      </c>
      <c r="T63" s="1">
        <f>SUMIFS('フォームの回答 1'!$E:$E,'フォームの回答 1'!$B:$B,T62,'フォームの回答 1'!$H:$H,$A63)</f>
        <v>0</v>
      </c>
      <c r="U63" s="1">
        <f>SUMIFS('フォームの回答 1'!$E:$E,'フォームの回答 1'!$B:$B,U62,'フォームの回答 1'!$H:$H,$A63)</f>
        <v>0</v>
      </c>
      <c r="V63" s="1">
        <f>SUMIFS('フォームの回答 1'!$E:$E,'フォームの回答 1'!$B:$B,V62,'フォームの回答 1'!$H:$H,$A63)</f>
        <v>0</v>
      </c>
      <c r="W63" s="1">
        <f>SUMIFS('フォームの回答 1'!$E:$E,'フォームの回答 1'!$B:$B,W62,'フォームの回答 1'!$H:$H,$A63)</f>
        <v>0</v>
      </c>
      <c r="X63" s="1">
        <f>SUMIFS('フォームの回答 1'!$E:$E,'フォームの回答 1'!$B:$B,X62,'フォームの回答 1'!$H:$H,$A63)</f>
        <v>0</v>
      </c>
      <c r="Y63" s="1">
        <f>SUMIFS('フォームの回答 1'!$E:$E,'フォームの回答 1'!$B:$B,Y62,'フォームの回答 1'!$H:$H,$A63)</f>
        <v>0</v>
      </c>
      <c r="Z63" s="1">
        <f>SUMIFS('フォームの回答 1'!$E:$E,'フォームの回答 1'!$B:$B,Z62,'フォームの回答 1'!$H:$H,$A63)</f>
        <v>0</v>
      </c>
      <c r="AA63" s="1">
        <f>SUMIFS('フォームの回答 1'!$E:$E,'フォームの回答 1'!$B:$B,AA62,'フォームの回答 1'!$H:$H,$A63)+AI64</f>
        <v>375775</v>
      </c>
      <c r="AB63" s="1">
        <f>SUMIFS('フォームの回答 1'!$E:$E,'フォームの回答 1'!$B:$B,AB62,'フォームの回答 1'!$H:$H,$A63)</f>
        <v>0</v>
      </c>
      <c r="AC63" s="1">
        <f>SUMIFS('フォームの回答 1'!$E:$E,'フォームの回答 1'!$B:$B,AC62,'フォームの回答 1'!$H:$H,$A63)</f>
        <v>150000</v>
      </c>
      <c r="AD63" s="1">
        <f>SUMIFS('フォームの回答 1'!$E:$E,'フォームの回答 1'!$B:$B,AD62,'フォームの回答 1'!$H:$H,$A63)</f>
        <v>0</v>
      </c>
      <c r="AE63" s="1">
        <f>SUMIFS('フォームの回答 1'!$E:$E,'フォームの回答 1'!$B:$B,AE62,'フォームの回答 1'!$H:$H,$A63)</f>
        <v>0</v>
      </c>
      <c r="AF63" s="1">
        <f>SUMIFS('フォームの回答 1'!$E:$E,'フォームの回答 1'!$B:$B,AF62,'フォームの回答 1'!$H:$H,$A63)</f>
        <v>0</v>
      </c>
      <c r="AG63" s="1"/>
    </row>
    <row r="64" spans="1:36" ht="13">
      <c r="A64" s="2" t="s">
        <v>35</v>
      </c>
      <c r="B64" s="1">
        <f>SUM(C64:AG64)</f>
        <v>533102</v>
      </c>
      <c r="C64" s="1">
        <f>SUMIFS('フォームの回答 1'!$E:$E,'フォームの回答 1'!$B:$B,C62,'フォームの回答 1'!$H:$H,$A64,'フォームの回答 1'!$F:$F,"Cash")</f>
        <v>5654</v>
      </c>
      <c r="D64" s="1">
        <f>SUMIFS('フォームの回答 1'!$E:$E,'フォームの回答 1'!$B:$B,D62,'フォームの回答 1'!$H:$H,$A64,'フォームの回答 1'!$F:$F,"Cash")</f>
        <v>1940</v>
      </c>
      <c r="E64" s="1">
        <f>SUMIFS('フォームの回答 1'!$E:$E,'フォームの回答 1'!$B:$B,E62,'フォームの回答 1'!$H:$H,$A64,'フォームの回答 1'!$F:$F,"Cash")</f>
        <v>688</v>
      </c>
      <c r="F64" s="1">
        <f>SUMIFS('フォームの回答 1'!$E:$E,'フォームの回答 1'!$B:$B,F62,'フォームの回答 1'!$H:$H,$A64,'フォームの回答 1'!$F:$F,"Cash")</f>
        <v>1400</v>
      </c>
      <c r="G64" s="1">
        <f>SUMIFS('フォームの回答 1'!$E:$E,'フォームの回答 1'!$B:$B,G62,'フォームの回答 1'!$H:$H,$A64,'フォームの回答 1'!$F:$F,"Cash")</f>
        <v>531</v>
      </c>
      <c r="H64" s="1">
        <f>SUMIFS('フォームの回答 1'!$E:$E,'フォームの回答 1'!$B:$B,H62,'フォームの回答 1'!$H:$H,$A64,'フォームの回答 1'!$F:$F,"Cash")</f>
        <v>1620</v>
      </c>
      <c r="I64" s="1">
        <f>SUMIFS('フォームの回答 1'!$E:$E,'フォームの回答 1'!$B:$B,I62,'フォームの回答 1'!$H:$H,$A64,'フォームの回答 1'!$F:$F,"Cash")</f>
        <v>7193</v>
      </c>
      <c r="J64" s="1">
        <f>SUMIFS('フォームの回答 1'!$E:$E,'フォームの回答 1'!$B:$B,J62,'フォームの回答 1'!$H:$H,$A64,'フォームの回答 1'!$F:$F,"Cash")</f>
        <v>914</v>
      </c>
      <c r="K64" s="1">
        <f>SUMIFS('フォームの回答 1'!$E:$E,'フォームの回答 1'!$B:$B,K62,'フォームの回答 1'!$H:$H,$A64,'フォームの回答 1'!$F:$F,"Cash")</f>
        <v>4498</v>
      </c>
      <c r="L64" s="1">
        <f>SUMIFS('フォームの回答 1'!$E:$E,'フォームの回答 1'!$B:$B,L62,'フォームの回答 1'!$H:$H,$A64,'フォームの回答 1'!$F:$F,"Cash")</f>
        <v>1200</v>
      </c>
      <c r="M64" s="1">
        <f>SUMIFS('フォームの回答 1'!$E:$E,'フォームの回答 1'!$B:$B,M62,'フォームの回答 1'!$H:$H,$A64,'フォームの回答 1'!$F:$F,"Cash")</f>
        <v>330</v>
      </c>
      <c r="N64" s="1">
        <f>SUMIFS('フォームの回答 1'!$E:$E,'フォームの回答 1'!$B:$B,N62,'フォームの回答 1'!$H:$H,$A64,'フォームの回答 1'!$F:$F,"Cash")</f>
        <v>1880</v>
      </c>
      <c r="O64" s="1">
        <f>SUMIFS('フォームの回答 1'!$E:$E,'フォームの回答 1'!$B:$B,O62,'フォームの回答 1'!$H:$H,$A64,'フォームの回答 1'!$F:$F,"Cash")</f>
        <v>6450</v>
      </c>
      <c r="P64" s="1">
        <f>SUMIFS('フォームの回答 1'!$E:$E,'フォームの回答 1'!$B:$B,P62,'フォームの回答 1'!$H:$H,$A64,'フォームの回答 1'!$F:$F,"Cash")</f>
        <v>1267</v>
      </c>
      <c r="Q64" s="1">
        <f>SUMIFS('フォームの回答 1'!$E:$E,'フォームの回答 1'!$B:$B,Q62,'フォームの回答 1'!$H:$H,$A64,'フォームの回答 1'!$F:$F,"Cash")</f>
        <v>11189</v>
      </c>
      <c r="R64" s="1">
        <f>SUMIFS('フォームの回答 1'!$E:$E,'フォームの回答 1'!$B:$B,R62,'フォームの回答 1'!$H:$H,$A64,'フォームの回答 1'!$F:$F,"Cash")</f>
        <v>1265</v>
      </c>
      <c r="S64" s="1">
        <f>SUMIFS('フォームの回答 1'!$E:$E,'フォームの回答 1'!$B:$B,S62,'フォームの回答 1'!$H:$H,$A64,'フォームの回答 1'!$F:$F,"Cash")</f>
        <v>4425</v>
      </c>
      <c r="T64" s="1">
        <f>SUMIFS('フォームの回答 1'!$E:$E,'フォームの回答 1'!$B:$B,T62,'フォームの回答 1'!$H:$H,$A64,'フォームの回答 1'!$F:$F,"Cash")</f>
        <v>810</v>
      </c>
      <c r="U64" s="1">
        <f>SUMIFS('フォームの回答 1'!$E:$E,'フォームの回答 1'!$B:$B,U62,'フォームの回答 1'!$H:$H,$A64,'フォームの回答 1'!$F:$F,"Cash")</f>
        <v>2920</v>
      </c>
      <c r="V64" s="1">
        <f>SUMIFS('フォームの回答 1'!$E:$E,'フォームの回答 1'!$B:$B,V62,'フォームの回答 1'!$H:$H,$A64,'フォームの回答 1'!$F:$F,"Cash")</f>
        <v>5164</v>
      </c>
      <c r="W64" s="1">
        <f>SUMIFS('フォームの回答 1'!$E:$E,'フォームの回答 1'!$B:$B,W62,'フォームの回答 1'!$H:$H,$A64,'フォームの回答 1'!$F:$F,"Cash")</f>
        <v>5418</v>
      </c>
      <c r="X64" s="1">
        <f>SUMIFS('フォームの回答 1'!$E:$E,'フォームの回答 1'!$B:$B,X62,'フォームの回答 1'!$H:$H,$A64,'フォームの回答 1'!$F:$F,"Cash")</f>
        <v>10186</v>
      </c>
      <c r="Y64" s="1">
        <f>SUMIFS('フォームの回答 1'!$E:$E,'フォームの回答 1'!$B:$B,Y62,'フォームの回答 1'!$H:$H,$A64,'フォームの回答 1'!$F:$F,"Cash")</f>
        <v>2237</v>
      </c>
      <c r="Z64" s="1">
        <f>SUMIFS('フォームの回答 1'!$E:$E,'フォームの回答 1'!$B:$B,Z62,'フォームの回答 1'!$H:$H,$A64,'フォームの回答 1'!$F:$F,"Cash")</f>
        <v>0</v>
      </c>
      <c r="AA64" s="1">
        <f>SUMIFS('フォームの回答 1'!$E:$E,'フォームの回答 1'!$B:$B,AA62,'フォームの回答 1'!$H:$H,$A64,'フォームの回答 1'!$F:$F,"Cash")</f>
        <v>470</v>
      </c>
      <c r="AB64" s="1">
        <f>SUMIFS('フォームの回答 1'!$E:$E,'フォームの回答 1'!$B:$B,AB62,'フォームの回答 1'!$H:$H,$A64,'フォームの回答 1'!$F:$F,"Cash")</f>
        <v>43525</v>
      </c>
      <c r="AC64" s="1">
        <f>SUMIFS('フォームの回答 1'!$E:$E,'フォームの回答 1'!$B:$B,AC62,'フォームの回答 1'!$H:$H,$A64,'フォームの回答 1'!$F:$F,"Cash")+AI62</f>
        <v>399609</v>
      </c>
      <c r="AD64" s="1">
        <f>SUMIFS('フォームの回答 1'!$E:$E,'フォームの回答 1'!$B:$B,AD62,'フォームの回答 1'!$H:$H,$A64,'フォームの回答 1'!$F:$F,"Cash")</f>
        <v>5185</v>
      </c>
      <c r="AE64" s="1">
        <f>SUMIFS('フォームの回答 1'!$E:$E,'フォームの回答 1'!$B:$B,AE62,'フォームの回答 1'!$H:$H,$A64,'フォームの回答 1'!$F:$F,"Cash")</f>
        <v>4335</v>
      </c>
      <c r="AF64" s="1">
        <f>SUMIFS('フォームの回答 1'!$E:$E,'フォームの回答 1'!$B:$B,AF62,'フォームの回答 1'!$H:$H,$A64,'フォームの回答 1'!$F:$F,"Cash")</f>
        <v>799</v>
      </c>
      <c r="AG64" s="1"/>
    </row>
    <row r="65" spans="1:36" ht="13">
      <c r="A65" s="2" t="s">
        <v>32</v>
      </c>
      <c r="C65" s="1">
        <f>AG59+C63-C64</f>
        <v>16103</v>
      </c>
      <c r="D65" s="1">
        <f t="shared" ref="D65:AF65" si="10">C65+D63-D64</f>
        <v>15352</v>
      </c>
      <c r="E65" s="1">
        <f t="shared" si="10"/>
        <v>14664</v>
      </c>
      <c r="F65" s="1">
        <f t="shared" si="10"/>
        <v>13264</v>
      </c>
      <c r="G65" s="1">
        <f t="shared" si="10"/>
        <v>12733</v>
      </c>
      <c r="H65" s="1">
        <f t="shared" si="10"/>
        <v>19153</v>
      </c>
      <c r="I65" s="1">
        <f t="shared" si="10"/>
        <v>11960</v>
      </c>
      <c r="J65" s="1">
        <f t="shared" si="10"/>
        <v>11046</v>
      </c>
      <c r="K65" s="1">
        <f t="shared" si="10"/>
        <v>6548</v>
      </c>
      <c r="L65" s="1">
        <f t="shared" si="10"/>
        <v>5348</v>
      </c>
      <c r="M65" s="1">
        <f t="shared" si="10"/>
        <v>5018</v>
      </c>
      <c r="N65" s="1">
        <f t="shared" si="10"/>
        <v>53138</v>
      </c>
      <c r="O65" s="1">
        <f t="shared" si="10"/>
        <v>46688</v>
      </c>
      <c r="P65" s="1">
        <f t="shared" si="10"/>
        <v>45421</v>
      </c>
      <c r="Q65" s="1">
        <f t="shared" si="10"/>
        <v>34232</v>
      </c>
      <c r="R65" s="1">
        <f t="shared" si="10"/>
        <v>34467</v>
      </c>
      <c r="S65" s="1">
        <f t="shared" si="10"/>
        <v>30042</v>
      </c>
      <c r="T65" s="1">
        <f t="shared" si="10"/>
        <v>29232</v>
      </c>
      <c r="U65" s="1">
        <f t="shared" si="10"/>
        <v>26312</v>
      </c>
      <c r="V65" s="1">
        <f t="shared" si="10"/>
        <v>21148</v>
      </c>
      <c r="W65" s="1">
        <f t="shared" si="10"/>
        <v>15730</v>
      </c>
      <c r="X65" s="1">
        <f t="shared" si="10"/>
        <v>5544</v>
      </c>
      <c r="Y65" s="1">
        <f t="shared" si="10"/>
        <v>3307</v>
      </c>
      <c r="Z65" s="1">
        <f t="shared" si="10"/>
        <v>3307</v>
      </c>
      <c r="AA65" s="1">
        <f t="shared" si="10"/>
        <v>378612</v>
      </c>
      <c r="AB65" s="1">
        <f t="shared" si="10"/>
        <v>335087</v>
      </c>
      <c r="AC65" s="1">
        <f t="shared" si="10"/>
        <v>85478</v>
      </c>
      <c r="AD65" s="1">
        <f t="shared" si="10"/>
        <v>80293</v>
      </c>
      <c r="AE65" s="1">
        <f t="shared" si="10"/>
        <v>75958</v>
      </c>
      <c r="AF65" s="1">
        <f t="shared" si="10"/>
        <v>75159</v>
      </c>
    </row>
    <row r="67" spans="1:36" ht="13">
      <c r="B67" s="20" t="s">
        <v>76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I67" s="2" t="s">
        <v>77</v>
      </c>
      <c r="AJ67" s="1"/>
    </row>
    <row r="68" spans="1:36" ht="13">
      <c r="B68" s="2" t="s">
        <v>29</v>
      </c>
      <c r="C68" s="11">
        <v>45992</v>
      </c>
      <c r="D68" s="11">
        <v>45993</v>
      </c>
      <c r="E68" s="11">
        <v>45994</v>
      </c>
      <c r="F68" s="11">
        <v>45995</v>
      </c>
      <c r="G68" s="11">
        <v>45996</v>
      </c>
      <c r="H68" s="11">
        <v>45997</v>
      </c>
      <c r="I68" s="11">
        <v>45998</v>
      </c>
      <c r="J68" s="11">
        <v>45999</v>
      </c>
      <c r="K68" s="11">
        <v>46000</v>
      </c>
      <c r="L68" s="11">
        <v>46001</v>
      </c>
      <c r="M68" s="11">
        <v>46002</v>
      </c>
      <c r="N68" s="11">
        <v>46003</v>
      </c>
      <c r="O68" s="11">
        <v>46004</v>
      </c>
      <c r="P68" s="11">
        <v>46005</v>
      </c>
      <c r="Q68" s="11">
        <v>46006</v>
      </c>
      <c r="R68" s="11">
        <v>46007</v>
      </c>
      <c r="S68" s="11">
        <v>46008</v>
      </c>
      <c r="T68" s="11">
        <v>46009</v>
      </c>
      <c r="U68" s="11">
        <v>46010</v>
      </c>
      <c r="V68" s="11">
        <v>46011</v>
      </c>
      <c r="W68" s="11">
        <v>46012</v>
      </c>
      <c r="X68" s="11">
        <v>46013</v>
      </c>
      <c r="Y68" s="11">
        <v>46014</v>
      </c>
      <c r="Z68" s="11">
        <v>46015</v>
      </c>
      <c r="AA68" s="11">
        <v>46016</v>
      </c>
      <c r="AB68" s="11">
        <v>46017</v>
      </c>
      <c r="AC68" s="11">
        <v>46018</v>
      </c>
      <c r="AD68" s="11">
        <v>46019</v>
      </c>
      <c r="AE68" s="11">
        <v>46020</v>
      </c>
      <c r="AF68" s="11">
        <v>46021</v>
      </c>
      <c r="AG68" s="11">
        <v>46022</v>
      </c>
      <c r="AI68" s="13">
        <v>146700</v>
      </c>
    </row>
    <row r="69" spans="1:36" ht="13">
      <c r="A69" s="2" t="s">
        <v>34</v>
      </c>
      <c r="B69" s="1">
        <f>SUM(V69:AG69)</f>
        <v>420185</v>
      </c>
      <c r="C69" s="1">
        <f>SUMIFS('フォームの回答 1'!$E:$E,'フォームの回答 1'!$B:$B,C68,'フォームの回答 1'!$H:$H,$A69)</f>
        <v>2641</v>
      </c>
      <c r="D69" s="1">
        <f>SUMIFS('フォームの回答 1'!$E:$E,'フォームの回答 1'!$B:$B,D68,'フォームの回答 1'!$H:$H,$A69)</f>
        <v>0</v>
      </c>
      <c r="E69" s="1">
        <f>SUMIFS('フォームの回答 1'!$E:$E,'フォームの回答 1'!$B:$B,E68,'フォームの回答 1'!$H:$H,$A69)</f>
        <v>0</v>
      </c>
      <c r="F69" s="1">
        <f>SUMIFS('フォームの回答 1'!$E:$E,'フォームの回答 1'!$B:$B,F68,'フォームの回答 1'!$H:$H,$A69)</f>
        <v>0</v>
      </c>
      <c r="G69" s="1">
        <f>SUMIFS('フォームの回答 1'!$E:$E,'フォームの回答 1'!$B:$B,G68,'フォームの回答 1'!$H:$H,$A69)</f>
        <v>0</v>
      </c>
      <c r="H69" s="1">
        <f>SUMIFS('フォームの回答 1'!$E:$E,'フォームの回答 1'!$B:$B,H68,'フォームの回答 1'!$H:$H,$A69)</f>
        <v>0</v>
      </c>
      <c r="I69" s="1">
        <f>SUMIFS('フォームの回答 1'!$E:$E,'フォームの回答 1'!$B:$B,I68,'フォームの回答 1'!$H:$H,$A69)</f>
        <v>0</v>
      </c>
      <c r="J69" s="1">
        <f>SUMIFS('フォームの回答 1'!$E:$E,'フォームの回答 1'!$B:$B,J68,'フォームの回答 1'!$H:$H,$A69)</f>
        <v>0</v>
      </c>
      <c r="K69" s="1">
        <f>SUMIFS('フォームの回答 1'!$E:$E,'フォームの回答 1'!$B:$B,K68,'フォームの回答 1'!$H:$H,$A69)</f>
        <v>0</v>
      </c>
      <c r="L69" s="1">
        <f>SUMIFS('フォームの回答 1'!$E:$E,'フォームの回答 1'!$B:$B,L68,'フォームの回答 1'!$H:$H,$A69)</f>
        <v>0</v>
      </c>
      <c r="M69" s="1">
        <f>SUMIFS('フォームの回答 1'!$E:$E,'フォームの回答 1'!$B:$B,M68,'フォームの回答 1'!$H:$H,$A69)</f>
        <v>0</v>
      </c>
      <c r="N69" s="1">
        <f>SUMIFS('フォームの回答 1'!$E:$E,'フォームの回答 1'!$B:$B,N68,'フォームの回答 1'!$H:$H,$A69)</f>
        <v>0</v>
      </c>
      <c r="O69" s="1">
        <f>SUMIFS('フォームの回答 1'!$E:$E,'フォームの回答 1'!$B:$B,O68,'フォームの回答 1'!$H:$H,$A69)</f>
        <v>0</v>
      </c>
      <c r="P69" s="1">
        <f>SUMIFS('フォームの回答 1'!$E:$E,'フォームの回答 1'!$B:$B,P68,'フォームの回答 1'!$H:$H,$A69)</f>
        <v>0</v>
      </c>
      <c r="Q69" s="1">
        <f>SUMIFS('フォームの回答 1'!$E:$E,'フォームの回答 1'!$B:$B,Q68,'フォームの回答 1'!$H:$H,$A69)</f>
        <v>0</v>
      </c>
      <c r="R69" s="1">
        <f>SUMIFS('フォームの回答 1'!$E:$E,'フォームの回答 1'!$B:$B,R68,'フォームの回答 1'!$H:$H,$A69)</f>
        <v>0</v>
      </c>
      <c r="S69" s="1">
        <f>SUMIFS('フォームの回答 1'!$E:$E,'フォームの回答 1'!$B:$B,S68,'フォームの回答 1'!$H:$H,$A69)</f>
        <v>0</v>
      </c>
      <c r="T69" s="1">
        <f>SUMIFS('フォームの回答 1'!$E:$E,'フォームの回答 1'!$B:$B,T68,'フォームの回答 1'!$H:$H,$A69)</f>
        <v>0</v>
      </c>
      <c r="U69" s="1">
        <f>SUMIFS('フォームの回答 1'!$E:$E,'フォームの回答 1'!$B:$B,U68,'フォームの回答 1'!$H:$H,$A69)</f>
        <v>0</v>
      </c>
      <c r="V69" s="1">
        <f>SUMIFS('フォームの回答 1'!$E:$E,'フォームの回答 1'!$B:$B,V68,'フォームの回答 1'!$H:$H,$A69)</f>
        <v>7800</v>
      </c>
      <c r="W69" s="1">
        <f>SUMIFS('フォームの回答 1'!$E:$E,'フォームの回答 1'!$B:$B,W68,'フォームの回答 1'!$H:$H,$A69)</f>
        <v>0</v>
      </c>
      <c r="X69" s="1">
        <f>SUMIFS('フォームの回答 1'!$E:$E,'フォームの回答 1'!$B:$B,X68,'フォームの回答 1'!$H:$H,$A69)</f>
        <v>0</v>
      </c>
      <c r="Y69" s="1">
        <f>SUMIFS('フォームの回答 1'!$E:$E,'フォームの回答 1'!$B:$B,Y68,'フォームの回答 1'!$H:$H,$A69)</f>
        <v>0</v>
      </c>
      <c r="Z69" s="1">
        <f>SUMIFS('フォームの回答 1'!$E:$E,'フォームの回答 1'!$B:$B,Z68,'フォームの回答 1'!$H:$H,$A69)</f>
        <v>0</v>
      </c>
      <c r="AA69" s="1">
        <f>SUMIFS('フォームの回答 1'!$E:$E,'フォームの回答 1'!$B:$B,AA68,'フォームの回答 1'!$H:$H,$A69)+AJ60</f>
        <v>412385</v>
      </c>
      <c r="AB69" s="1">
        <f>SUMIFS('フォームの回答 1'!$E:$E,'フォームの回答 1'!$B:$B,AB68,'フォームの回答 1'!$H:$H,$A69)</f>
        <v>0</v>
      </c>
      <c r="AC69" s="1">
        <f>SUMIFS('フォームの回答 1'!$E:$E,'フォームの回答 1'!$B:$B,AC68,'フォームの回答 1'!$H:$H,$A69)</f>
        <v>0</v>
      </c>
      <c r="AD69" s="1">
        <f>SUMIFS('フォームの回答 1'!$E:$E,'フォームの回答 1'!$B:$B,AD68,'フォームの回答 1'!$H:$H,$A69)</f>
        <v>0</v>
      </c>
      <c r="AE69" s="1">
        <f>SUMIFS('フォームの回答 1'!$E:$E,'フォームの回答 1'!$B:$B,AE68,'フォームの回答 1'!$H:$H,$A69)</f>
        <v>0</v>
      </c>
      <c r="AF69" s="1">
        <f>SUMIFS('フォームの回答 1'!$E:$E,'フォームの回答 1'!$B:$B,AF68,'フォームの回答 1'!$H:$H,$A69)</f>
        <v>0</v>
      </c>
      <c r="AG69" s="1">
        <f>SUMIFS('フォームの回答 1'!$E:$E,'フォームの回答 1'!$B:$B,AG68,'フォームの回答 1'!$H:$H,$A69)</f>
        <v>0</v>
      </c>
    </row>
    <row r="70" spans="1:36" ht="13">
      <c r="A70" s="2" t="s">
        <v>35</v>
      </c>
      <c r="B70" s="1">
        <f>SUM(C70:AG70)</f>
        <v>437764</v>
      </c>
      <c r="C70" s="1">
        <f>SUMIFS('フォームの回答 1'!$E:$E,'フォームの回答 1'!$B:$B,C68,'フォームの回答 1'!$H:$H,$A70,'フォームの回答 1'!$F:$F,"Cash")</f>
        <v>555</v>
      </c>
      <c r="D70" s="1">
        <f>SUMIFS('フォームの回答 1'!$E:$E,'フォームの回答 1'!$B:$B,D68,'フォームの回答 1'!$H:$H,$A70,'フォームの回答 1'!$F:$F,"Cash")</f>
        <v>1100</v>
      </c>
      <c r="E70" s="1">
        <f>SUMIFS('フォームの回答 1'!$E:$E,'フォームの回答 1'!$B:$B,E68,'フォームの回答 1'!$H:$H,$A70,'フォームの回答 1'!$F:$F,"Cash")</f>
        <v>4430</v>
      </c>
      <c r="F70" s="1">
        <f>SUMIFS('フォームの回答 1'!$E:$E,'フォームの回答 1'!$B:$B,F68,'フォームの回答 1'!$H:$H,$A70,'フォームの回答 1'!$F:$F,"Cash")</f>
        <v>0</v>
      </c>
      <c r="G70" s="1">
        <f>SUMIFS('フォームの回答 1'!$E:$E,'フォームの回答 1'!$B:$B,G68,'フォームの回答 1'!$H:$H,$A70,'フォームの回答 1'!$F:$F,"Cash")</f>
        <v>6967</v>
      </c>
      <c r="H70" s="1">
        <f>SUMIFS('フォームの回答 1'!$E:$E,'フォームの回答 1'!$B:$B,H68,'フォームの回答 1'!$H:$H,$A70,'フォームの回答 1'!$F:$F,"Cash")</f>
        <v>6714</v>
      </c>
      <c r="I70" s="1">
        <f>SUMIFS('フォームの回答 1'!$E:$E,'フォームの回答 1'!$B:$B,I68,'フォームの回答 1'!$H:$H,$A70,'フォームの回答 1'!$F:$F,"Cash")</f>
        <v>800</v>
      </c>
      <c r="J70" s="1">
        <f>SUMIFS('フォームの回答 1'!$E:$E,'フォームの回答 1'!$B:$B,J68,'フォームの回答 1'!$H:$H,$A70,'フォームの回答 1'!$F:$F,"Cash")</f>
        <v>1200</v>
      </c>
      <c r="K70" s="1">
        <f>SUMIFS('フォームの回答 1'!$E:$E,'フォームの回答 1'!$B:$B,K68,'フォームの回答 1'!$H:$H,$A70,'フォームの回答 1'!$F:$F,"Cash")</f>
        <v>1000</v>
      </c>
      <c r="L70" s="1">
        <f>SUMIFS('フォームの回答 1'!$E:$E,'フォームの回答 1'!$B:$B,L68,'フォームの回答 1'!$H:$H,$A70,'フォームの回答 1'!$F:$F,"Cash")</f>
        <v>1296</v>
      </c>
      <c r="M70" s="1">
        <f>SUMIFS('フォームの回答 1'!$E:$E,'フォームの回答 1'!$B:$B,M68,'フォームの回答 1'!$H:$H,$A70,'フォームの回答 1'!$F:$F,"Cash")</f>
        <v>4936</v>
      </c>
      <c r="N70" s="1">
        <f>SUMIFS('フォームの回答 1'!$E:$E,'フォームの回答 1'!$B:$B,N68,'フォームの回答 1'!$H:$H,$A70,'フォームの回答 1'!$F:$F,"Cash")</f>
        <v>6780</v>
      </c>
      <c r="O70" s="1">
        <f>SUMIFS('フォームの回答 1'!$E:$E,'フォームの回答 1'!$B:$B,O68,'フォームの回答 1'!$H:$H,$A70,'フォームの回答 1'!$F:$F,"Cash")</f>
        <v>12530</v>
      </c>
      <c r="P70" s="1">
        <f>SUMIFS('フォームの回答 1'!$E:$E,'フォームの回答 1'!$B:$B,P68,'フォームの回答 1'!$H:$H,$A70,'フォームの回答 1'!$F:$F,"Cash")</f>
        <v>6670</v>
      </c>
      <c r="Q70" s="1">
        <f>SUMIFS('フォームの回答 1'!$E:$E,'フォームの回答 1'!$B:$B,Q68,'フォームの回答 1'!$H:$H,$A70,'フォームの回答 1'!$F:$F,"Cash")</f>
        <v>500</v>
      </c>
      <c r="R70" s="1">
        <f>SUMIFS('フォームの回答 1'!$E:$E,'フォームの回答 1'!$B:$B,R68,'フォームの回答 1'!$H:$H,$A70,'フォームの回答 1'!$F:$F,"Cash")</f>
        <v>4136</v>
      </c>
      <c r="S70" s="1">
        <f>SUMIFS('フォームの回答 1'!$E:$E,'フォームの回答 1'!$B:$B,S68,'フォームの回答 1'!$H:$H,$A70,'フォームの回答 1'!$F:$F,"Cash")</f>
        <v>1948</v>
      </c>
      <c r="T70" s="1">
        <f>SUMIFS('フォームの回答 1'!$E:$E,'フォームの回答 1'!$B:$B,T68,'フォームの回答 1'!$H:$H,$A70,'フォームの回答 1'!$F:$F,"Cash")</f>
        <v>440</v>
      </c>
      <c r="U70" s="1">
        <f>SUMIFS('フォームの回答 1'!$E:$E,'フォームの回答 1'!$B:$B,U68,'フォームの回答 1'!$H:$H,$A70,'フォームの回答 1'!$F:$F,"Cash")</f>
        <v>0</v>
      </c>
      <c r="V70" s="1">
        <f>SUMIFS('フォームの回答 1'!$E:$E,'フォームの回答 1'!$B:$B,V68,'フォームの回答 1'!$H:$H,$A70,'フォームの回答 1'!$F:$F,"Cash")</f>
        <v>1950</v>
      </c>
      <c r="W70" s="1">
        <f>SUMIFS('フォームの回答 1'!$E:$E,'フォームの回答 1'!$B:$B,W68,'フォームの回答 1'!$H:$H,$A70,'フォームの回答 1'!$F:$F,"Cash")</f>
        <v>715</v>
      </c>
      <c r="X70" s="1">
        <f>SUMIFS('フォームの回答 1'!$E:$E,'フォームの回答 1'!$B:$B,X68,'フォームの回答 1'!$H:$H,$A70,'フォームの回答 1'!$F:$F,"Cash")</f>
        <v>1347</v>
      </c>
      <c r="Y70" s="1">
        <f>SUMIFS('フォームの回答 1'!$E:$E,'フォームの回答 1'!$B:$B,Y68,'フォームの回答 1'!$H:$H,$A70,'フォームの回答 1'!$F:$F,"Cash")</f>
        <v>1818</v>
      </c>
      <c r="Z70" s="1">
        <f>SUMIFS('フォームの回答 1'!$E:$E,'フォームの回答 1'!$B:$B,Z68,'フォームの回答 1'!$H:$H,$A70,'フォームの回答 1'!$F:$F,"Cash")</f>
        <v>3569</v>
      </c>
      <c r="AA70" s="1">
        <f>SUMIFS('フォームの回答 1'!$E:$E,'フォームの回答 1'!$B:$B,AA68,'フォームの回答 1'!$H:$H,$A70,'フォームの回答 1'!$F:$F,"Cash")</f>
        <v>6914</v>
      </c>
      <c r="AB70" s="1">
        <f>SUMIFS('フォームの回答 1'!$E:$E,'フォームの回答 1'!$B:$B,AB68,'フォームの回答 1'!$H:$H,$A70,'フォームの回答 1'!$F:$F,"Cash")</f>
        <v>50036</v>
      </c>
      <c r="AC70" s="1">
        <f>SUMIFS('フォームの回答 1'!$E:$E,'フォームの回答 1'!$B:$B,AC68,'フォームの回答 1'!$H:$H,$A70,'フォームの回答 1'!$F:$F,"Cash")+AI68</f>
        <v>149530</v>
      </c>
      <c r="AD70" s="1">
        <f>SUMIFS('フォームの回答 1'!$E:$E,'フォームの回答 1'!$B:$B,AD68,'フォームの回答 1'!$H:$H,$A70,'フォームの回答 1'!$F:$F,"Cash")</f>
        <v>4282</v>
      </c>
      <c r="AE70" s="1">
        <f>SUMIFS('フォームの回答 1'!$E:$E,'フォームの回答 1'!$B:$B,AE68,'フォームの回答 1'!$H:$H,$A70,'フォームの回答 1'!$F:$F,"Cash")</f>
        <v>150834</v>
      </c>
      <c r="AF70" s="1">
        <f>SUMIFS('フォームの回答 1'!$E:$E,'フォームの回答 1'!$B:$B,AF68,'フォームの回答 1'!$H:$H,$A70,'フォームの回答 1'!$F:$F,"Cash")</f>
        <v>1985</v>
      </c>
      <c r="AG70" s="1">
        <f>SUMIFS('フォームの回答 1'!$E:$E,'フォームの回答 1'!$B:$B,AG68,'フォームの回答 1'!$H:$H,$A70,'フォームの回答 1'!$F:$F,"Cash")</f>
        <v>2782</v>
      </c>
    </row>
    <row r="71" spans="1:36" ht="13">
      <c r="A71" s="2" t="s">
        <v>32</v>
      </c>
      <c r="C71" s="1">
        <f>AF65+C69-C70</f>
        <v>77245</v>
      </c>
      <c r="D71" s="1">
        <f t="shared" ref="D71:AG71" si="11">C71+D69-D70</f>
        <v>76145</v>
      </c>
      <c r="E71" s="1">
        <f t="shared" si="11"/>
        <v>71715</v>
      </c>
      <c r="F71" s="1">
        <f t="shared" si="11"/>
        <v>71715</v>
      </c>
      <c r="G71" s="1">
        <f t="shared" si="11"/>
        <v>64748</v>
      </c>
      <c r="H71" s="1">
        <f t="shared" si="11"/>
        <v>58034</v>
      </c>
      <c r="I71" s="1">
        <f t="shared" si="11"/>
        <v>57234</v>
      </c>
      <c r="J71" s="1">
        <f t="shared" si="11"/>
        <v>56034</v>
      </c>
      <c r="K71" s="1">
        <f t="shared" si="11"/>
        <v>55034</v>
      </c>
      <c r="L71" s="1">
        <f t="shared" si="11"/>
        <v>53738</v>
      </c>
      <c r="M71" s="1">
        <f t="shared" si="11"/>
        <v>48802</v>
      </c>
      <c r="N71" s="1">
        <f t="shared" si="11"/>
        <v>42022</v>
      </c>
      <c r="O71" s="1">
        <f t="shared" si="11"/>
        <v>29492</v>
      </c>
      <c r="P71" s="1">
        <f t="shared" si="11"/>
        <v>22822</v>
      </c>
      <c r="Q71" s="1">
        <f t="shared" si="11"/>
        <v>22322</v>
      </c>
      <c r="R71" s="1">
        <f t="shared" si="11"/>
        <v>18186</v>
      </c>
      <c r="S71" s="1">
        <f t="shared" si="11"/>
        <v>16238</v>
      </c>
      <c r="T71" s="1">
        <f t="shared" si="11"/>
        <v>15798</v>
      </c>
      <c r="U71" s="1">
        <f t="shared" si="11"/>
        <v>15798</v>
      </c>
      <c r="V71" s="1">
        <f t="shared" si="11"/>
        <v>21648</v>
      </c>
      <c r="W71" s="1">
        <f t="shared" si="11"/>
        <v>20933</v>
      </c>
      <c r="X71" s="1">
        <f t="shared" si="11"/>
        <v>19586</v>
      </c>
      <c r="Y71" s="1">
        <f t="shared" si="11"/>
        <v>17768</v>
      </c>
      <c r="Z71" s="1">
        <f t="shared" si="11"/>
        <v>14199</v>
      </c>
      <c r="AA71" s="1">
        <f t="shared" si="11"/>
        <v>419670</v>
      </c>
      <c r="AB71" s="1">
        <f t="shared" si="11"/>
        <v>369634</v>
      </c>
      <c r="AC71" s="1">
        <f t="shared" si="11"/>
        <v>220104</v>
      </c>
      <c r="AD71" s="1">
        <f t="shared" si="11"/>
        <v>215822</v>
      </c>
      <c r="AE71" s="1">
        <f t="shared" si="11"/>
        <v>64988</v>
      </c>
      <c r="AF71" s="1">
        <f t="shared" si="11"/>
        <v>63003</v>
      </c>
      <c r="AG71" s="1">
        <f t="shared" si="11"/>
        <v>60221</v>
      </c>
    </row>
  </sheetData>
  <mergeCells count="12">
    <mergeCell ref="B31:AF31"/>
    <mergeCell ref="B37:AG37"/>
    <mergeCell ref="B1:AG1"/>
    <mergeCell ref="B7:AD7"/>
    <mergeCell ref="B13:AG13"/>
    <mergeCell ref="B19:AF19"/>
    <mergeCell ref="B25:AG25"/>
    <mergeCell ref="B43:AG43"/>
    <mergeCell ref="B49:AF49"/>
    <mergeCell ref="B55:AG55"/>
    <mergeCell ref="B61:AF61"/>
    <mergeCell ref="B67:AG67"/>
  </mergeCells>
  <phoneticPr fontId="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L71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cols>
    <col min="35" max="35" width="20.33203125" customWidth="1"/>
  </cols>
  <sheetData>
    <row r="1" spans="1:36" ht="15.75" customHeight="1">
      <c r="B1" s="20" t="s">
        <v>54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spans="1:36" ht="15.75" customHeight="1">
      <c r="B2" s="2" t="s">
        <v>29</v>
      </c>
      <c r="C2" s="11">
        <v>46023</v>
      </c>
      <c r="D2" s="11">
        <v>46024</v>
      </c>
      <c r="E2" s="11">
        <v>46025</v>
      </c>
      <c r="F2" s="11">
        <v>46026</v>
      </c>
      <c r="G2" s="11">
        <v>46027</v>
      </c>
      <c r="H2" s="11">
        <v>46028</v>
      </c>
      <c r="I2" s="11">
        <v>46029</v>
      </c>
      <c r="J2" s="11">
        <v>46030</v>
      </c>
      <c r="K2" s="11">
        <v>46031</v>
      </c>
      <c r="L2" s="11">
        <v>46032</v>
      </c>
      <c r="M2" s="11">
        <v>46033</v>
      </c>
      <c r="N2" s="11">
        <v>46034</v>
      </c>
      <c r="O2" s="11">
        <v>46035</v>
      </c>
      <c r="P2" s="11">
        <v>46036</v>
      </c>
      <c r="Q2" s="11">
        <v>46037</v>
      </c>
      <c r="R2" s="11">
        <v>46038</v>
      </c>
      <c r="S2" s="11">
        <v>46039</v>
      </c>
      <c r="T2" s="11">
        <v>46040</v>
      </c>
      <c r="U2" s="11">
        <v>46041</v>
      </c>
      <c r="V2" s="11">
        <v>46042</v>
      </c>
      <c r="W2" s="11">
        <v>46043</v>
      </c>
      <c r="X2" s="11">
        <v>46044</v>
      </c>
      <c r="Y2" s="11">
        <v>46045</v>
      </c>
      <c r="Z2" s="11">
        <v>46046</v>
      </c>
      <c r="AA2" s="11">
        <v>46047</v>
      </c>
      <c r="AB2" s="11">
        <v>46048</v>
      </c>
      <c r="AC2" s="11">
        <v>46049</v>
      </c>
      <c r="AD2" s="11">
        <v>46050</v>
      </c>
      <c r="AE2" s="11">
        <v>46051</v>
      </c>
      <c r="AF2" s="11">
        <v>46052</v>
      </c>
      <c r="AG2" s="11">
        <v>46053</v>
      </c>
      <c r="AI2" s="2" t="s">
        <v>55</v>
      </c>
    </row>
    <row r="3" spans="1:36" ht="15.75" customHeight="1">
      <c r="A3" s="2" t="s">
        <v>34</v>
      </c>
      <c r="B3" s="1">
        <f>SUM(V3:AG3)</f>
        <v>445735</v>
      </c>
      <c r="C3" s="1">
        <f>SUMIFS('フォームの回答 1'!$E:$E,'フォームの回答 1'!$B:$B,C2,'フォームの回答 1'!$H:$H,$A3)</f>
        <v>0</v>
      </c>
      <c r="D3" s="1">
        <f>SUMIFS('フォームの回答 1'!$E:$E,'フォームの回答 1'!$B:$B,D2,'フォームの回答 1'!$H:$H,$A3)</f>
        <v>0</v>
      </c>
      <c r="E3" s="1">
        <f>SUMIFS('フォームの回答 1'!$E:$E,'フォームの回答 1'!$B:$B,E2,'フォームの回答 1'!$H:$H,$A3)</f>
        <v>0</v>
      </c>
      <c r="F3" s="1">
        <f>SUMIFS('フォームの回答 1'!$E:$E,'フォームの回答 1'!$B:$B,F2,'フォームの回答 1'!$H:$H,$A3)</f>
        <v>0</v>
      </c>
      <c r="G3" s="1">
        <f>SUMIFS('フォームの回答 1'!$E:$E,'フォームの回答 1'!$B:$B,G2,'フォームの回答 1'!$H:$H,$A3)</f>
        <v>0</v>
      </c>
      <c r="H3" s="1">
        <f>SUMIFS('フォームの回答 1'!$E:$E,'フォームの回答 1'!$B:$B,H2,'フォームの回答 1'!$H:$H,$A3)</f>
        <v>0</v>
      </c>
      <c r="I3" s="1">
        <f>SUMIFS('フォームの回答 1'!$E:$E,'フォームの回答 1'!$B:$B,I2,'フォームの回答 1'!$H:$H,$A3)</f>
        <v>11680</v>
      </c>
      <c r="J3" s="1">
        <f>SUMIFS('フォームの回答 1'!$E:$E,'フォームの回答 1'!$B:$B,J2,'フォームの回答 1'!$H:$H,$A3)</f>
        <v>0</v>
      </c>
      <c r="K3" s="1">
        <f>SUMIFS('フォームの回答 1'!$E:$E,'フォームの回答 1'!$B:$B,K2,'フォームの回答 1'!$H:$H,$A3)</f>
        <v>0</v>
      </c>
      <c r="L3" s="1">
        <f>SUMIFS('フォームの回答 1'!$E:$E,'フォームの回答 1'!$B:$B,L2,'フォームの回答 1'!$H:$H,$A3)</f>
        <v>0</v>
      </c>
      <c r="M3" s="1">
        <f>SUMIFS('フォームの回答 1'!$E:$E,'フォームの回答 1'!$B:$B,M2,'フォームの回答 1'!$H:$H,$A3)</f>
        <v>0</v>
      </c>
      <c r="N3" s="1">
        <f>SUMIFS('フォームの回答 1'!$E:$E,'フォームの回答 1'!$B:$B,N2,'フォームの回答 1'!$H:$H,$A3)</f>
        <v>0</v>
      </c>
      <c r="O3" s="1">
        <f>SUMIFS('フォームの回答 1'!$E:$E,'フォームの回答 1'!$B:$B,O2,'フォームの回答 1'!$H:$H,$A3)</f>
        <v>0</v>
      </c>
      <c r="P3" s="1">
        <f>SUMIFS('フォームの回答 1'!$E:$E,'フォームの回答 1'!$B:$B,P2,'フォームの回答 1'!$H:$H,$A3)</f>
        <v>0</v>
      </c>
      <c r="Q3" s="1">
        <f>SUMIFS('フォームの回答 1'!$E:$E,'フォームの回答 1'!$B:$B,Q2,'フォームの回答 1'!$H:$H,$A3)</f>
        <v>0</v>
      </c>
      <c r="R3" s="1">
        <f>SUMIFS('フォームの回答 1'!$E:$E,'フォームの回答 1'!$B:$B,R2,'フォームの回答 1'!$H:$H,$A3)</f>
        <v>0</v>
      </c>
      <c r="S3" s="1">
        <f>SUMIFS('フォームの回答 1'!$E:$E,'フォームの回答 1'!$B:$B,S2,'フォームの回答 1'!$H:$H,$A3)</f>
        <v>0</v>
      </c>
      <c r="T3" s="1">
        <f>SUMIFS('フォームの回答 1'!$E:$E,'フォームの回答 1'!$B:$B,T2,'フォームの回答 1'!$H:$H,$A3)</f>
        <v>0</v>
      </c>
      <c r="U3" s="1">
        <f>SUMIFS('フォームの回答 1'!$E:$E,'フォームの回答 1'!$B:$B,U2,'フォームの回答 1'!$H:$H,$A3)</f>
        <v>0</v>
      </c>
      <c r="V3" s="1">
        <f>SUMIFS('フォームの回答 1'!$E:$E,'フォームの回答 1'!$B:$B,V2,'フォームの回答 1'!$H:$H,$A3)</f>
        <v>0</v>
      </c>
      <c r="W3" s="1">
        <f>SUMIFS('フォームの回答 1'!$E:$E,'フォームの回答 1'!$B:$B,W2,'フォームの回答 1'!$H:$H,$A3)</f>
        <v>0</v>
      </c>
      <c r="X3" s="1">
        <f>SUMIFS('フォームの回答 1'!$E:$E,'フォームの回答 1'!$B:$B,X2,'フォームの回答 1'!$H:$H,$A3)</f>
        <v>0</v>
      </c>
      <c r="Y3" s="1">
        <f>SUMIFS('フォームの回答 1'!$E:$E,'フォームの回答 1'!$B:$B,Y2,'フォームの回答 1'!$H:$H,$A3)</f>
        <v>376635</v>
      </c>
      <c r="Z3" s="1">
        <f>SUMIFS('フォームの回答 1'!$E:$E,'フォームの回答 1'!$B:$B,Z2,'フォームの回答 1'!$H:$H,$A3)</f>
        <v>0</v>
      </c>
      <c r="AA3" s="1">
        <f>SUMIFS('フォームの回答 1'!$E:$E,'フォームの回答 1'!$B:$B,AA2,'フォームの回答 1'!$H:$H,$A3)</f>
        <v>0</v>
      </c>
      <c r="AB3" s="1">
        <f>SUMIFS('フォームの回答 1'!$E:$E,'フォームの回答 1'!$B:$B,AB2,'フォームの回答 1'!$H:$H,$A3)</f>
        <v>0</v>
      </c>
      <c r="AC3" s="1">
        <f>SUMIFS('フォームの回答 1'!$E:$E,'フォームの回答 1'!$B:$B,AC2,'フォームの回答 1'!$H:$H,$A3)</f>
        <v>55000</v>
      </c>
      <c r="AD3" s="1">
        <f>SUMIFS('フォームの回答 1'!$E:$E,'フォームの回答 1'!$B:$B,AD2,'フォームの回答 1'!$H:$H,$A3)</f>
        <v>0</v>
      </c>
      <c r="AE3" s="1">
        <f>SUMIFS('フォームの回答 1'!$E:$E,'フォームの回答 1'!$B:$B,AE2,'フォームの回答 1'!$H:$H,$A3)</f>
        <v>0</v>
      </c>
      <c r="AF3" s="1">
        <f>SUMIFS('フォームの回答 1'!$E:$E,'フォームの回答 1'!$B:$B,AF2,'フォームの回答 1'!$H:$H,$A3)</f>
        <v>0</v>
      </c>
      <c r="AG3" s="1">
        <f>SUMIFS('フォームの回答 1'!$E:$E,'フォームの回答 1'!$B:$B,AG2,'フォームの回答 1'!$H:$H,$A3)</f>
        <v>14100</v>
      </c>
      <c r="AI3" s="1">
        <f>178501</f>
        <v>178501</v>
      </c>
    </row>
    <row r="4" spans="1:36" ht="15.75" customHeight="1">
      <c r="A4" s="2" t="s">
        <v>35</v>
      </c>
      <c r="B4" s="1">
        <f>SUM(V4:AG4)</f>
        <v>402491</v>
      </c>
      <c r="C4" s="1">
        <f>SUMIFS('フォームの回答 1'!$E:$E,'フォームの回答 1'!$B:$B,C2,'フォームの回答 1'!$H:$H,$A4,'フォームの回答 1'!$F:$F,"Cash")</f>
        <v>2067</v>
      </c>
      <c r="D4" s="1">
        <f>SUMIFS('フォームの回答 1'!$E:$E,'フォームの回答 1'!$B:$B,D2,'フォームの回答 1'!$H:$H,$A4,'フォームの回答 1'!$F:$F,"Cash")</f>
        <v>5372</v>
      </c>
      <c r="E4" s="1">
        <f>SUMIFS('フォームの回答 1'!$E:$E,'フォームの回答 1'!$B:$B,E2,'フォームの回答 1'!$H:$H,$A4,'フォームの回答 1'!$F:$F,"Cash")</f>
        <v>2790</v>
      </c>
      <c r="F4" s="1">
        <f>SUMIFS('フォームの回答 1'!$E:$E,'フォームの回答 1'!$B:$B,F2,'フォームの回答 1'!$H:$H,$A4,'フォームの回答 1'!$F:$F,"Cash")</f>
        <v>7492</v>
      </c>
      <c r="G4" s="1">
        <f>SUMIFS('フォームの回答 1'!$E:$E,'フォームの回答 1'!$B:$B,G2,'フォームの回答 1'!$H:$H,$A4,'フォームの回答 1'!$F:$F,"Cash")</f>
        <v>2399</v>
      </c>
      <c r="H4" s="1">
        <f>SUMIFS('フォームの回答 1'!$E:$E,'フォームの回答 1'!$B:$B,H2,'フォームの回答 1'!$H:$H,$A4,'フォームの回答 1'!$F:$F,"Cash")</f>
        <v>1733</v>
      </c>
      <c r="I4" s="1">
        <f>SUMIFS('フォームの回答 1'!$E:$E,'フォームの回答 1'!$B:$B,I2,'フォームの回答 1'!$H:$H,$A4,'フォームの回答 1'!$F:$F,"Cash")</f>
        <v>7089</v>
      </c>
      <c r="J4" s="1">
        <f>SUMIFS('フォームの回答 1'!$E:$E,'フォームの回答 1'!$B:$B,J2,'フォームの回答 1'!$H:$H,$A4,'フォームの回答 1'!$F:$F,"Cash")</f>
        <v>1589</v>
      </c>
      <c r="K4" s="1">
        <f>SUMIFS('フォームの回答 1'!$E:$E,'フォームの回答 1'!$B:$B,K2,'フォームの回答 1'!$H:$H,$A4,'フォームの回答 1'!$F:$F,"Cash")</f>
        <v>4928</v>
      </c>
      <c r="L4" s="1">
        <f>SUMIFS('フォームの回答 1'!$E:$E,'フォームの回答 1'!$B:$B,L2,'フォームの回答 1'!$H:$H,$A4,'フォームの回答 1'!$F:$F,"Cash")</f>
        <v>2252</v>
      </c>
      <c r="M4" s="1">
        <f>SUMIFS('フォームの回答 1'!$E:$E,'フォームの回答 1'!$B:$B,M2,'フォームの回答 1'!$H:$H,$A4,'フォームの回答 1'!$F:$F,"Cash")</f>
        <v>9376</v>
      </c>
      <c r="N4" s="1">
        <f>SUMIFS('フォームの回答 1'!$E:$E,'フォームの回答 1'!$B:$B,N2,'フォームの回答 1'!$H:$H,$A4,'フォームの回答 1'!$F:$F,"Cash")</f>
        <v>0</v>
      </c>
      <c r="O4" s="1">
        <f>SUMIFS('フォームの回答 1'!$E:$E,'フォームの回答 1'!$B:$B,O2,'フォームの回答 1'!$H:$H,$A4,'フォームの回答 1'!$F:$F,"Cash")</f>
        <v>0</v>
      </c>
      <c r="P4" s="1">
        <f>SUMIFS('フォームの回答 1'!$E:$E,'フォームの回答 1'!$B:$B,P2,'フォームの回答 1'!$H:$H,$A4,'フォームの回答 1'!$F:$F,"Cash")</f>
        <v>0</v>
      </c>
      <c r="Q4" s="1">
        <f>SUMIFS('フォームの回答 1'!$E:$E,'フォームの回答 1'!$B:$B,Q2,'フォームの回答 1'!$H:$H,$A4,'フォームの回答 1'!$F:$F,"Cash")</f>
        <v>1215</v>
      </c>
      <c r="R4" s="1">
        <f>SUMIFS('フォームの回答 1'!$E:$E,'フォームの回答 1'!$B:$B,R2,'フォームの回答 1'!$H:$H,$A4,'フォームの回答 1'!$F:$F,"Cash")</f>
        <v>999</v>
      </c>
      <c r="S4" s="1">
        <f>SUMIFS('フォームの回答 1'!$E:$E,'フォームの回答 1'!$B:$B,S2,'フォームの回答 1'!$H:$H,$A4,'フォームの回答 1'!$F:$F,"Cash")</f>
        <v>5044</v>
      </c>
      <c r="T4" s="1">
        <f>SUMIFS('フォームの回答 1'!$E:$E,'フォームの回答 1'!$B:$B,T2,'フォームの回答 1'!$H:$H,$A4,'フォームの回答 1'!$F:$F,"Cash")</f>
        <v>760</v>
      </c>
      <c r="U4" s="1">
        <f>SUMIFS('フォームの回答 1'!$E:$E,'フォームの回答 1'!$B:$B,U2,'フォームの回答 1'!$H:$H,$A4,'フォームの回答 1'!$F:$F,"Cash")</f>
        <v>2771</v>
      </c>
      <c r="V4" s="1">
        <f>SUMIFS('フォームの回答 1'!$E:$E,'フォームの回答 1'!$B:$B,V2,'フォームの回答 1'!$H:$H,$A4,'フォームの回答 1'!$F:$F,"Cash")</f>
        <v>0</v>
      </c>
      <c r="W4" s="1">
        <f>SUMIFS('フォームの回答 1'!$E:$E,'フォームの回答 1'!$B:$B,W2,'フォームの回答 1'!$H:$H,$A4,'フォームの回答 1'!$F:$F,"Cash")</f>
        <v>1740</v>
      </c>
      <c r="X4" s="1">
        <f>SUMIFS('フォームの回答 1'!$E:$E,'フォームの回答 1'!$B:$B,X2,'フォームの回答 1'!$H:$H,$A4,'フォームの回答 1'!$F:$F,"Cash")</f>
        <v>1100</v>
      </c>
      <c r="Y4" s="1">
        <f>SUMIFS('フォームの回答 1'!$E:$E,'フォームの回答 1'!$B:$B,Y2,'フォームの回答 1'!$H:$H,$A4,'フォームの回答 1'!$F:$F,"Cash")</f>
        <v>2070</v>
      </c>
      <c r="Z4" s="1">
        <f>SUMIFS('フォームの回答 1'!$E:$E,'フォームの回答 1'!$B:$B,Z2,'フォームの回答 1'!$H:$H,$A4,'フォームの回答 1'!$F:$F,"Cash")</f>
        <v>8380</v>
      </c>
      <c r="AA4" s="1">
        <f>SUMIFS('フォームの回答 1'!$E:$E,'フォームの回答 1'!$B:$B,AA2,'フォームの回答 1'!$H:$H,$A4,'フォームの回答 1'!$F:$F,"Cash")</f>
        <v>4588</v>
      </c>
      <c r="AB4" s="1">
        <f>SUMIFS('フォームの回答 1'!$E:$E,'フォームの回答 1'!$B:$B,AB2,'フォームの回答 1'!$H:$H,$A4,'フォームの回答 1'!$F:$F,"Cash")</f>
        <v>41200</v>
      </c>
      <c r="AC4" s="1">
        <f>SUMIFS('フォームの回答 1'!$E:$E,'フォームの回答 1'!$B:$B,AC2,'フォームの回答 1'!$H:$H,$A4,'フォームの回答 1'!$F:$F,"Cash")+AI3</f>
        <v>328101</v>
      </c>
      <c r="AD4" s="1">
        <f>SUMIFS('フォームの回答 1'!$E:$E,'フォームの回答 1'!$B:$B,AD2,'フォームの回答 1'!$H:$H,$A4,'フォームの回答 1'!$F:$F,"Cash")</f>
        <v>2500</v>
      </c>
      <c r="AE4" s="1">
        <f>SUMIFS('フォームの回答 1'!$E:$E,'フォームの回答 1'!$B:$B,AE2,'フォームの回答 1'!$H:$H,$A4,'フォームの回答 1'!$F:$F,"Cash")</f>
        <v>1800</v>
      </c>
      <c r="AF4" s="1">
        <f>SUMIFS('フォームの回答 1'!$E:$E,'フォームの回答 1'!$B:$B,AF2,'フォームの回答 1'!$H:$H,$A4,'フォームの回答 1'!$F:$F,"Cash")</f>
        <v>172</v>
      </c>
      <c r="AG4" s="1">
        <f>SUMIFS('フォームの回答 1'!$E:$E,'フォームの回答 1'!$B:$B,AG2,'フォームの回答 1'!$H:$H,$A4,'フォームの回答 1'!$F:$F,"Cash")</f>
        <v>10840</v>
      </c>
      <c r="AJ4" s="1"/>
    </row>
    <row r="5" spans="1:36" ht="15.75" customHeight="1">
      <c r="A5" s="2" t="s">
        <v>32</v>
      </c>
      <c r="C5" s="1">
        <f>【Daily】2025年!AG71+C3-C4</f>
        <v>58154</v>
      </c>
      <c r="D5" s="1">
        <f t="shared" ref="D5:AG5" si="0">C5+D3-D4</f>
        <v>52782</v>
      </c>
      <c r="E5" s="1">
        <f t="shared" si="0"/>
        <v>49992</v>
      </c>
      <c r="F5" s="1">
        <f t="shared" si="0"/>
        <v>42500</v>
      </c>
      <c r="G5" s="1">
        <f t="shared" si="0"/>
        <v>40101</v>
      </c>
      <c r="H5" s="1">
        <f t="shared" si="0"/>
        <v>38368</v>
      </c>
      <c r="I5" s="1">
        <f t="shared" si="0"/>
        <v>42959</v>
      </c>
      <c r="J5" s="1">
        <f t="shared" si="0"/>
        <v>41370</v>
      </c>
      <c r="K5" s="1">
        <f t="shared" si="0"/>
        <v>36442</v>
      </c>
      <c r="L5" s="1">
        <f t="shared" si="0"/>
        <v>34190</v>
      </c>
      <c r="M5" s="1">
        <f t="shared" si="0"/>
        <v>24814</v>
      </c>
      <c r="N5" s="1">
        <f t="shared" si="0"/>
        <v>24814</v>
      </c>
      <c r="O5" s="1">
        <f t="shared" si="0"/>
        <v>24814</v>
      </c>
      <c r="P5" s="1">
        <f t="shared" si="0"/>
        <v>24814</v>
      </c>
      <c r="Q5" s="1">
        <f t="shared" si="0"/>
        <v>23599</v>
      </c>
      <c r="R5" s="1">
        <f t="shared" si="0"/>
        <v>22600</v>
      </c>
      <c r="S5" s="1">
        <f t="shared" si="0"/>
        <v>17556</v>
      </c>
      <c r="T5" s="1">
        <f t="shared" si="0"/>
        <v>16796</v>
      </c>
      <c r="U5" s="1">
        <f t="shared" si="0"/>
        <v>14025</v>
      </c>
      <c r="V5" s="1">
        <f t="shared" si="0"/>
        <v>14025</v>
      </c>
      <c r="W5" s="1">
        <f t="shared" si="0"/>
        <v>12285</v>
      </c>
      <c r="X5" s="1">
        <f t="shared" si="0"/>
        <v>11185</v>
      </c>
      <c r="Y5" s="1">
        <f t="shared" si="0"/>
        <v>385750</v>
      </c>
      <c r="Z5" s="1">
        <f t="shared" si="0"/>
        <v>377370</v>
      </c>
      <c r="AA5" s="1">
        <f t="shared" si="0"/>
        <v>372782</v>
      </c>
      <c r="AB5" s="1">
        <f t="shared" si="0"/>
        <v>331582</v>
      </c>
      <c r="AC5" s="1">
        <f t="shared" si="0"/>
        <v>58481</v>
      </c>
      <c r="AD5" s="1">
        <f t="shared" si="0"/>
        <v>55981</v>
      </c>
      <c r="AE5" s="1">
        <f t="shared" si="0"/>
        <v>54181</v>
      </c>
      <c r="AF5" s="1">
        <f t="shared" si="0"/>
        <v>54009</v>
      </c>
      <c r="AG5" s="1">
        <f t="shared" si="0"/>
        <v>57269</v>
      </c>
      <c r="AJ5" s="1"/>
    </row>
    <row r="7" spans="1:36" ht="15.75" customHeight="1">
      <c r="B7" s="20" t="s">
        <v>56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12"/>
      <c r="AF7" s="12"/>
      <c r="AG7" s="12"/>
    </row>
    <row r="8" spans="1:36" ht="15.75" customHeight="1">
      <c r="B8" s="2" t="s">
        <v>29</v>
      </c>
      <c r="C8" s="11">
        <v>46054</v>
      </c>
      <c r="D8" s="11">
        <v>46055</v>
      </c>
      <c r="E8" s="11">
        <v>46056</v>
      </c>
      <c r="F8" s="11">
        <v>46057</v>
      </c>
      <c r="G8" s="11">
        <v>46058</v>
      </c>
      <c r="H8" s="11">
        <v>46059</v>
      </c>
      <c r="I8" s="11">
        <v>46060</v>
      </c>
      <c r="J8" s="11">
        <v>46061</v>
      </c>
      <c r="K8" s="11">
        <v>46062</v>
      </c>
      <c r="L8" s="11">
        <v>46063</v>
      </c>
      <c r="M8" s="11">
        <v>46064</v>
      </c>
      <c r="N8" s="11">
        <v>46065</v>
      </c>
      <c r="O8" s="11">
        <v>46066</v>
      </c>
      <c r="P8" s="11">
        <v>46067</v>
      </c>
      <c r="Q8" s="11">
        <v>46068</v>
      </c>
      <c r="R8" s="11">
        <v>46069</v>
      </c>
      <c r="S8" s="11">
        <v>46070</v>
      </c>
      <c r="T8" s="11">
        <v>46071</v>
      </c>
      <c r="U8" s="11">
        <v>46072</v>
      </c>
      <c r="V8" s="11">
        <v>46073</v>
      </c>
      <c r="W8" s="11">
        <v>46074</v>
      </c>
      <c r="X8" s="11">
        <v>46075</v>
      </c>
      <c r="Y8" s="11">
        <v>46076</v>
      </c>
      <c r="Z8" s="11">
        <v>46077</v>
      </c>
      <c r="AA8" s="11">
        <v>46078</v>
      </c>
      <c r="AB8" s="11">
        <v>46079</v>
      </c>
      <c r="AC8" s="11">
        <v>46080</v>
      </c>
      <c r="AD8" s="11">
        <v>46081</v>
      </c>
      <c r="AE8" s="11"/>
      <c r="AF8" s="11"/>
      <c r="AG8" s="11"/>
      <c r="AI8" s="2" t="s">
        <v>57</v>
      </c>
    </row>
    <row r="9" spans="1:36" ht="15.75" customHeight="1">
      <c r="A9" s="2" t="s">
        <v>34</v>
      </c>
      <c r="B9" s="1">
        <f>SUM(V9:AG9)</f>
        <v>403979</v>
      </c>
      <c r="C9" s="1">
        <f>SUMIFS('フォームの回答 1'!$E:$E,'フォームの回答 1'!$B:$B,C8,'フォームの回答 1'!$H:$H,$A9)</f>
        <v>6500</v>
      </c>
      <c r="D9" s="1">
        <f>SUMIFS('フォームの回答 1'!$E:$E,'フォームの回答 1'!$B:$B,D8,'フォームの回答 1'!$H:$H,$A9)</f>
        <v>0</v>
      </c>
      <c r="E9" s="1">
        <f>SUMIFS('フォームの回答 1'!$E:$E,'フォームの回答 1'!$B:$B,E8,'フォームの回答 1'!$H:$H,$A9)</f>
        <v>0</v>
      </c>
      <c r="F9" s="1">
        <f>SUMIFS('フォームの回答 1'!$E:$E,'フォームの回答 1'!$B:$B,F8,'フォームの回答 1'!$H:$H,$A9)</f>
        <v>7000</v>
      </c>
      <c r="G9" s="1">
        <f>SUMIFS('フォームの回答 1'!$E:$E,'フォームの回答 1'!$B:$B,G8,'フォームの回答 1'!$H:$H,$A9)</f>
        <v>8400</v>
      </c>
      <c r="H9" s="1">
        <f>SUMIFS('フォームの回答 1'!$E:$E,'フォームの回答 1'!$B:$B,H8,'フォームの回答 1'!$H:$H,$A9)</f>
        <v>0</v>
      </c>
      <c r="I9" s="1">
        <f>SUMIFS('フォームの回答 1'!$E:$E,'フォームの回答 1'!$B:$B,I8,'フォームの回答 1'!$H:$H,$A9)</f>
        <v>0</v>
      </c>
      <c r="J9" s="1">
        <f>SUMIFS('フォームの回答 1'!$E:$E,'フォームの回答 1'!$B:$B,J8,'フォームの回答 1'!$H:$H,$A9)</f>
        <v>0</v>
      </c>
      <c r="K9" s="1">
        <f>SUMIFS('フォームの回答 1'!$E:$E,'フォームの回答 1'!$B:$B,K8,'フォームの回答 1'!$H:$H,$A9)</f>
        <v>0</v>
      </c>
      <c r="L9" s="1">
        <f>SUMIFS('フォームの回答 1'!$E:$E,'フォームの回答 1'!$B:$B,L8,'フォームの回答 1'!$H:$H,$A9)</f>
        <v>0</v>
      </c>
      <c r="M9" s="1">
        <f>SUMIFS('フォームの回答 1'!$E:$E,'フォームの回答 1'!$B:$B,M8,'フォームの回答 1'!$H:$H,$A9)</f>
        <v>0</v>
      </c>
      <c r="N9" s="1">
        <f>SUMIFS('フォームの回答 1'!$E:$E,'フォームの回答 1'!$B:$B,N8,'フォームの回答 1'!$H:$H,$A9)</f>
        <v>0</v>
      </c>
      <c r="O9" s="1">
        <f>SUMIFS('フォームの回答 1'!$E:$E,'フォームの回答 1'!$B:$B,O8,'フォームの回答 1'!$H:$H,$A9)</f>
        <v>0</v>
      </c>
      <c r="P9" s="1">
        <f>SUMIFS('フォームの回答 1'!$E:$E,'フォームの回答 1'!$B:$B,P8,'フォームの回答 1'!$H:$H,$A9)</f>
        <v>0</v>
      </c>
      <c r="Q9" s="1">
        <f>SUMIFS('フォームの回答 1'!$E:$E,'フォームの回答 1'!$B:$B,Q8,'フォームの回答 1'!$H:$H,$A9)</f>
        <v>0</v>
      </c>
      <c r="R9" s="1">
        <f>SUMIFS('フォームの回答 1'!$E:$E,'フォームの回答 1'!$B:$B,R8,'フォームの回答 1'!$H:$H,$A9)</f>
        <v>0</v>
      </c>
      <c r="S9" s="1">
        <f>SUMIFS('フォームの回答 1'!$E:$E,'フォームの回答 1'!$B:$B,S8,'フォームの回答 1'!$H:$H,$A9)</f>
        <v>0</v>
      </c>
      <c r="T9" s="1">
        <f>SUMIFS('フォームの回答 1'!$E:$E,'フォームの回答 1'!$B:$B,T8,'フォームの回答 1'!$H:$H,$A9)</f>
        <v>0</v>
      </c>
      <c r="U9" s="1">
        <f>SUMIFS('フォームの回答 1'!$E:$E,'フォームの回答 1'!$B:$B,U8,'フォームの回答 1'!$H:$H,$A9)</f>
        <v>0</v>
      </c>
      <c r="V9" s="1">
        <f>SUMIFS('フォームの回答 1'!$E:$E,'フォームの回答 1'!$B:$B,V8,'フォームの回答 1'!$H:$H,$A9)+AJ11</f>
        <v>7000</v>
      </c>
      <c r="W9" s="1">
        <f>SUMIFS('フォームの回答 1'!$E:$E,'フォームの回答 1'!$B:$B,W8,'フォームの回答 1'!$H:$H,$A9)</f>
        <v>0</v>
      </c>
      <c r="X9" s="1">
        <f>SUMIFS('フォームの回答 1'!$E:$E,'フォームの回答 1'!$B:$B,X8,'フォームの回答 1'!$H:$H,$A9)</f>
        <v>0</v>
      </c>
      <c r="Y9" s="1">
        <f>SUMIFS('フォームの回答 1'!$E:$E,'フォームの回答 1'!$B:$B,Y8,'フォームの回答 1'!$H:$H,$A9)</f>
        <v>0</v>
      </c>
      <c r="Z9" s="1">
        <f>SUMIFS('フォームの回答 1'!$E:$E,'フォームの回答 1'!$B:$B,Z8,'フォームの回答 1'!$H:$H,$A9)</f>
        <v>0</v>
      </c>
      <c r="AA9" s="1">
        <f>SUMIFS('フォームの回答 1'!$E:$E,'フォームの回答 1'!$B:$B,AA8,'フォームの回答 1'!$H:$H,$A9)</f>
        <v>391979</v>
      </c>
      <c r="AB9" s="1">
        <f>SUMIFS('フォームの回答 1'!$E:$E,'フォームの回答 1'!$B:$B,AB8,'フォームの回答 1'!$H:$H,$A9)</f>
        <v>5000</v>
      </c>
      <c r="AC9" s="1">
        <f>SUMIFS('フォームの回答 1'!$E:$E,'フォームの回答 1'!$B:$B,AC8,'フォームの回答 1'!$H:$H,$A9)</f>
        <v>0</v>
      </c>
      <c r="AD9" s="1">
        <f>SUMIFS('フォームの回答 1'!$E:$E,'フォームの回答 1'!$B:$B,AD8,'フォームの回答 1'!$H:$H,$A9)</f>
        <v>0</v>
      </c>
      <c r="AE9" s="1"/>
      <c r="AF9" s="1"/>
      <c r="AG9" s="1"/>
      <c r="AI9" s="1">
        <v>139163</v>
      </c>
    </row>
    <row r="10" spans="1:36" ht="15.75" customHeight="1">
      <c r="A10" s="2" t="s">
        <v>35</v>
      </c>
      <c r="B10" s="1">
        <f>SUM(V10:AG10)</f>
        <v>349039</v>
      </c>
      <c r="C10" s="1">
        <f>SUMIFS('フォームの回答 1'!$E:$E,'フォームの回答 1'!$B:$B,C8,'フォームの回答 1'!$H:$H,$A10,'フォームの回答 1'!$F:$F,"Cash")</f>
        <v>1280</v>
      </c>
      <c r="D10" s="1">
        <f>SUMIFS('フォームの回答 1'!$E:$E,'フォームの回答 1'!$B:$B,D8,'フォームの回答 1'!$H:$H,$A10,'フォームの回答 1'!$F:$F,"Cash")</f>
        <v>3617</v>
      </c>
      <c r="E10" s="1">
        <f>SUMIFS('フォームの回答 1'!$E:$E,'フォームの回答 1'!$B:$B,E8,'フォームの回答 1'!$H:$H,$A10,'フォームの回答 1'!$F:$F,"Cash")</f>
        <v>1166</v>
      </c>
      <c r="F10" s="1">
        <f>SUMIFS('フォームの回答 1'!$E:$E,'フォームの回答 1'!$B:$B,F8,'フォームの回答 1'!$H:$H,$A10,'フォームの回答 1'!$F:$F,"Cash")</f>
        <v>16916</v>
      </c>
      <c r="G10" s="1">
        <f>SUMIFS('フォームの回答 1'!$E:$E,'フォームの回答 1'!$B:$B,G8,'フォームの回答 1'!$H:$H,$A10,'フォームの回答 1'!$F:$F,"Cash")</f>
        <v>1517</v>
      </c>
      <c r="H10" s="1">
        <f>SUMIFS('フォームの回答 1'!$E:$E,'フォームの回答 1'!$B:$B,H8,'フォームの回答 1'!$H:$H,$A10,'フォームの回答 1'!$F:$F,"Cash")</f>
        <v>1284</v>
      </c>
      <c r="I10" s="1">
        <f>SUMIFS('フォームの回答 1'!$E:$E,'フォームの回答 1'!$B:$B,I8,'フォームの回答 1'!$H:$H,$A10,'フォームの回答 1'!$F:$F,"Cash")</f>
        <v>3271</v>
      </c>
      <c r="J10" s="1">
        <f>SUMIFS('フォームの回答 1'!$E:$E,'フォームの回答 1'!$B:$B,J8,'フォームの回答 1'!$H:$H,$A10,'フォームの回答 1'!$F:$F,"Cash")</f>
        <v>678</v>
      </c>
      <c r="K10" s="1">
        <f>SUMIFS('フォームの回答 1'!$E:$E,'フォームの回答 1'!$B:$B,K8,'フォームの回答 1'!$H:$H,$A10,'フォームの回答 1'!$F:$F,"Cash")</f>
        <v>0</v>
      </c>
      <c r="L10" s="1">
        <f>SUMIFS('フォームの回答 1'!$E:$E,'フォームの回答 1'!$B:$B,L8,'フォームの回答 1'!$H:$H,$A10,'フォームの回答 1'!$F:$F,"Cash")</f>
        <v>0</v>
      </c>
      <c r="M10" s="1">
        <f>SUMIFS('フォームの回答 1'!$E:$E,'フォームの回答 1'!$B:$B,M8,'フォームの回答 1'!$H:$H,$A10,'フォームの回答 1'!$F:$F,"Cash")</f>
        <v>16333</v>
      </c>
      <c r="N10" s="1">
        <f>SUMIFS('フォームの回答 1'!$E:$E,'フォームの回答 1'!$B:$B,N8,'フォームの回答 1'!$H:$H,$A10,'フォームの回答 1'!$F:$F,"Cash")</f>
        <v>178</v>
      </c>
      <c r="O10" s="1">
        <f>SUMIFS('フォームの回答 1'!$E:$E,'フォームの回答 1'!$B:$B,O8,'フォームの回答 1'!$H:$H,$A10,'フォームの回答 1'!$F:$F,"Cash")</f>
        <v>1388</v>
      </c>
      <c r="P10" s="1">
        <f>SUMIFS('フォームの回答 1'!$E:$E,'フォームの回答 1'!$B:$B,P8,'フォームの回答 1'!$H:$H,$A10,'フォームの回答 1'!$F:$F,"Cash")</f>
        <v>2351</v>
      </c>
      <c r="Q10" s="1">
        <f>SUMIFS('フォームの回答 1'!$E:$E,'フォームの回答 1'!$B:$B,Q8,'フォームの回答 1'!$H:$H,$A10,'フォームの回答 1'!$F:$F,"Cash")</f>
        <v>1140</v>
      </c>
      <c r="R10" s="1">
        <f>SUMIFS('フォームの回答 1'!$E:$E,'フォームの回答 1'!$B:$B,R8,'フォームの回答 1'!$H:$H,$A10,'フォームの回答 1'!$F:$F,"Cash")</f>
        <v>7347</v>
      </c>
      <c r="S10" s="1">
        <f>SUMIFS('フォームの回答 1'!$E:$E,'フォームの回答 1'!$B:$B,S8,'フォームの回答 1'!$H:$H,$A10,'フォームの回答 1'!$F:$F,"Cash")</f>
        <v>0</v>
      </c>
      <c r="T10" s="1">
        <f>SUMIFS('フォームの回答 1'!$E:$E,'フォームの回答 1'!$B:$B,T8,'フォームの回答 1'!$H:$H,$A10,'フォームの回答 1'!$F:$F,"Cash")</f>
        <v>4928</v>
      </c>
      <c r="U10" s="1">
        <f>SUMIFS('フォームの回答 1'!$E:$E,'フォームの回答 1'!$B:$B,U8,'フォームの回答 1'!$H:$H,$A10,'フォームの回答 1'!$F:$F,"Cash")</f>
        <v>1706</v>
      </c>
      <c r="V10" s="1">
        <f>SUMIFS('フォームの回答 1'!$E:$E,'フォームの回答 1'!$B:$B,V8,'フォームの回答 1'!$H:$H,$A10,'フォームの回答 1'!$F:$F,"Cash")</f>
        <v>792</v>
      </c>
      <c r="W10" s="1">
        <f>SUMIFS('フォームの回答 1'!$E:$E,'フォームの回答 1'!$B:$B,W8,'フォームの回答 1'!$H:$H,$A10,'フォームの回答 1'!$F:$F,"Cash")</f>
        <v>3097</v>
      </c>
      <c r="X10" s="1">
        <f>SUMIFS('フォームの回答 1'!$E:$E,'フォームの回答 1'!$B:$B,X8,'フォームの回答 1'!$H:$H,$A10,'フォームの回答 1'!$F:$F,"Cash")</f>
        <v>2502</v>
      </c>
      <c r="Y10" s="1">
        <f>SUMIFS('フォームの回答 1'!$E:$E,'フォームの回答 1'!$B:$B,Y8,'フォームの回答 1'!$H:$H,$A10,'フォームの回答 1'!$F:$F,"Cash")</f>
        <v>2404</v>
      </c>
      <c r="Z10" s="1">
        <f>SUMIFS('フォームの回答 1'!$E:$E,'フォームの回答 1'!$B:$B,Z8,'フォームの回答 1'!$H:$H,$A10,'フォームの回答 1'!$F:$F,"Cash")</f>
        <v>0</v>
      </c>
      <c r="AA10" s="1">
        <f>SUMIFS('フォームの回答 1'!$E:$E,'フォームの回答 1'!$B:$B,AA8,'フォームの回答 1'!$H:$H,$A10,'フォームの回答 1'!$F:$F,"Cash")</f>
        <v>178</v>
      </c>
      <c r="AB10" s="1">
        <f>SUMIFS('フォームの回答 1'!$E:$E,'フォームの回答 1'!$B:$B,AB8,'フォームの回答 1'!$H:$H,$A10,'フォームの回答 1'!$F:$F,"Cash")</f>
        <v>40670</v>
      </c>
      <c r="AC10" s="1">
        <f>SUMIFS('フォームの回答 1'!$E:$E,'フォームの回答 1'!$B:$B,AC8,'フォームの回答 1'!$H:$H,$A10,'フォームの回答 1'!$F:$F,"Cash")+AI9</f>
        <v>295443</v>
      </c>
      <c r="AD10" s="1">
        <f>SUMIFS('フォームの回答 1'!$E:$E,'フォームの回答 1'!$B:$B,AD8,'フォームの回答 1'!$H:$H,$A10,'フォームの回答 1'!$F:$F,"Cash")</f>
        <v>3953</v>
      </c>
      <c r="AE10" s="1"/>
      <c r="AF10" s="1"/>
      <c r="AG10" s="1"/>
    </row>
    <row r="11" spans="1:36" ht="15.75" customHeight="1">
      <c r="A11" s="2" t="s">
        <v>32</v>
      </c>
      <c r="C11" s="1">
        <f>AG5+C9-C10</f>
        <v>62489</v>
      </c>
      <c r="D11" s="1">
        <f t="shared" ref="D11:AD11" si="1">C11+D9-D10</f>
        <v>58872</v>
      </c>
      <c r="E11" s="1">
        <f t="shared" si="1"/>
        <v>57706</v>
      </c>
      <c r="F11" s="1">
        <f t="shared" si="1"/>
        <v>47790</v>
      </c>
      <c r="G11" s="1">
        <f t="shared" si="1"/>
        <v>54673</v>
      </c>
      <c r="H11" s="1">
        <f t="shared" si="1"/>
        <v>53389</v>
      </c>
      <c r="I11" s="1">
        <f t="shared" si="1"/>
        <v>50118</v>
      </c>
      <c r="J11" s="1">
        <f t="shared" si="1"/>
        <v>49440</v>
      </c>
      <c r="K11" s="1">
        <f t="shared" si="1"/>
        <v>49440</v>
      </c>
      <c r="L11" s="1">
        <f t="shared" si="1"/>
        <v>49440</v>
      </c>
      <c r="M11" s="1">
        <f t="shared" si="1"/>
        <v>33107</v>
      </c>
      <c r="N11" s="1">
        <f t="shared" si="1"/>
        <v>32929</v>
      </c>
      <c r="O11" s="1">
        <f t="shared" si="1"/>
        <v>31541</v>
      </c>
      <c r="P11" s="1">
        <f t="shared" si="1"/>
        <v>29190</v>
      </c>
      <c r="Q11" s="1">
        <f t="shared" si="1"/>
        <v>28050</v>
      </c>
      <c r="R11" s="1">
        <f t="shared" si="1"/>
        <v>20703</v>
      </c>
      <c r="S11" s="1">
        <f t="shared" si="1"/>
        <v>20703</v>
      </c>
      <c r="T11" s="1">
        <f t="shared" si="1"/>
        <v>15775</v>
      </c>
      <c r="U11" s="1">
        <f t="shared" si="1"/>
        <v>14069</v>
      </c>
      <c r="V11" s="1">
        <f t="shared" si="1"/>
        <v>20277</v>
      </c>
      <c r="W11" s="1">
        <f t="shared" si="1"/>
        <v>17180</v>
      </c>
      <c r="X11" s="1">
        <f t="shared" si="1"/>
        <v>14678</v>
      </c>
      <c r="Y11" s="1">
        <f t="shared" si="1"/>
        <v>12274</v>
      </c>
      <c r="Z11" s="1">
        <f t="shared" si="1"/>
        <v>12274</v>
      </c>
      <c r="AA11" s="1">
        <f t="shared" si="1"/>
        <v>404075</v>
      </c>
      <c r="AB11" s="1">
        <f t="shared" si="1"/>
        <v>368405</v>
      </c>
      <c r="AC11" s="1">
        <f t="shared" si="1"/>
        <v>72962</v>
      </c>
      <c r="AD11" s="1">
        <f t="shared" si="1"/>
        <v>69009</v>
      </c>
      <c r="AJ11" s="1"/>
    </row>
    <row r="12" spans="1:36" ht="15.75" customHeight="1">
      <c r="AJ12" s="1"/>
    </row>
    <row r="13" spans="1:36" ht="15.75" customHeight="1">
      <c r="B13" s="20" t="s">
        <v>58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J13" s="1"/>
    </row>
    <row r="14" spans="1:36" ht="15.75" customHeight="1">
      <c r="B14" s="2" t="s">
        <v>29</v>
      </c>
      <c r="C14" s="11">
        <v>46082</v>
      </c>
      <c r="D14" s="11">
        <v>46083</v>
      </c>
      <c r="E14" s="11">
        <v>46084</v>
      </c>
      <c r="F14" s="11">
        <v>46085</v>
      </c>
      <c r="G14" s="11">
        <v>46086</v>
      </c>
      <c r="H14" s="11">
        <v>46087</v>
      </c>
      <c r="I14" s="11">
        <v>46088</v>
      </c>
      <c r="J14" s="11">
        <v>46089</v>
      </c>
      <c r="K14" s="11">
        <v>46090</v>
      </c>
      <c r="L14" s="11">
        <v>46091</v>
      </c>
      <c r="M14" s="11">
        <v>46092</v>
      </c>
      <c r="N14" s="11">
        <v>46093</v>
      </c>
      <c r="O14" s="11">
        <v>46094</v>
      </c>
      <c r="P14" s="11">
        <v>46095</v>
      </c>
      <c r="Q14" s="11">
        <v>46096</v>
      </c>
      <c r="R14" s="11">
        <v>46097</v>
      </c>
      <c r="S14" s="11">
        <v>46098</v>
      </c>
      <c r="T14" s="11">
        <v>46099</v>
      </c>
      <c r="U14" s="11">
        <v>46100</v>
      </c>
      <c r="V14" s="11">
        <v>46101</v>
      </c>
      <c r="W14" s="11">
        <v>46102</v>
      </c>
      <c r="X14" s="11">
        <v>46103</v>
      </c>
      <c r="Y14" s="11">
        <v>46104</v>
      </c>
      <c r="Z14" s="11">
        <v>46105</v>
      </c>
      <c r="AA14" s="11">
        <v>46106</v>
      </c>
      <c r="AB14" s="11">
        <v>46107</v>
      </c>
      <c r="AC14" s="11">
        <v>46108</v>
      </c>
      <c r="AD14" s="11">
        <v>46109</v>
      </c>
      <c r="AE14" s="11">
        <v>46110</v>
      </c>
      <c r="AF14" s="11">
        <v>46111</v>
      </c>
      <c r="AG14" s="11">
        <v>46112</v>
      </c>
      <c r="AI14" s="2" t="s">
        <v>59</v>
      </c>
      <c r="AJ14" s="1"/>
    </row>
    <row r="15" spans="1:36" ht="15.75" customHeight="1">
      <c r="A15" s="2" t="s">
        <v>34</v>
      </c>
      <c r="B15" s="1">
        <f>SUM(V15:AG15)</f>
        <v>403979</v>
      </c>
      <c r="C15" s="1">
        <f>SUMIFS('フォームの回答 1'!$E:$E,'フォームの回答 1'!$B:$B,C14,'フォームの回答 1'!$H:$H,$A15)</f>
        <v>0</v>
      </c>
      <c r="D15" s="1">
        <f>SUMIFS('フォームの回答 1'!$E:$E,'フォームの回答 1'!$B:$B,D14,'フォームの回答 1'!$H:$H,$A15)</f>
        <v>0</v>
      </c>
      <c r="E15" s="1">
        <f>SUMIFS('フォームの回答 1'!$E:$E,'フォームの回答 1'!$B:$B,E14,'フォームの回答 1'!$H:$H,$A15)</f>
        <v>0</v>
      </c>
      <c r="F15" s="1">
        <f>SUMIFS('フォームの回答 1'!$E:$E,'フォームの回答 1'!$B:$B,F14,'フォームの回答 1'!$H:$H,$A15)</f>
        <v>0</v>
      </c>
      <c r="G15" s="1">
        <f>SUMIFS('フォームの回答 1'!$E:$E,'フォームの回答 1'!$B:$B,G14,'フォームの回答 1'!$H:$H,$A15)</f>
        <v>0</v>
      </c>
      <c r="H15" s="1">
        <f>SUMIFS('フォームの回答 1'!$E:$E,'フォームの回答 1'!$B:$B,H14,'フォームの回答 1'!$H:$H,$A15)</f>
        <v>0</v>
      </c>
      <c r="I15" s="1">
        <f>SUMIFS('フォームの回答 1'!$E:$E,'フォームの回答 1'!$B:$B,I14,'フォームの回答 1'!$H:$H,$A15)</f>
        <v>0</v>
      </c>
      <c r="J15" s="1">
        <f>SUMIFS('フォームの回答 1'!$E:$E,'フォームの回答 1'!$B:$B,J14,'フォームの回答 1'!$H:$H,$A15)</f>
        <v>0</v>
      </c>
      <c r="K15" s="1">
        <f>SUMIFS('フォームの回答 1'!$E:$E,'フォームの回答 1'!$B:$B,K14,'フォームの回答 1'!$H:$H,$A15)</f>
        <v>0</v>
      </c>
      <c r="L15" s="1">
        <f>SUMIFS('フォームの回答 1'!$E:$E,'フォームの回答 1'!$B:$B,L14,'フォームの回答 1'!$H:$H,$A15)</f>
        <v>0</v>
      </c>
      <c r="M15" s="1">
        <f>SUMIFS('フォームの回答 1'!$E:$E,'フォームの回答 1'!$B:$B,M14,'フォームの回答 1'!$H:$H,$A15)</f>
        <v>13534</v>
      </c>
      <c r="N15" s="1">
        <f>SUMIFS('フォームの回答 1'!$E:$E,'フォームの回答 1'!$B:$B,N14,'フォームの回答 1'!$H:$H,$A15)</f>
        <v>0</v>
      </c>
      <c r="O15" s="1">
        <f>SUMIFS('フォームの回答 1'!$E:$E,'フォームの回答 1'!$B:$B,O14,'フォームの回答 1'!$H:$H,$A15)</f>
        <v>0</v>
      </c>
      <c r="P15" s="1">
        <f>SUMIFS('フォームの回答 1'!$E:$E,'フォームの回答 1'!$B:$B,P14,'フォームの回答 1'!$H:$H,$A15)</f>
        <v>0</v>
      </c>
      <c r="Q15" s="1">
        <f>SUMIFS('フォームの回答 1'!$E:$E,'フォームの回答 1'!$B:$B,Q14,'フォームの回答 1'!$H:$H,$A15)</f>
        <v>0</v>
      </c>
      <c r="R15" s="1">
        <f>SUMIFS('フォームの回答 1'!$E:$E,'フォームの回答 1'!$B:$B,R14,'フォームの回答 1'!$H:$H,$A15)</f>
        <v>0</v>
      </c>
      <c r="S15" s="1">
        <f>SUMIFS('フォームの回答 1'!$E:$E,'フォームの回答 1'!$B:$B,S14,'フォームの回答 1'!$H:$H,$A15)</f>
        <v>0</v>
      </c>
      <c r="T15" s="1">
        <f>SUMIFS('フォームの回答 1'!$E:$E,'フォームの回答 1'!$B:$B,T14,'フォームの回答 1'!$H:$H,$A15)</f>
        <v>0</v>
      </c>
      <c r="U15" s="1">
        <f>SUMIFS('フォームの回答 1'!$E:$E,'フォームの回答 1'!$B:$B,U14,'フォームの回答 1'!$H:$H,$A15)</f>
        <v>0</v>
      </c>
      <c r="V15" s="1">
        <f>SUMIFS('フォームの回答 1'!$E:$E,'フォームの回答 1'!$B:$B,V14,'フォームの回答 1'!$H:$H,$A15)</f>
        <v>0</v>
      </c>
      <c r="W15" s="1">
        <f>SUMIFS('フォームの回答 1'!$E:$E,'フォームの回答 1'!$B:$B,W14,'フォームの回答 1'!$H:$H,$A15)</f>
        <v>6000</v>
      </c>
      <c r="X15" s="1">
        <f>SUMIFS('フォームの回答 1'!$E:$E,'フォームの回答 1'!$B:$B,X14,'フォームの回答 1'!$H:$H,$A15)</f>
        <v>0</v>
      </c>
      <c r="Y15" s="1">
        <f>SUMIFS('フォームの回答 1'!$E:$E,'フォームの回答 1'!$B:$B,Y14,'フォームの回答 1'!$H:$H,$A15)</f>
        <v>0</v>
      </c>
      <c r="Z15" s="1">
        <f>SUMIFS('フォームの回答 1'!$E:$E,'フォームの回答 1'!$B:$B,Z14,'フォームの回答 1'!$H:$H,$A15)</f>
        <v>0</v>
      </c>
      <c r="AA15" s="1">
        <f>SUMIFS('フォームの回答 1'!$E:$E,'フォームの回答 1'!$B:$B,AA14,'フォームの回答 1'!$H:$H,$A15)</f>
        <v>391979</v>
      </c>
      <c r="AB15" s="1">
        <f>SUMIFS('フォームの回答 1'!$E:$E,'フォームの回答 1'!$B:$B,AB14,'フォームの回答 1'!$H:$H,$A15)+AJ23</f>
        <v>0</v>
      </c>
      <c r="AC15" s="1">
        <f>SUMIFS('フォームの回答 1'!$E:$E,'フォームの回答 1'!$B:$B,AC14,'フォームの回答 1'!$H:$H,$A15)</f>
        <v>0</v>
      </c>
      <c r="AD15" s="1">
        <f>SUMIFS('フォームの回答 1'!$E:$E,'フォームの回答 1'!$B:$B,AD14,'フォームの回答 1'!$H:$H,$A15)</f>
        <v>0</v>
      </c>
      <c r="AE15" s="1">
        <f>SUMIFS('フォームの回答 1'!$E:$E,'フォームの回答 1'!$B:$B,AE14,'フォームの回答 1'!$H:$H,$A15)</f>
        <v>0</v>
      </c>
      <c r="AF15" s="1">
        <f>SUMIFS('フォームの回答 1'!$E:$E,'フォームの回答 1'!$B:$B,AF14,'フォームの回答 1'!$H:$H,$A15)</f>
        <v>6000</v>
      </c>
      <c r="AG15" s="1">
        <f>SUMIFS('フォームの回答 1'!$E:$E,'フォームの回答 1'!$B:$B,AG14,'フォームの回答 1'!$H:$H,$A15)</f>
        <v>0</v>
      </c>
      <c r="AI15" s="13">
        <f>148281</f>
        <v>148281</v>
      </c>
      <c r="AJ15" s="1"/>
    </row>
    <row r="16" spans="1:36" ht="15.75" customHeight="1">
      <c r="A16" s="2" t="s">
        <v>35</v>
      </c>
      <c r="B16" s="1">
        <f>SUM(V16:AG16)</f>
        <v>389354</v>
      </c>
      <c r="C16" s="1">
        <f>SUMIFS('フォームの回答 1'!$E:$E,'フォームの回答 1'!$B:$B,C14,'フォームの回答 1'!$H:$H,$A16,'フォームの回答 1'!$F:$F,"Cash")</f>
        <v>4034</v>
      </c>
      <c r="D16" s="1">
        <f>SUMIFS('フォームの回答 1'!$E:$E,'フォームの回答 1'!$B:$B,D14,'フォームの回答 1'!$H:$H,$A16,'フォームの回答 1'!$F:$F,"Cash")</f>
        <v>0</v>
      </c>
      <c r="E16" s="1">
        <f>SUMIFS('フォームの回答 1'!$E:$E,'フォームの回答 1'!$B:$B,E14,'フォームの回答 1'!$H:$H,$A16,'フォームの回答 1'!$F:$F,"Cash")</f>
        <v>0</v>
      </c>
      <c r="F16" s="1">
        <f>SUMIFS('フォームの回答 1'!$E:$E,'フォームの回答 1'!$B:$B,F14,'フォームの回答 1'!$H:$H,$A16,'フォームの回答 1'!$F:$F,"Cash")</f>
        <v>5466</v>
      </c>
      <c r="G16" s="1">
        <f>SUMIFS('フォームの回答 1'!$E:$E,'フォームの回答 1'!$B:$B,G14,'フォームの回答 1'!$H:$H,$A16,'フォームの回答 1'!$F:$F,"Cash")</f>
        <v>1492</v>
      </c>
      <c r="H16" s="1">
        <f>SUMIFS('フォームの回答 1'!$E:$E,'フォームの回答 1'!$B:$B,H14,'フォームの回答 1'!$H:$H,$A16,'フォームの回答 1'!$F:$F,"Cash")</f>
        <v>16008</v>
      </c>
      <c r="I16" s="1">
        <f>SUMIFS('フォームの回答 1'!$E:$E,'フォームの回答 1'!$B:$B,I14,'フォームの回答 1'!$H:$H,$A16,'フォームの回答 1'!$F:$F,"Cash")</f>
        <v>10141</v>
      </c>
      <c r="J16" s="1">
        <f>SUMIFS('フォームの回答 1'!$E:$E,'フォームの回答 1'!$B:$B,J14,'フォームの回答 1'!$H:$H,$A16,'フォームの回答 1'!$F:$F,"Cash")</f>
        <v>6300</v>
      </c>
      <c r="K16" s="1">
        <f>SUMIFS('フォームの回答 1'!$E:$E,'フォームの回答 1'!$B:$B,K14,'フォームの回答 1'!$H:$H,$A16,'フォームの回答 1'!$F:$F,"Cash")</f>
        <v>0</v>
      </c>
      <c r="L16" s="1">
        <f>SUMIFS('フォームの回答 1'!$E:$E,'フォームの回答 1'!$B:$B,L14,'フォームの回答 1'!$H:$H,$A16,'フォームの回答 1'!$F:$F,"Cash")</f>
        <v>198</v>
      </c>
      <c r="M16" s="1">
        <f>SUMIFS('フォームの回答 1'!$E:$E,'フォームの回答 1'!$B:$B,M14,'フォームの回答 1'!$H:$H,$A16,'フォームの回答 1'!$F:$F,"Cash")</f>
        <v>3050</v>
      </c>
      <c r="N16" s="1">
        <f>SUMIFS('フォームの回答 1'!$E:$E,'フォームの回答 1'!$B:$B,N14,'フォームの回答 1'!$H:$H,$A16,'フォームの回答 1'!$F:$F,"Cash")</f>
        <v>1949</v>
      </c>
      <c r="O16" s="1">
        <f>SUMIFS('フォームの回答 1'!$E:$E,'フォームの回答 1'!$B:$B,O14,'フォームの回答 1'!$H:$H,$A16,'フォームの回答 1'!$F:$F,"Cash")</f>
        <v>4950</v>
      </c>
      <c r="P16" s="1">
        <f>SUMIFS('フォームの回答 1'!$E:$E,'フォームの回答 1'!$B:$B,P14,'フォームの回答 1'!$H:$H,$A16,'フォームの回答 1'!$F:$F,"Cash")</f>
        <v>3277</v>
      </c>
      <c r="Q16" s="1">
        <f>SUMIFS('フォームの回答 1'!$E:$E,'フォームの回答 1'!$B:$B,Q14,'フォームの回答 1'!$H:$H,$A16,'フォームの回答 1'!$F:$F,"Cash")</f>
        <v>6636</v>
      </c>
      <c r="R16" s="1">
        <f>SUMIFS('フォームの回答 1'!$E:$E,'フォームの回答 1'!$B:$B,R14,'フォームの回答 1'!$H:$H,$A16,'フォームの回答 1'!$F:$F,"Cash")</f>
        <v>0</v>
      </c>
      <c r="S16" s="1">
        <f>SUMIFS('フォームの回答 1'!$E:$E,'フォームの回答 1'!$B:$B,S14,'フォームの回答 1'!$H:$H,$A16,'フォームの回答 1'!$F:$F,"Cash")</f>
        <v>1797</v>
      </c>
      <c r="T16" s="1">
        <f>SUMIFS('フォームの回答 1'!$E:$E,'フォームの回答 1'!$B:$B,T14,'フォームの回答 1'!$H:$H,$A16,'フォームの回答 1'!$F:$F,"Cash")</f>
        <v>538</v>
      </c>
      <c r="U16" s="1">
        <f>SUMIFS('フォームの回答 1'!$E:$E,'フォームの回答 1'!$B:$B,U14,'フォームの回答 1'!$H:$H,$A16,'フォームの回答 1'!$F:$F,"Cash")</f>
        <v>1349</v>
      </c>
      <c r="V16" s="1">
        <f>SUMIFS('フォームの回答 1'!$E:$E,'フォームの回答 1'!$B:$B,V14,'フォームの回答 1'!$H:$H,$A16,'フォームの回答 1'!$F:$F,"Cash")</f>
        <v>0</v>
      </c>
      <c r="W16" s="1">
        <f>SUMIFS('フォームの回答 1'!$E:$E,'フォームの回答 1'!$B:$B,W14,'フォームの回答 1'!$H:$H,$A16,'フォームの回答 1'!$F:$F,"Cash")</f>
        <v>2058</v>
      </c>
      <c r="X16" s="1">
        <f>SUMIFS('フォームの回答 1'!$E:$E,'フォームの回答 1'!$B:$B,X14,'フォームの回答 1'!$H:$H,$A16,'フォームの回答 1'!$F:$F,"Cash")</f>
        <v>1154</v>
      </c>
      <c r="Y16" s="1">
        <f>SUMIFS('フォームの回答 1'!$E:$E,'フォームの回答 1'!$B:$B,Y14,'フォームの回答 1'!$H:$H,$A16,'フォームの回答 1'!$F:$F,"Cash")</f>
        <v>1415</v>
      </c>
      <c r="Z16" s="1">
        <f>SUMIFS('フォームの回答 1'!$E:$E,'フォームの回答 1'!$B:$B,Z14,'フォームの回答 1'!$H:$H,$A16,'フォームの回答 1'!$F:$F,"Cash")</f>
        <v>7070</v>
      </c>
      <c r="AA16" s="1">
        <f>SUMIFS('フォームの回答 1'!$E:$E,'フォームの回答 1'!$B:$B,AA14,'フォームの回答 1'!$H:$H,$A16,'フォームの回答 1'!$F:$F,"Cash")</f>
        <v>40000</v>
      </c>
      <c r="AB16" s="1">
        <f>SUMIFS('フォームの回答 1'!$E:$E,'フォームの回答 1'!$B:$B,AB14,'フォームの回答 1'!$H:$H,$A16,'フォームの回答 1'!$F:$F,"Cash")</f>
        <v>1200</v>
      </c>
      <c r="AC16" s="1">
        <f>SUMIFS('フォームの回答 1'!$E:$E,'フォームの回答 1'!$B:$B,AC14,'フォームの回答 1'!$H:$H,$A16,'フォームの回答 1'!$F:$F,"Cash")+AI15</f>
        <v>314041</v>
      </c>
      <c r="AD16" s="1">
        <f>SUMIFS('フォームの回答 1'!$E:$E,'フォームの回答 1'!$B:$B,AD14,'フォームの回答 1'!$H:$H,$A16,'フォームの回答 1'!$F:$F,"Cash")</f>
        <v>3462</v>
      </c>
      <c r="AE16" s="1">
        <f>SUMIFS('フォームの回答 1'!$E:$E,'フォームの回答 1'!$B:$B,AE14,'フォームの回答 1'!$H:$H,$A16,'フォームの回答 1'!$F:$F,"Cash")</f>
        <v>12772</v>
      </c>
      <c r="AF16" s="1">
        <f>SUMIFS('フォームの回答 1'!$E:$E,'フォームの回答 1'!$B:$B,AF14,'フォームの回答 1'!$H:$H,$A16,'フォームの回答 1'!$F:$F,"Cash")</f>
        <v>2338</v>
      </c>
      <c r="AG16" s="1">
        <f>SUMIFS('フォームの回答 1'!$E:$E,'フォームの回答 1'!$B:$B,AG14,'フォームの回答 1'!$H:$H,$A16,'フォームの回答 1'!$F:$F,"Cash")</f>
        <v>3844</v>
      </c>
      <c r="AJ16" s="1"/>
    </row>
    <row r="17" spans="1:38" ht="15.75" customHeight="1">
      <c r="A17" s="2" t="s">
        <v>32</v>
      </c>
      <c r="C17" s="1">
        <f>AD11+C15-C16</f>
        <v>64975</v>
      </c>
      <c r="D17" s="1">
        <f t="shared" ref="D17:AG17" si="2">C17+D15-D16</f>
        <v>64975</v>
      </c>
      <c r="E17" s="1">
        <f t="shared" si="2"/>
        <v>64975</v>
      </c>
      <c r="F17" s="1">
        <f t="shared" si="2"/>
        <v>59509</v>
      </c>
      <c r="G17" s="1">
        <f t="shared" si="2"/>
        <v>58017</v>
      </c>
      <c r="H17" s="1">
        <f t="shared" si="2"/>
        <v>42009</v>
      </c>
      <c r="I17" s="1">
        <f t="shared" si="2"/>
        <v>31868</v>
      </c>
      <c r="J17" s="1">
        <f t="shared" si="2"/>
        <v>25568</v>
      </c>
      <c r="K17" s="1">
        <f t="shared" si="2"/>
        <v>25568</v>
      </c>
      <c r="L17" s="1">
        <f t="shared" si="2"/>
        <v>25370</v>
      </c>
      <c r="M17" s="1">
        <f t="shared" si="2"/>
        <v>35854</v>
      </c>
      <c r="N17" s="1">
        <f t="shared" si="2"/>
        <v>33905</v>
      </c>
      <c r="O17" s="1">
        <f t="shared" si="2"/>
        <v>28955</v>
      </c>
      <c r="P17" s="1">
        <f t="shared" si="2"/>
        <v>25678</v>
      </c>
      <c r="Q17" s="1">
        <f t="shared" si="2"/>
        <v>19042</v>
      </c>
      <c r="R17" s="1">
        <f t="shared" si="2"/>
        <v>19042</v>
      </c>
      <c r="S17" s="1">
        <f t="shared" si="2"/>
        <v>17245</v>
      </c>
      <c r="T17" s="1">
        <f t="shared" si="2"/>
        <v>16707</v>
      </c>
      <c r="U17" s="1">
        <f t="shared" si="2"/>
        <v>15358</v>
      </c>
      <c r="V17" s="1">
        <f t="shared" si="2"/>
        <v>15358</v>
      </c>
      <c r="W17" s="1">
        <f t="shared" si="2"/>
        <v>19300</v>
      </c>
      <c r="X17" s="1">
        <f t="shared" si="2"/>
        <v>18146</v>
      </c>
      <c r="Y17" s="1">
        <f t="shared" si="2"/>
        <v>16731</v>
      </c>
      <c r="Z17" s="1">
        <f t="shared" si="2"/>
        <v>9661</v>
      </c>
      <c r="AA17" s="1">
        <f t="shared" si="2"/>
        <v>361640</v>
      </c>
      <c r="AB17" s="1">
        <f t="shared" si="2"/>
        <v>360440</v>
      </c>
      <c r="AC17" s="1">
        <f t="shared" si="2"/>
        <v>46399</v>
      </c>
      <c r="AD17" s="1">
        <f t="shared" si="2"/>
        <v>42937</v>
      </c>
      <c r="AE17" s="1">
        <f t="shared" si="2"/>
        <v>30165</v>
      </c>
      <c r="AF17" s="1">
        <f t="shared" si="2"/>
        <v>33827</v>
      </c>
      <c r="AG17" s="1">
        <f t="shared" si="2"/>
        <v>29983</v>
      </c>
      <c r="AJ17" s="1"/>
    </row>
    <row r="18" spans="1:38" ht="15.75" customHeight="1">
      <c r="AJ18" s="1"/>
    </row>
    <row r="19" spans="1:38" ht="15.75" customHeight="1">
      <c r="B19" s="20" t="s">
        <v>60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12"/>
      <c r="AI19" s="2" t="s">
        <v>61</v>
      </c>
      <c r="AJ19" s="1"/>
    </row>
    <row r="20" spans="1:38" ht="15.75" customHeight="1">
      <c r="B20" s="2" t="s">
        <v>29</v>
      </c>
      <c r="C20" s="11">
        <v>46113</v>
      </c>
      <c r="D20" s="11">
        <v>46114</v>
      </c>
      <c r="E20" s="11">
        <v>46115</v>
      </c>
      <c r="F20" s="11">
        <v>46116</v>
      </c>
      <c r="G20" s="11">
        <v>46117</v>
      </c>
      <c r="H20" s="11">
        <v>46118</v>
      </c>
      <c r="I20" s="11">
        <v>46119</v>
      </c>
      <c r="J20" s="11">
        <v>46120</v>
      </c>
      <c r="K20" s="11">
        <v>46121</v>
      </c>
      <c r="L20" s="11">
        <v>46122</v>
      </c>
      <c r="M20" s="11">
        <v>46123</v>
      </c>
      <c r="N20" s="11">
        <v>46124</v>
      </c>
      <c r="O20" s="11">
        <v>46125</v>
      </c>
      <c r="P20" s="11">
        <v>46126</v>
      </c>
      <c r="Q20" s="11">
        <v>46127</v>
      </c>
      <c r="R20" s="11">
        <v>46128</v>
      </c>
      <c r="S20" s="11">
        <v>46129</v>
      </c>
      <c r="T20" s="11">
        <v>46130</v>
      </c>
      <c r="U20" s="11">
        <v>46131</v>
      </c>
      <c r="V20" s="11">
        <v>46132</v>
      </c>
      <c r="W20" s="11">
        <v>46133</v>
      </c>
      <c r="X20" s="11">
        <v>46134</v>
      </c>
      <c r="Y20" s="11">
        <v>46135</v>
      </c>
      <c r="Z20" s="11">
        <v>46136</v>
      </c>
      <c r="AA20" s="11">
        <v>46137</v>
      </c>
      <c r="AB20" s="11">
        <v>46138</v>
      </c>
      <c r="AC20" s="11">
        <v>46139</v>
      </c>
      <c r="AD20" s="11">
        <v>46140</v>
      </c>
      <c r="AE20" s="11">
        <v>46141</v>
      </c>
      <c r="AF20" s="11">
        <v>46142</v>
      </c>
      <c r="AG20" s="11"/>
      <c r="AI20" s="13">
        <f>215831</f>
        <v>215831</v>
      </c>
      <c r="AJ20" s="1"/>
      <c r="AL20" s="14"/>
    </row>
    <row r="21" spans="1:38" ht="15.75" customHeight="1">
      <c r="A21" s="2" t="s">
        <v>34</v>
      </c>
      <c r="B21" s="1">
        <f>SUM(V21:AG21)</f>
        <v>392228</v>
      </c>
      <c r="C21" s="1">
        <f>SUMIFS('フォームの回答 1'!$E:$E,'フォームの回答 1'!$B:$B,C20,'フォームの回答 1'!$H:$H,$A21)</f>
        <v>0</v>
      </c>
      <c r="D21" s="1">
        <f>SUMIFS('フォームの回答 1'!$E:$E,'フォームの回答 1'!$B:$B,D20,'フォームの回答 1'!$H:$H,$A21)</f>
        <v>0</v>
      </c>
      <c r="E21" s="1">
        <f>SUMIFS('フォームの回答 1'!$E:$E,'フォームの回答 1'!$B:$B,E20,'フォームの回答 1'!$H:$H,$A21)</f>
        <v>0</v>
      </c>
      <c r="F21" s="1">
        <f>SUMIFS('フォームの回答 1'!$E:$E,'フォームの回答 1'!$B:$B,F20,'フォームの回答 1'!$H:$H,$A21)</f>
        <v>0</v>
      </c>
      <c r="G21" s="1">
        <f>SUMIFS('フォームの回答 1'!$E:$E,'フォームの回答 1'!$B:$B,G20,'フォームの回答 1'!$H:$H,$A21)</f>
        <v>5000</v>
      </c>
      <c r="H21" s="1">
        <f>SUMIFS('フォームの回答 1'!$E:$E,'フォームの回答 1'!$B:$B,H20,'フォームの回答 1'!$H:$H,$A21)</f>
        <v>0</v>
      </c>
      <c r="I21" s="1">
        <f>SUMIFS('フォームの回答 1'!$E:$E,'フォームの回答 1'!$B:$B,I20,'フォームの回答 1'!$H:$H,$A21)</f>
        <v>45605</v>
      </c>
      <c r="J21" s="1">
        <f>SUMIFS('フォームの回答 1'!$E:$E,'フォームの回答 1'!$B:$B,J20,'フォームの回答 1'!$H:$H,$A21)</f>
        <v>0</v>
      </c>
      <c r="K21" s="1">
        <f>SUMIFS('フォームの回答 1'!$E:$E,'フォームの回答 1'!$B:$B,K20,'フォームの回答 1'!$H:$H,$A21)</f>
        <v>0</v>
      </c>
      <c r="L21" s="1">
        <f>SUMIFS('フォームの回答 1'!$E:$E,'フォームの回答 1'!$B:$B,L20,'フォームの回答 1'!$H:$H,$A21)</f>
        <v>5000</v>
      </c>
      <c r="M21" s="1">
        <f>SUMIFS('フォームの回答 1'!$E:$E,'フォームの回答 1'!$B:$B,M20,'フォームの回答 1'!$H:$H,$A21)</f>
        <v>0</v>
      </c>
      <c r="N21" s="1">
        <f>SUMIFS('フォームの回答 1'!$E:$E,'フォームの回答 1'!$B:$B,N20,'フォームの回答 1'!$H:$H,$A21)</f>
        <v>3000</v>
      </c>
      <c r="O21" s="1">
        <f>SUMIFS('フォームの回答 1'!$E:$E,'フォームの回答 1'!$B:$B,O20,'フォームの回答 1'!$H:$H,$A21)</f>
        <v>0</v>
      </c>
      <c r="P21" s="1">
        <f>SUMIFS('フォームの回答 1'!$E:$E,'フォームの回答 1'!$B:$B,P20,'フォームの回答 1'!$H:$H,$A21)</f>
        <v>0</v>
      </c>
      <c r="Q21" s="1">
        <f>SUMIFS('フォームの回答 1'!$E:$E,'フォームの回答 1'!$B:$B,Q20,'フォームの回答 1'!$H:$H,$A21)</f>
        <v>0</v>
      </c>
      <c r="R21" s="1">
        <f>SUMIFS('フォームの回答 1'!$E:$E,'フォームの回答 1'!$B:$B,R20,'フォームの回答 1'!$H:$H,$A21)</f>
        <v>0</v>
      </c>
      <c r="S21" s="1">
        <f>SUMIFS('フォームの回答 1'!$E:$E,'フォームの回答 1'!$B:$B,S20,'フォームの回答 1'!$H:$H,$A21)</f>
        <v>0</v>
      </c>
      <c r="T21" s="1">
        <f>SUMIFS('フォームの回答 1'!$E:$E,'フォームの回答 1'!$B:$B,T20,'フォームの回答 1'!$H:$H,$A21)</f>
        <v>0</v>
      </c>
      <c r="U21" s="1">
        <f>SUMIFS('フォームの回答 1'!$E:$E,'フォームの回答 1'!$B:$B,U20,'フォームの回答 1'!$H:$H,$A21)</f>
        <v>0</v>
      </c>
      <c r="V21" s="1">
        <f>SUMIFS('フォームの回答 1'!$E:$E,'フォームの回答 1'!$B:$B,V20,'フォームの回答 1'!$H:$H,$A21)</f>
        <v>0</v>
      </c>
      <c r="W21" s="1">
        <f>SUMIFS('フォームの回答 1'!$E:$E,'フォームの回答 1'!$B:$B,W20,'フォームの回答 1'!$H:$H,$A21)</f>
        <v>0</v>
      </c>
      <c r="X21" s="1">
        <f>SUMIFS('フォームの回答 1'!$E:$E,'フォームの回答 1'!$B:$B,X20,'フォームの回答 1'!$H:$H,$A21)</f>
        <v>0</v>
      </c>
      <c r="Y21" s="1">
        <f>SUMIFS('フォームの回答 1'!$E:$E,'フォームの回答 1'!$B:$B,Y20,'フォームの回答 1'!$H:$H,$A21)</f>
        <v>0</v>
      </c>
      <c r="Z21" s="1">
        <f>SUMIFS('フォームの回答 1'!$E:$E,'フォームの回答 1'!$B:$B,Z20,'フォームの回答 1'!$H:$H,$A21)</f>
        <v>392228</v>
      </c>
      <c r="AA21" s="1">
        <f>SUMIFS('フォームの回答 1'!$E:$E,'フォームの回答 1'!$B:$B,AA20,'フォームの回答 1'!$H:$H,$A21)</f>
        <v>0</v>
      </c>
      <c r="AB21" s="1">
        <f>SUMIFS('フォームの回答 1'!$E:$E,'フォームの回答 1'!$B:$B,AB20,'フォームの回答 1'!$H:$H,$A21)</f>
        <v>0</v>
      </c>
      <c r="AC21" s="1">
        <f>SUMIFS('フォームの回答 1'!$E:$E,'フォームの回答 1'!$B:$B,AC20,'フォームの回答 1'!$H:$H,$A21)</f>
        <v>0</v>
      </c>
      <c r="AD21" s="1">
        <f>SUMIFS('フォームの回答 1'!$E:$E,'フォームの回答 1'!$B:$B,AD20,'フォームの回答 1'!$H:$H,$A21)</f>
        <v>0</v>
      </c>
      <c r="AE21" s="1">
        <f>SUMIFS('フォームの回答 1'!$E:$E,'フォームの回答 1'!$B:$B,AE20,'フォームの回答 1'!$H:$H,$A21)</f>
        <v>0</v>
      </c>
      <c r="AF21" s="1">
        <f>SUMIFS('フォームの回答 1'!$E:$E,'フォームの回答 1'!$B:$B,AF20,'フォームの回答 1'!$H:$H,$A21)</f>
        <v>0</v>
      </c>
      <c r="AG21" s="1"/>
    </row>
    <row r="22" spans="1:38" ht="15.75" customHeight="1">
      <c r="A22" s="2" t="s">
        <v>35</v>
      </c>
      <c r="B22" s="1">
        <f>SUM(V22:AG22)</f>
        <v>439574</v>
      </c>
      <c r="C22" s="1">
        <f>SUMIFS('フォームの回答 1'!$E:$E,'フォームの回答 1'!$B:$B,C20,'フォームの回答 1'!$H:$H,$A22,'フォームの回答 1'!$F:$F,"Cash")</f>
        <v>2950</v>
      </c>
      <c r="D22" s="1">
        <f>SUMIFS('フォームの回答 1'!$E:$E,'フォームの回答 1'!$B:$B,D20,'フォームの回答 1'!$H:$H,$A22,'フォームの回答 1'!$F:$F,"Cash")</f>
        <v>1380</v>
      </c>
      <c r="E22" s="1">
        <f>SUMIFS('フォームの回答 1'!$E:$E,'フォームの回答 1'!$B:$B,E20,'フォームの回答 1'!$H:$H,$A22,'フォームの回答 1'!$F:$F,"Cash")</f>
        <v>6270</v>
      </c>
      <c r="F22" s="1">
        <f>SUMIFS('フォームの回答 1'!$E:$E,'フォームの回答 1'!$B:$B,F20,'フォームの回答 1'!$H:$H,$A22,'フォームの回答 1'!$F:$F,"Cash")</f>
        <v>5882</v>
      </c>
      <c r="G22" s="1">
        <f>SUMIFS('フォームの回答 1'!$E:$E,'フォームの回答 1'!$B:$B,G20,'フォームの回答 1'!$H:$H,$A22,'フォームの回答 1'!$F:$F,"Cash")</f>
        <v>844</v>
      </c>
      <c r="H22" s="1">
        <f>SUMIFS('フォームの回答 1'!$E:$E,'フォームの回答 1'!$B:$B,H20,'フォームの回答 1'!$H:$H,$A22,'フォームの回答 1'!$F:$F,"Cash")</f>
        <v>1650</v>
      </c>
      <c r="I22" s="1">
        <f>SUMIFS('フォームの回答 1'!$E:$E,'フォームの回答 1'!$B:$B,I20,'フォームの回答 1'!$H:$H,$A22,'フォームの回答 1'!$F:$F,"Cash")</f>
        <v>791</v>
      </c>
      <c r="J22" s="1">
        <f>SUMIFS('フォームの回答 1'!$E:$E,'フォームの回答 1'!$B:$B,J20,'フォームの回答 1'!$H:$H,$A22,'フォームの回答 1'!$F:$F,"Cash")</f>
        <v>3885</v>
      </c>
      <c r="K22" s="1">
        <f>SUMIFS('フォームの回答 1'!$E:$E,'フォームの回答 1'!$B:$B,K20,'フォームの回答 1'!$H:$H,$A22,'フォームの回答 1'!$F:$F,"Cash")</f>
        <v>0</v>
      </c>
      <c r="L22" s="1">
        <f>SUMIFS('フォームの回答 1'!$E:$E,'フォームの回答 1'!$B:$B,L20,'フォームの回答 1'!$H:$H,$A22,'フォームの回答 1'!$F:$F,"Cash")</f>
        <v>1468</v>
      </c>
      <c r="M22" s="1">
        <f>SUMIFS('フォームの回答 1'!$E:$E,'フォームの回答 1'!$B:$B,M20,'フォームの回答 1'!$H:$H,$A22,'フォームの回答 1'!$F:$F,"Cash")</f>
        <v>1838</v>
      </c>
      <c r="N22" s="1">
        <f>SUMIFS('フォームの回答 1'!$E:$E,'フォームの回答 1'!$B:$B,N20,'フォームの回答 1'!$H:$H,$A22,'フォームの回答 1'!$F:$F,"Cash")</f>
        <v>6645</v>
      </c>
      <c r="O22" s="1">
        <f>SUMIFS('フォームの回答 1'!$E:$E,'フォームの回答 1'!$B:$B,O20,'フォームの回答 1'!$H:$H,$A22,'フォームの回答 1'!$F:$F,"Cash")</f>
        <v>0</v>
      </c>
      <c r="P22" s="1">
        <f>SUMIFS('フォームの回答 1'!$E:$E,'フォームの回答 1'!$B:$B,P20,'フォームの回答 1'!$H:$H,$A22,'フォームの回答 1'!$F:$F,"Cash")</f>
        <v>6839</v>
      </c>
      <c r="Q22" s="1">
        <f>SUMIFS('フォームの回答 1'!$E:$E,'フォームの回答 1'!$B:$B,Q20,'フォームの回答 1'!$H:$H,$A22,'フォームの回答 1'!$F:$F,"Cash")</f>
        <v>4387</v>
      </c>
      <c r="R22" s="1">
        <f>SUMIFS('フォームの回答 1'!$E:$E,'フォームの回答 1'!$B:$B,R20,'フォームの回答 1'!$H:$H,$A22,'フォームの回答 1'!$F:$F,"Cash")</f>
        <v>2254</v>
      </c>
      <c r="S22" s="1">
        <f>SUMIFS('フォームの回答 1'!$E:$E,'フォームの回答 1'!$B:$B,S20,'フォームの回答 1'!$H:$H,$A22,'フォームの回答 1'!$F:$F,"Cash")</f>
        <v>683</v>
      </c>
      <c r="T22" s="1">
        <f>SUMIFS('フォームの回答 1'!$E:$E,'フォームの回答 1'!$B:$B,T20,'フォームの回答 1'!$H:$H,$A22,'フォームの回答 1'!$F:$F,"Cash")</f>
        <v>2640</v>
      </c>
      <c r="U22" s="1">
        <f>SUMIFS('フォームの回答 1'!$E:$E,'フォームの回答 1'!$B:$B,U20,'フォームの回答 1'!$H:$H,$A22,'フォームの回答 1'!$F:$F,"Cash")</f>
        <v>10290</v>
      </c>
      <c r="V22" s="1">
        <f>SUMIFS('フォームの回答 1'!$E:$E,'フォームの回答 1'!$B:$B,V20,'フォームの回答 1'!$H:$H,$A22,'フォームの回答 1'!$F:$F,"Cash")</f>
        <v>0</v>
      </c>
      <c r="W22" s="1">
        <f>SUMIFS('フォームの回答 1'!$E:$E,'フォームの回答 1'!$B:$B,W20,'フォームの回答 1'!$H:$H,$A22,'フォームの回答 1'!$F:$F,"Cash")</f>
        <v>2748</v>
      </c>
      <c r="X22" s="1">
        <f>SUMIFS('フォームの回答 1'!$E:$E,'フォームの回答 1'!$B:$B,X20,'フォームの回答 1'!$H:$H,$A22,'フォームの回答 1'!$F:$F,"Cash")</f>
        <v>4658</v>
      </c>
      <c r="Y22" s="1">
        <f>SUMIFS('フォームの回答 1'!$E:$E,'フォームの回答 1'!$B:$B,Y20,'フォームの回答 1'!$H:$H,$A22,'フォームの回答 1'!$F:$F,"Cash")</f>
        <v>2397</v>
      </c>
      <c r="Z22" s="1">
        <f>SUMIFS('フォームの回答 1'!$E:$E,'フォームの回答 1'!$B:$B,Z20,'フォームの回答 1'!$H:$H,$A22,'フォームの回答 1'!$F:$F,"Cash")</f>
        <v>2130</v>
      </c>
      <c r="AA22" s="1">
        <f>SUMIFS('フォームの回答 1'!$E:$E,'フォームの回答 1'!$B:$B,AA20,'フォームの回答 1'!$H:$H,$A22,'フォームの回答 1'!$F:$F,"Cash")</f>
        <v>13091</v>
      </c>
      <c r="AB22" s="1">
        <f>SUMIFS('フォームの回答 1'!$E:$E,'フォームの回答 1'!$B:$B,AB20,'フォームの回答 1'!$H:$H,$A22,'フォームの回答 1'!$F:$F,"Cash")</f>
        <v>4119</v>
      </c>
      <c r="AC22" s="1">
        <f>SUMIFS('フォームの回答 1'!$E:$E,'フォームの回答 1'!$B:$B,AC20,'フォームの回答 1'!$H:$H,$A22,'フォームの回答 1'!$F:$F,"Cash")+AI20</f>
        <v>410431</v>
      </c>
      <c r="AD22" s="1">
        <f>SUMIFS('フォームの回答 1'!$E:$E,'フォームの回答 1'!$B:$B,AD20,'フォームの回答 1'!$H:$H,$A22,'フォームの回答 1'!$F:$F,"Cash")</f>
        <v>0</v>
      </c>
      <c r="AE22" s="1">
        <f>SUMIFS('フォームの回答 1'!$E:$E,'フォームの回答 1'!$B:$B,AE20,'フォームの回答 1'!$H:$H,$A22,'フォームの回答 1'!$F:$F,"Cash")</f>
        <v>0</v>
      </c>
      <c r="AF22" s="1">
        <f>SUMIFS('フォームの回答 1'!$E:$E,'フォームの回答 1'!$B:$B,AF20,'フォームの回答 1'!$H:$H,$A22,'フォームの回答 1'!$F:$F,"Cash")</f>
        <v>0</v>
      </c>
      <c r="AG22" s="1"/>
      <c r="AJ22" s="1"/>
    </row>
    <row r="23" spans="1:38" ht="15.75" customHeight="1">
      <c r="A23" s="2" t="s">
        <v>32</v>
      </c>
      <c r="C23" s="1">
        <f>AG17+C21-C22</f>
        <v>27033</v>
      </c>
      <c r="D23" s="1">
        <f t="shared" ref="D23:AF23" si="3">C23+D21-D22</f>
        <v>25653</v>
      </c>
      <c r="E23" s="1">
        <f t="shared" si="3"/>
        <v>19383</v>
      </c>
      <c r="F23" s="1">
        <f t="shared" si="3"/>
        <v>13501</v>
      </c>
      <c r="G23" s="1">
        <f t="shared" si="3"/>
        <v>17657</v>
      </c>
      <c r="H23" s="1">
        <f t="shared" si="3"/>
        <v>16007</v>
      </c>
      <c r="I23" s="1">
        <f t="shared" si="3"/>
        <v>60821</v>
      </c>
      <c r="J23" s="1">
        <f t="shared" si="3"/>
        <v>56936</v>
      </c>
      <c r="K23" s="1">
        <f t="shared" si="3"/>
        <v>56936</v>
      </c>
      <c r="L23" s="1">
        <f t="shared" si="3"/>
        <v>60468</v>
      </c>
      <c r="M23" s="1">
        <f t="shared" si="3"/>
        <v>58630</v>
      </c>
      <c r="N23" s="1">
        <f t="shared" si="3"/>
        <v>54985</v>
      </c>
      <c r="O23" s="1">
        <f t="shared" si="3"/>
        <v>54985</v>
      </c>
      <c r="P23" s="1">
        <f t="shared" si="3"/>
        <v>48146</v>
      </c>
      <c r="Q23" s="1">
        <f t="shared" si="3"/>
        <v>43759</v>
      </c>
      <c r="R23" s="1">
        <f t="shared" si="3"/>
        <v>41505</v>
      </c>
      <c r="S23" s="1">
        <f t="shared" si="3"/>
        <v>40822</v>
      </c>
      <c r="T23" s="1">
        <f t="shared" si="3"/>
        <v>38182</v>
      </c>
      <c r="U23" s="1">
        <f t="shared" si="3"/>
        <v>27892</v>
      </c>
      <c r="V23" s="1">
        <f t="shared" si="3"/>
        <v>27892</v>
      </c>
      <c r="W23" s="1">
        <f t="shared" si="3"/>
        <v>25144</v>
      </c>
      <c r="X23" s="1">
        <f t="shared" si="3"/>
        <v>20486</v>
      </c>
      <c r="Y23" s="1">
        <f t="shared" si="3"/>
        <v>18089</v>
      </c>
      <c r="Z23" s="1">
        <f t="shared" si="3"/>
        <v>408187</v>
      </c>
      <c r="AA23" s="1">
        <f t="shared" si="3"/>
        <v>395096</v>
      </c>
      <c r="AB23" s="1">
        <f t="shared" si="3"/>
        <v>390977</v>
      </c>
      <c r="AC23" s="1">
        <f t="shared" si="3"/>
        <v>-19454</v>
      </c>
      <c r="AD23" s="1">
        <f t="shared" si="3"/>
        <v>-19454</v>
      </c>
      <c r="AE23" s="1">
        <f t="shared" si="3"/>
        <v>-19454</v>
      </c>
      <c r="AF23" s="1">
        <f t="shared" si="3"/>
        <v>-19454</v>
      </c>
      <c r="AJ23" s="1"/>
    </row>
    <row r="25" spans="1:38" ht="15.75" customHeight="1">
      <c r="B25" s="20" t="s">
        <v>62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I25" s="2" t="s">
        <v>63</v>
      </c>
      <c r="AJ25" s="1"/>
    </row>
    <row r="26" spans="1:38" ht="15.75" customHeight="1">
      <c r="B26" s="2" t="s">
        <v>29</v>
      </c>
      <c r="C26" s="11">
        <v>46143</v>
      </c>
      <c r="D26" s="11">
        <v>46144</v>
      </c>
      <c r="E26" s="11">
        <v>46145</v>
      </c>
      <c r="F26" s="11">
        <v>46146</v>
      </c>
      <c r="G26" s="11">
        <v>46147</v>
      </c>
      <c r="H26" s="11">
        <v>46148</v>
      </c>
      <c r="I26" s="11">
        <v>46149</v>
      </c>
      <c r="J26" s="11">
        <v>46150</v>
      </c>
      <c r="K26" s="11">
        <v>46151</v>
      </c>
      <c r="L26" s="11">
        <v>46152</v>
      </c>
      <c r="M26" s="11">
        <v>46153</v>
      </c>
      <c r="N26" s="11">
        <v>46154</v>
      </c>
      <c r="O26" s="11">
        <v>46155</v>
      </c>
      <c r="P26" s="11">
        <v>46156</v>
      </c>
      <c r="Q26" s="11">
        <v>46157</v>
      </c>
      <c r="R26" s="11">
        <v>46158</v>
      </c>
      <c r="S26" s="11">
        <v>46159</v>
      </c>
      <c r="T26" s="11">
        <v>46160</v>
      </c>
      <c r="U26" s="11">
        <v>46161</v>
      </c>
      <c r="V26" s="11">
        <v>46162</v>
      </c>
      <c r="W26" s="11">
        <v>46163</v>
      </c>
      <c r="X26" s="11">
        <v>46164</v>
      </c>
      <c r="Y26" s="11">
        <v>46165</v>
      </c>
      <c r="Z26" s="11">
        <v>46166</v>
      </c>
      <c r="AA26" s="11">
        <v>46167</v>
      </c>
      <c r="AB26" s="11">
        <v>46168</v>
      </c>
      <c r="AC26" s="11">
        <v>46169</v>
      </c>
      <c r="AD26" s="11">
        <v>46170</v>
      </c>
      <c r="AE26" s="11">
        <v>46171</v>
      </c>
      <c r="AF26" s="11">
        <v>46172</v>
      </c>
      <c r="AG26" s="11">
        <v>46173</v>
      </c>
      <c r="AI26" s="13">
        <f>177989</f>
        <v>177989</v>
      </c>
    </row>
    <row r="27" spans="1:38" ht="15.75" customHeight="1">
      <c r="A27" s="2" t="s">
        <v>34</v>
      </c>
      <c r="B27" s="1">
        <f>SUM(V27:AG27)</f>
        <v>0</v>
      </c>
      <c r="C27" s="1">
        <f>SUMIFS('フォームの回答 1'!$E:$E,'フォームの回答 1'!$B:$B,C26,'フォームの回答 1'!$H:$H,$A27)</f>
        <v>0</v>
      </c>
      <c r="D27" s="1">
        <f>SUMIFS('フォームの回答 1'!$E:$E,'フォームの回答 1'!$B:$B,D26,'フォームの回答 1'!$H:$H,$A27)</f>
        <v>0</v>
      </c>
      <c r="E27" s="1">
        <f>SUMIFS('フォームの回答 1'!$E:$E,'フォームの回答 1'!$B:$B,E26,'フォームの回答 1'!$H:$H,$A27)</f>
        <v>0</v>
      </c>
      <c r="F27" s="1">
        <f>SUMIFS('フォームの回答 1'!$E:$E,'フォームの回答 1'!$B:$B,F26,'フォームの回答 1'!$H:$H,$A27)</f>
        <v>0</v>
      </c>
      <c r="G27" s="1">
        <f>SUMIFS('フォームの回答 1'!$E:$E,'フォームの回答 1'!$B:$B,G26,'フォームの回答 1'!$H:$H,$A27)</f>
        <v>0</v>
      </c>
      <c r="H27" s="1">
        <f>SUMIFS('フォームの回答 1'!$E:$E,'フォームの回答 1'!$B:$B,H26,'フォームの回答 1'!$H:$H,$A27)</f>
        <v>0</v>
      </c>
      <c r="I27" s="1">
        <f>SUMIFS('フォームの回答 1'!$E:$E,'フォームの回答 1'!$B:$B,I26,'フォームの回答 1'!$H:$H,$A27)</f>
        <v>0</v>
      </c>
      <c r="J27" s="1">
        <f>SUMIFS('フォームの回答 1'!$E:$E,'フォームの回答 1'!$B:$B,J26,'フォームの回答 1'!$H:$H,$A27)</f>
        <v>0</v>
      </c>
      <c r="K27" s="1">
        <f>SUMIFS('フォームの回答 1'!$E:$E,'フォームの回答 1'!$B:$B,K26,'フォームの回答 1'!$H:$H,$A27)</f>
        <v>0</v>
      </c>
      <c r="L27" s="1">
        <f>SUMIFS('フォームの回答 1'!$E:$E,'フォームの回答 1'!$B:$B,L26,'フォームの回答 1'!$H:$H,$A27)</f>
        <v>0</v>
      </c>
      <c r="M27" s="1">
        <f>SUMIFS('フォームの回答 1'!$E:$E,'フォームの回答 1'!$B:$B,M26,'フォームの回答 1'!$H:$H,$A27)</f>
        <v>0</v>
      </c>
      <c r="N27" s="1">
        <f>SUMIFS('フォームの回答 1'!$E:$E,'フォームの回答 1'!$B:$B,N26,'フォームの回答 1'!$H:$H,$A27)</f>
        <v>0</v>
      </c>
      <c r="O27" s="1">
        <f>SUMIFS('フォームの回答 1'!$E:$E,'フォームの回答 1'!$B:$B,O26,'フォームの回答 1'!$H:$H,$A27)</f>
        <v>0</v>
      </c>
      <c r="P27" s="1">
        <f>SUMIFS('フォームの回答 1'!$E:$E,'フォームの回答 1'!$B:$B,P26,'フォームの回答 1'!$H:$H,$A27)</f>
        <v>0</v>
      </c>
      <c r="Q27" s="1">
        <f>SUMIFS('フォームの回答 1'!$E:$E,'フォームの回答 1'!$B:$B,Q26,'フォームの回答 1'!$H:$H,$A27)</f>
        <v>0</v>
      </c>
      <c r="R27" s="1">
        <f>SUMIFS('フォームの回答 1'!$E:$E,'フォームの回答 1'!$B:$B,R26,'フォームの回答 1'!$H:$H,$A27)</f>
        <v>0</v>
      </c>
      <c r="S27" s="1">
        <f>SUMIFS('フォームの回答 1'!$E:$E,'フォームの回答 1'!$B:$B,S26,'フォームの回答 1'!$H:$H,$A27)</f>
        <v>0</v>
      </c>
      <c r="T27" s="1">
        <f>SUMIFS('フォームの回答 1'!$E:$E,'フォームの回答 1'!$B:$B,T26,'フォームの回答 1'!$H:$H,$A27)</f>
        <v>0</v>
      </c>
      <c r="U27" s="1">
        <f>SUMIFS('フォームの回答 1'!$E:$E,'フォームの回答 1'!$B:$B,U26,'フォームの回答 1'!$H:$H,$A27)</f>
        <v>0</v>
      </c>
      <c r="V27" s="1">
        <f>SUMIFS('フォームの回答 1'!$E:$E,'フォームの回答 1'!$B:$B,V26,'フォームの回答 1'!$H:$H,$A27)</f>
        <v>0</v>
      </c>
      <c r="W27" s="1">
        <f>SUMIFS('フォームの回答 1'!$E:$E,'フォームの回答 1'!$B:$B,W26,'フォームの回答 1'!$H:$H,$A27)</f>
        <v>0</v>
      </c>
      <c r="X27" s="1">
        <f>SUMIFS('フォームの回答 1'!$E:$E,'フォームの回答 1'!$B:$B,X26,'フォームの回答 1'!$H:$H,$A27)</f>
        <v>0</v>
      </c>
      <c r="Y27" s="1">
        <f>SUMIFS('フォームの回答 1'!$E:$E,'フォームの回答 1'!$B:$B,Y26,'フォームの回答 1'!$H:$H,$A27)</f>
        <v>0</v>
      </c>
      <c r="Z27" s="1">
        <f>SUMIFS('フォームの回答 1'!$E:$E,'フォームの回答 1'!$B:$B,Z26,'フォームの回答 1'!$H:$H,$A27)</f>
        <v>0</v>
      </c>
      <c r="AA27" s="1">
        <f>SUMIFS('フォームの回答 1'!$E:$E,'フォームの回答 1'!$B:$B,AA26,'フォームの回答 1'!$H:$H,$A27)+AJ18</f>
        <v>0</v>
      </c>
      <c r="AB27" s="1">
        <f>SUMIFS('フォームの回答 1'!$E:$E,'フォームの回答 1'!$B:$B,AB26,'フォームの回答 1'!$H:$H,$A27)+AI28</f>
        <v>0</v>
      </c>
      <c r="AC27" s="1">
        <f>SUMIFS('フォームの回答 1'!$E:$E,'フォームの回答 1'!$B:$B,AC26,'フォームの回答 1'!$H:$H,$A27)</f>
        <v>0</v>
      </c>
      <c r="AD27" s="1">
        <f>SUMIFS('フォームの回答 1'!$E:$E,'フォームの回答 1'!$B:$B,AD26,'フォームの回答 1'!$H:$H,$A27)</f>
        <v>0</v>
      </c>
      <c r="AE27" s="1">
        <f>SUMIFS('フォームの回答 1'!$E:$E,'フォームの回答 1'!$B:$B,AE26,'フォームの回答 1'!$H:$H,$A27)</f>
        <v>0</v>
      </c>
      <c r="AF27" s="1">
        <f>SUMIFS('フォームの回答 1'!$E:$E,'フォームの回答 1'!$B:$B,AF26,'フォームの回答 1'!$H:$H,$A27)</f>
        <v>0</v>
      </c>
      <c r="AG27" s="1">
        <f>SUMIFS('フォームの回答 1'!$E:$E,'フォームの回答 1'!$B:$B,AG26,'フォームの回答 1'!$H:$H,$A27)</f>
        <v>0</v>
      </c>
    </row>
    <row r="28" spans="1:38" ht="15.75" customHeight="1">
      <c r="A28" s="2" t="s">
        <v>35</v>
      </c>
      <c r="B28" s="1">
        <f>SUM(C28:AG28)</f>
        <v>177989</v>
      </c>
      <c r="C28" s="1">
        <f>SUMIFS('フォームの回答 1'!$E:$E,'フォームの回答 1'!$B:$B,C26,'フォームの回答 1'!$H:$H,$A28,'フォームの回答 1'!$F:$F,"Cash")</f>
        <v>0</v>
      </c>
      <c r="D28" s="1">
        <f>SUMIFS('フォームの回答 1'!$E:$E,'フォームの回答 1'!$B:$B,D26,'フォームの回答 1'!$H:$H,$A28,'フォームの回答 1'!$F:$F,"Cash")</f>
        <v>0</v>
      </c>
      <c r="E28" s="1">
        <f>SUMIFS('フォームの回答 1'!$E:$E,'フォームの回答 1'!$B:$B,E26,'フォームの回答 1'!$H:$H,$A28,'フォームの回答 1'!$F:$F,"Cash")</f>
        <v>0</v>
      </c>
      <c r="F28" s="1">
        <f>SUMIFS('フォームの回答 1'!$E:$E,'フォームの回答 1'!$B:$B,F26,'フォームの回答 1'!$H:$H,$A28,'フォームの回答 1'!$F:$F,"Cash")</f>
        <v>0</v>
      </c>
      <c r="G28" s="1">
        <f>SUMIFS('フォームの回答 1'!$E:$E,'フォームの回答 1'!$B:$B,G26,'フォームの回答 1'!$H:$H,$A28,'フォームの回答 1'!$F:$F,"Cash")</f>
        <v>0</v>
      </c>
      <c r="H28" s="1">
        <f>SUMIFS('フォームの回答 1'!$E:$E,'フォームの回答 1'!$B:$B,H26,'フォームの回答 1'!$H:$H,$A28,'フォームの回答 1'!$F:$F,"Cash")</f>
        <v>0</v>
      </c>
      <c r="I28" s="1">
        <f>SUMIFS('フォームの回答 1'!$E:$E,'フォームの回答 1'!$B:$B,I26,'フォームの回答 1'!$H:$H,$A28,'フォームの回答 1'!$F:$F,"Cash")</f>
        <v>0</v>
      </c>
      <c r="J28" s="1">
        <f>SUMIFS('フォームの回答 1'!$E:$E,'フォームの回答 1'!$B:$B,J26,'フォームの回答 1'!$H:$H,$A28,'フォームの回答 1'!$F:$F,"Cash")</f>
        <v>0</v>
      </c>
      <c r="K28" s="1">
        <f>SUMIFS('フォームの回答 1'!$E:$E,'フォームの回答 1'!$B:$B,K26,'フォームの回答 1'!$H:$H,$A28,'フォームの回答 1'!$F:$F,"Cash")</f>
        <v>0</v>
      </c>
      <c r="L28" s="1">
        <f>SUMIFS('フォームの回答 1'!$E:$E,'フォームの回答 1'!$B:$B,L26,'フォームの回答 1'!$H:$H,$A28,'フォームの回答 1'!$F:$F,"Cash")</f>
        <v>0</v>
      </c>
      <c r="M28" s="1">
        <f>SUMIFS('フォームの回答 1'!$E:$E,'フォームの回答 1'!$B:$B,M26,'フォームの回答 1'!$H:$H,$A28,'フォームの回答 1'!$F:$F,"Cash")</f>
        <v>0</v>
      </c>
      <c r="N28" s="1">
        <f>SUMIFS('フォームの回答 1'!$E:$E,'フォームの回答 1'!$B:$B,N26,'フォームの回答 1'!$H:$H,$A28,'フォームの回答 1'!$F:$F,"Cash")</f>
        <v>0</v>
      </c>
      <c r="O28" s="1">
        <f>SUMIFS('フォームの回答 1'!$E:$E,'フォームの回答 1'!$B:$B,O26,'フォームの回答 1'!$H:$H,$A28,'フォームの回答 1'!$F:$F,"Cash")</f>
        <v>0</v>
      </c>
      <c r="P28" s="1">
        <f>SUMIFS('フォームの回答 1'!$E:$E,'フォームの回答 1'!$B:$B,P26,'フォームの回答 1'!$H:$H,$A28,'フォームの回答 1'!$F:$F,"Cash")</f>
        <v>0</v>
      </c>
      <c r="Q28" s="1">
        <f>SUMIFS('フォームの回答 1'!$E:$E,'フォームの回答 1'!$B:$B,Q26,'フォームの回答 1'!$H:$H,$A28,'フォームの回答 1'!$F:$F,"Cash")</f>
        <v>0</v>
      </c>
      <c r="R28" s="1">
        <f>SUMIFS('フォームの回答 1'!$E:$E,'フォームの回答 1'!$B:$B,R26,'フォームの回答 1'!$H:$H,$A28,'フォームの回答 1'!$F:$F,"Cash")</f>
        <v>0</v>
      </c>
      <c r="S28" s="1">
        <f>SUMIFS('フォームの回答 1'!$E:$E,'フォームの回答 1'!$B:$B,S26,'フォームの回答 1'!$H:$H,$A28,'フォームの回答 1'!$F:$F,"Cash")</f>
        <v>0</v>
      </c>
      <c r="T28" s="1">
        <f>SUMIFS('フォームの回答 1'!$E:$E,'フォームの回答 1'!$B:$B,T26,'フォームの回答 1'!$H:$H,$A28,'フォームの回答 1'!$F:$F,"Cash")</f>
        <v>0</v>
      </c>
      <c r="U28" s="1">
        <f>SUMIFS('フォームの回答 1'!$E:$E,'フォームの回答 1'!$B:$B,U26,'フォームの回答 1'!$H:$H,$A28,'フォームの回答 1'!$F:$F,"Cash")</f>
        <v>0</v>
      </c>
      <c r="V28" s="1">
        <f>SUMIFS('フォームの回答 1'!$E:$E,'フォームの回答 1'!$B:$B,V26,'フォームの回答 1'!$H:$H,$A28,'フォームの回答 1'!$F:$F,"Cash")</f>
        <v>0</v>
      </c>
      <c r="W28" s="1">
        <f>SUMIFS('フォームの回答 1'!$E:$E,'フォームの回答 1'!$B:$B,W26,'フォームの回答 1'!$H:$H,$A28,'フォームの回答 1'!$F:$F,"Cash")</f>
        <v>0</v>
      </c>
      <c r="X28" s="1">
        <f>SUMIFS('フォームの回答 1'!$E:$E,'フォームの回答 1'!$B:$B,X26,'フォームの回答 1'!$H:$H,$A28,'フォームの回答 1'!$F:$F,"Cash")</f>
        <v>0</v>
      </c>
      <c r="Y28" s="1">
        <f>SUMIFS('フォームの回答 1'!$E:$E,'フォームの回答 1'!$B:$B,Y26,'フォームの回答 1'!$H:$H,$A28,'フォームの回答 1'!$F:$F,"Cash")</f>
        <v>0</v>
      </c>
      <c r="Z28" s="1">
        <f>SUMIFS('フォームの回答 1'!$E:$E,'フォームの回答 1'!$B:$B,Z26,'フォームの回答 1'!$H:$H,$A28,'フォームの回答 1'!$F:$F,"Cash")</f>
        <v>0</v>
      </c>
      <c r="AA28" s="1">
        <f>SUMIFS('フォームの回答 1'!$E:$E,'フォームの回答 1'!$B:$B,AA26,'フォームの回答 1'!$H:$H,$A28,'フォームの回答 1'!$F:$F,"Cash")</f>
        <v>0</v>
      </c>
      <c r="AB28" s="1">
        <f>SUMIFS('フォームの回答 1'!$E:$E,'フォームの回答 1'!$B:$B,AB26,'フォームの回答 1'!$H:$H,$A28,'フォームの回答 1'!$F:$F,"Cash")</f>
        <v>0</v>
      </c>
      <c r="AC28" s="1">
        <f>SUMIFS('フォームの回答 1'!$E:$E,'フォームの回答 1'!$B:$B,AC26,'フォームの回答 1'!$H:$H,$A28,'フォームの回答 1'!$F:$F,"Cash")+AI26</f>
        <v>177989</v>
      </c>
      <c r="AD28" s="1">
        <f>SUMIFS('フォームの回答 1'!$E:$E,'フォームの回答 1'!$B:$B,AD26,'フォームの回答 1'!$H:$H,$A28,'フォームの回答 1'!$F:$F,"Cash")</f>
        <v>0</v>
      </c>
      <c r="AE28" s="1">
        <f>SUMIFS('フォームの回答 1'!$E:$E,'フォームの回答 1'!$B:$B,AE26,'フォームの回答 1'!$H:$H,$A28,'フォームの回答 1'!$F:$F,"Cash")</f>
        <v>0</v>
      </c>
      <c r="AF28" s="1">
        <f>SUMIFS('フォームの回答 1'!$E:$E,'フォームの回答 1'!$B:$B,AF26,'フォームの回答 1'!$H:$H,$A28,'フォームの回答 1'!$F:$F,"Cash")</f>
        <v>0</v>
      </c>
      <c r="AG28" s="1">
        <f>SUMIFS('フォームの回答 1'!$E:$E,'フォームの回答 1'!$B:$B,AG26,'フォームの回答 1'!$H:$H,$A28,'フォームの回答 1'!$F:$F,"Cash")</f>
        <v>0</v>
      </c>
    </row>
    <row r="29" spans="1:38" ht="15.75" customHeight="1">
      <c r="A29" s="2" t="s">
        <v>32</v>
      </c>
      <c r="C29" s="1">
        <f>AF23+C27-C28</f>
        <v>-19454</v>
      </c>
      <c r="D29" s="1">
        <f t="shared" ref="D29:AG29" si="4">C29+D27-D28</f>
        <v>-19454</v>
      </c>
      <c r="E29" s="1">
        <f t="shared" si="4"/>
        <v>-19454</v>
      </c>
      <c r="F29" s="1">
        <f t="shared" si="4"/>
        <v>-19454</v>
      </c>
      <c r="G29" s="1">
        <f t="shared" si="4"/>
        <v>-19454</v>
      </c>
      <c r="H29" s="1">
        <f t="shared" si="4"/>
        <v>-19454</v>
      </c>
      <c r="I29" s="1">
        <f t="shared" si="4"/>
        <v>-19454</v>
      </c>
      <c r="J29" s="1">
        <f t="shared" si="4"/>
        <v>-19454</v>
      </c>
      <c r="K29" s="1">
        <f t="shared" si="4"/>
        <v>-19454</v>
      </c>
      <c r="L29" s="1">
        <f t="shared" si="4"/>
        <v>-19454</v>
      </c>
      <c r="M29" s="1">
        <f t="shared" si="4"/>
        <v>-19454</v>
      </c>
      <c r="N29" s="1">
        <f t="shared" si="4"/>
        <v>-19454</v>
      </c>
      <c r="O29" s="1">
        <f t="shared" si="4"/>
        <v>-19454</v>
      </c>
      <c r="P29" s="1">
        <f t="shared" si="4"/>
        <v>-19454</v>
      </c>
      <c r="Q29" s="1">
        <f t="shared" si="4"/>
        <v>-19454</v>
      </c>
      <c r="R29" s="1">
        <f t="shared" si="4"/>
        <v>-19454</v>
      </c>
      <c r="S29" s="1">
        <f t="shared" si="4"/>
        <v>-19454</v>
      </c>
      <c r="T29" s="1">
        <f t="shared" si="4"/>
        <v>-19454</v>
      </c>
      <c r="U29" s="1">
        <f t="shared" si="4"/>
        <v>-19454</v>
      </c>
      <c r="V29" s="1">
        <f t="shared" si="4"/>
        <v>-19454</v>
      </c>
      <c r="W29" s="1">
        <f t="shared" si="4"/>
        <v>-19454</v>
      </c>
      <c r="X29" s="1">
        <f t="shared" si="4"/>
        <v>-19454</v>
      </c>
      <c r="Y29" s="1">
        <f t="shared" si="4"/>
        <v>-19454</v>
      </c>
      <c r="Z29" s="1">
        <f t="shared" si="4"/>
        <v>-19454</v>
      </c>
      <c r="AA29" s="1">
        <f t="shared" si="4"/>
        <v>-19454</v>
      </c>
      <c r="AB29" s="1">
        <f t="shared" si="4"/>
        <v>-19454</v>
      </c>
      <c r="AC29" s="1">
        <f t="shared" si="4"/>
        <v>-197443</v>
      </c>
      <c r="AD29" s="1">
        <f t="shared" si="4"/>
        <v>-197443</v>
      </c>
      <c r="AE29" s="1">
        <f t="shared" si="4"/>
        <v>-197443</v>
      </c>
      <c r="AF29" s="1">
        <f t="shared" si="4"/>
        <v>-197443</v>
      </c>
      <c r="AG29" s="1">
        <f t="shared" si="4"/>
        <v>-197443</v>
      </c>
    </row>
    <row r="31" spans="1:38" ht="15.75" customHeight="1">
      <c r="B31" s="20" t="s">
        <v>64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12"/>
      <c r="AI31" s="2" t="s">
        <v>65</v>
      </c>
      <c r="AJ31" s="1"/>
    </row>
    <row r="32" spans="1:38" ht="15.75" customHeight="1">
      <c r="B32" s="2" t="s">
        <v>29</v>
      </c>
      <c r="C32" s="11">
        <v>45809</v>
      </c>
      <c r="D32" s="11">
        <v>45810</v>
      </c>
      <c r="E32" s="11">
        <v>45811</v>
      </c>
      <c r="F32" s="11">
        <v>45812</v>
      </c>
      <c r="G32" s="11">
        <v>45813</v>
      </c>
      <c r="H32" s="11">
        <v>45814</v>
      </c>
      <c r="I32" s="11">
        <v>45815</v>
      </c>
      <c r="J32" s="11">
        <v>45816</v>
      </c>
      <c r="K32" s="11">
        <v>45817</v>
      </c>
      <c r="L32" s="11">
        <v>45818</v>
      </c>
      <c r="M32" s="11">
        <v>45819</v>
      </c>
      <c r="N32" s="11">
        <v>45820</v>
      </c>
      <c r="O32" s="11">
        <v>45821</v>
      </c>
      <c r="P32" s="11">
        <v>45822</v>
      </c>
      <c r="Q32" s="11">
        <v>45823</v>
      </c>
      <c r="R32" s="11">
        <v>45824</v>
      </c>
      <c r="S32" s="11">
        <v>45825</v>
      </c>
      <c r="T32" s="11">
        <v>45826</v>
      </c>
      <c r="U32" s="11">
        <v>45827</v>
      </c>
      <c r="V32" s="11">
        <v>45828</v>
      </c>
      <c r="W32" s="11">
        <v>45829</v>
      </c>
      <c r="X32" s="11">
        <v>45830</v>
      </c>
      <c r="Y32" s="11">
        <v>45831</v>
      </c>
      <c r="Z32" s="11">
        <v>45832</v>
      </c>
      <c r="AA32" s="11">
        <v>45833</v>
      </c>
      <c r="AB32" s="11">
        <v>45834</v>
      </c>
      <c r="AC32" s="11">
        <v>45835</v>
      </c>
      <c r="AD32" s="11">
        <v>45836</v>
      </c>
      <c r="AE32" s="11">
        <v>45837</v>
      </c>
      <c r="AF32" s="11">
        <v>45838</v>
      </c>
      <c r="AG32" s="11"/>
      <c r="AI32" s="13">
        <f>153036</f>
        <v>153036</v>
      </c>
    </row>
    <row r="33" spans="1:36" ht="15.75" customHeight="1">
      <c r="A33" s="2" t="s">
        <v>34</v>
      </c>
      <c r="B33" s="1">
        <f>SUM(V33:AG33)</f>
        <v>378905</v>
      </c>
      <c r="C33" s="1">
        <f>SUMIFS('フォームの回答 1'!$E:$E,'フォームの回答 1'!$B:$B,C32,'フォームの回答 1'!$H:$H,$A33)</f>
        <v>0</v>
      </c>
      <c r="D33" s="1">
        <f>SUMIFS('フォームの回答 1'!$E:$E,'フォームの回答 1'!$B:$B,D32,'フォームの回答 1'!$H:$H,$A33)</f>
        <v>0</v>
      </c>
      <c r="E33" s="1">
        <f>SUMIFS('フォームの回答 1'!$E:$E,'フォームの回答 1'!$B:$B,E32,'フォームの回答 1'!$H:$H,$A33)</f>
        <v>0</v>
      </c>
      <c r="F33" s="1">
        <f>SUMIFS('フォームの回答 1'!$E:$E,'フォームの回答 1'!$B:$B,F32,'フォームの回答 1'!$H:$H,$A33)</f>
        <v>0</v>
      </c>
      <c r="G33" s="1">
        <f>SUMIFS('フォームの回答 1'!$E:$E,'フォームの回答 1'!$B:$B,G32,'フォームの回答 1'!$H:$H,$A33)</f>
        <v>0</v>
      </c>
      <c r="H33" s="1">
        <f>SUMIFS('フォームの回答 1'!$E:$E,'フォームの回答 1'!$B:$B,H32,'フォームの回答 1'!$H:$H,$A33)</f>
        <v>7118</v>
      </c>
      <c r="I33" s="1">
        <f>SUMIFS('フォームの回答 1'!$E:$E,'フォームの回答 1'!$B:$B,I32,'フォームの回答 1'!$H:$H,$A33)</f>
        <v>0</v>
      </c>
      <c r="J33" s="1">
        <f>SUMIFS('フォームの回答 1'!$E:$E,'フォームの回答 1'!$B:$B,J32,'フォームの回答 1'!$H:$H,$A33)</f>
        <v>0</v>
      </c>
      <c r="K33" s="1">
        <f>SUMIFS('フォームの回答 1'!$E:$E,'フォームの回答 1'!$B:$B,K32,'フォームの回答 1'!$H:$H,$A33)</f>
        <v>0</v>
      </c>
      <c r="L33" s="1">
        <f>SUMIFS('フォームの回答 1'!$E:$E,'フォームの回答 1'!$B:$B,L32,'フォームの回答 1'!$H:$H,$A33)</f>
        <v>0</v>
      </c>
      <c r="M33" s="1">
        <f>SUMIFS('フォームの回答 1'!$E:$E,'フォームの回答 1'!$B:$B,M32,'フォームの回答 1'!$H:$H,$A33)</f>
        <v>0</v>
      </c>
      <c r="N33" s="1">
        <f>SUMIFS('フォームの回答 1'!$E:$E,'フォームの回答 1'!$B:$B,N32,'フォームの回答 1'!$H:$H,$A33)</f>
        <v>0</v>
      </c>
      <c r="O33" s="1">
        <f>SUMIFS('フォームの回答 1'!$E:$E,'フォームの回答 1'!$B:$B,O32,'フォームの回答 1'!$H:$H,$A33)</f>
        <v>0</v>
      </c>
      <c r="P33" s="1">
        <f>SUMIFS('フォームの回答 1'!$E:$E,'フォームの回答 1'!$B:$B,P32,'フォームの回答 1'!$H:$H,$A33)</f>
        <v>0</v>
      </c>
      <c r="Q33" s="1">
        <f>SUMIFS('フォームの回答 1'!$E:$E,'フォームの回答 1'!$B:$B,Q32,'フォームの回答 1'!$H:$H,$A33)</f>
        <v>0</v>
      </c>
      <c r="R33" s="1">
        <f>SUMIFS('フォームの回答 1'!$E:$E,'フォームの回答 1'!$B:$B,R32,'フォームの回答 1'!$H:$H,$A33)</f>
        <v>0</v>
      </c>
      <c r="S33" s="1">
        <f>SUMIFS('フォームの回答 1'!$E:$E,'フォームの回答 1'!$B:$B,S32,'フォームの回答 1'!$H:$H,$A33)</f>
        <v>0</v>
      </c>
      <c r="T33" s="1">
        <f>SUMIFS('フォームの回答 1'!$E:$E,'フォームの回答 1'!$B:$B,T32,'フォームの回答 1'!$H:$H,$A33)</f>
        <v>0</v>
      </c>
      <c r="U33" s="1">
        <f>SUMIFS('フォームの回答 1'!$E:$E,'フォームの回答 1'!$B:$B,U32,'フォームの回答 1'!$H:$H,$A33)</f>
        <v>0</v>
      </c>
      <c r="V33" s="1">
        <f>SUMIFS('フォームの回答 1'!$E:$E,'フォームの回答 1'!$B:$B,V32,'フォームの回答 1'!$H:$H,$A33)</f>
        <v>0</v>
      </c>
      <c r="W33" s="1">
        <f>SUMIFS('フォームの回答 1'!$E:$E,'フォームの回答 1'!$B:$B,W32,'フォームの回答 1'!$H:$H,$A33)</f>
        <v>0</v>
      </c>
      <c r="X33" s="1">
        <f>SUMIFS('フォームの回答 1'!$E:$E,'フォームの回答 1'!$B:$B,X32,'フォームの回答 1'!$H:$H,$A33)</f>
        <v>0</v>
      </c>
      <c r="Y33" s="1">
        <f>SUMIFS('フォームの回答 1'!$E:$E,'フォームの回答 1'!$B:$B,Y32,'フォームの回答 1'!$H:$H,$A33)</f>
        <v>0</v>
      </c>
      <c r="Z33" s="1">
        <f>SUMIFS('フォームの回答 1'!$E:$E,'フォームの回答 1'!$B:$B,Z32,'フォームの回答 1'!$H:$H,$A33)</f>
        <v>0</v>
      </c>
      <c r="AA33" s="1">
        <f>SUMIFS('フォームの回答 1'!$E:$E,'フォームの回答 1'!$B:$B,AA32,'フォームの回答 1'!$H:$H,$A33)+AJ24</f>
        <v>378905</v>
      </c>
      <c r="AB33" s="1">
        <f>SUMIFS('フォームの回答 1'!$E:$E,'フォームの回答 1'!$B:$B,AB32,'フォームの回答 1'!$H:$H,$A33)</f>
        <v>0</v>
      </c>
      <c r="AC33" s="1">
        <f>SUMIFS('フォームの回答 1'!$E:$E,'フォームの回答 1'!$B:$B,AC32,'フォームの回答 1'!$H:$H,$A33)</f>
        <v>0</v>
      </c>
      <c r="AD33" s="1">
        <f>SUMIFS('フォームの回答 1'!$E:$E,'フォームの回答 1'!$B:$B,AD32,'フォームの回答 1'!$H:$H,$A33)</f>
        <v>0</v>
      </c>
      <c r="AE33" s="1">
        <f>SUMIFS('フォームの回答 1'!$E:$E,'フォームの回答 1'!$B:$B,AE32,'フォームの回答 1'!$H:$H,$A33)</f>
        <v>0</v>
      </c>
      <c r="AF33" s="1">
        <f>SUMIFS('フォームの回答 1'!$E:$E,'フォームの回答 1'!$B:$B,AF32,'フォームの回答 1'!$H:$H,$A33)</f>
        <v>0</v>
      </c>
      <c r="AG33" s="1"/>
    </row>
    <row r="34" spans="1:36" ht="15.75" customHeight="1">
      <c r="A34" s="2" t="s">
        <v>35</v>
      </c>
      <c r="B34" s="1">
        <f>SUM(C34:AG34)</f>
        <v>414509</v>
      </c>
      <c r="C34" s="1">
        <f>SUMIFS('フォームの回答 1'!$E:$E,'フォームの回答 1'!$B:$B,C32,'フォームの回答 1'!$H:$H,$A34,'フォームの回答 1'!$F:$F,"Cash")</f>
        <v>9396</v>
      </c>
      <c r="D34" s="1">
        <f>SUMIFS('フォームの回答 1'!$E:$E,'フォームの回答 1'!$B:$B,D32,'フォームの回答 1'!$H:$H,$A34,'フォームの回答 1'!$F:$F,"Cash")</f>
        <v>1300</v>
      </c>
      <c r="E34" s="1">
        <f>SUMIFS('フォームの回答 1'!$E:$E,'フォームの回答 1'!$B:$B,E32,'フォームの回答 1'!$H:$H,$A34,'フォームの回答 1'!$F:$F,"Cash")</f>
        <v>899</v>
      </c>
      <c r="F34" s="1">
        <f>SUMIFS('フォームの回答 1'!$E:$E,'フォームの回答 1'!$B:$B,F32,'フォームの回答 1'!$H:$H,$A34,'フォームの回答 1'!$F:$F,"Cash")</f>
        <v>500</v>
      </c>
      <c r="G34" s="1">
        <f>SUMIFS('フォームの回答 1'!$E:$E,'フォームの回答 1'!$B:$B,G32,'フォームの回答 1'!$H:$H,$A34,'フォームの回答 1'!$F:$F,"Cash")</f>
        <v>1107</v>
      </c>
      <c r="H34" s="1">
        <f>SUMIFS('フォームの回答 1'!$E:$E,'フォームの回答 1'!$B:$B,H32,'フォームの回答 1'!$H:$H,$A34,'フォームの回答 1'!$F:$F,"Cash")</f>
        <v>2318</v>
      </c>
      <c r="I34" s="1">
        <f>SUMIFS('フォームの回答 1'!$E:$E,'フォームの回答 1'!$B:$B,I32,'フォームの回答 1'!$H:$H,$A34,'フォームの回答 1'!$F:$F,"Cash")</f>
        <v>7123</v>
      </c>
      <c r="J34" s="1">
        <f>SUMIFS('フォームの回答 1'!$E:$E,'フォームの回答 1'!$B:$B,J32,'フォームの回答 1'!$H:$H,$A34,'フォームの回答 1'!$F:$F,"Cash")</f>
        <v>0</v>
      </c>
      <c r="K34" s="1">
        <f>SUMIFS('フォームの回答 1'!$E:$E,'フォームの回答 1'!$B:$B,K32,'フォームの回答 1'!$H:$H,$A34,'フォームの回答 1'!$F:$F,"Cash")</f>
        <v>980</v>
      </c>
      <c r="L34" s="1">
        <f>SUMIFS('フォームの回答 1'!$E:$E,'フォームの回答 1'!$B:$B,L32,'フォームの回答 1'!$H:$H,$A34,'フォームの回答 1'!$F:$F,"Cash")</f>
        <v>0</v>
      </c>
      <c r="M34" s="1">
        <f>SUMIFS('フォームの回答 1'!$E:$E,'フォームの回答 1'!$B:$B,M32,'フォームの回答 1'!$H:$H,$A34,'フォームの回答 1'!$F:$F,"Cash")</f>
        <v>2065</v>
      </c>
      <c r="N34" s="1">
        <f>SUMIFS('フォームの回答 1'!$E:$E,'フォームの回答 1'!$B:$B,N32,'フォームの回答 1'!$H:$H,$A34,'フォームの回答 1'!$F:$F,"Cash")</f>
        <v>0</v>
      </c>
      <c r="O34" s="1">
        <f>SUMIFS('フォームの回答 1'!$E:$E,'フォームの回答 1'!$B:$B,O32,'フォームの回答 1'!$H:$H,$A34,'フォームの回答 1'!$F:$F,"Cash")</f>
        <v>2604</v>
      </c>
      <c r="P34" s="1">
        <f>SUMIFS('フォームの回答 1'!$E:$E,'フォームの回答 1'!$B:$B,P32,'フォームの回答 1'!$H:$H,$A34,'フォームの回答 1'!$F:$F,"Cash")</f>
        <v>864</v>
      </c>
      <c r="Q34" s="1">
        <f>SUMIFS('フォームの回答 1'!$E:$E,'フォームの回答 1'!$B:$B,Q32,'フォームの回答 1'!$H:$H,$A34,'フォームの回答 1'!$F:$F,"Cash")</f>
        <v>2547</v>
      </c>
      <c r="R34" s="1">
        <f>SUMIFS('フォームの回答 1'!$E:$E,'フォームの回答 1'!$B:$B,R32,'フォームの回答 1'!$H:$H,$A34,'フォームの回答 1'!$F:$F,"Cash")</f>
        <v>0</v>
      </c>
      <c r="S34" s="1">
        <f>SUMIFS('フォームの回答 1'!$E:$E,'フォームの回答 1'!$B:$B,S32,'フォームの回答 1'!$H:$H,$A34,'フォームの回答 1'!$F:$F,"Cash")</f>
        <v>378</v>
      </c>
      <c r="T34" s="1">
        <f>SUMIFS('フォームの回答 1'!$E:$E,'フォームの回答 1'!$B:$B,T32,'フォームの回答 1'!$H:$H,$A34,'フォームの回答 1'!$F:$F,"Cash")</f>
        <v>1860</v>
      </c>
      <c r="U34" s="1">
        <f>SUMIFS('フォームの回答 1'!$E:$E,'フォームの回答 1'!$B:$B,U32,'フォームの回答 1'!$H:$H,$A34,'フォームの回答 1'!$F:$F,"Cash")</f>
        <v>407</v>
      </c>
      <c r="V34" s="1">
        <f>SUMIFS('フォームの回答 1'!$E:$E,'フォームの回答 1'!$B:$B,V32,'フォームの回答 1'!$H:$H,$A34,'フォームの回答 1'!$F:$F,"Cash")</f>
        <v>2390</v>
      </c>
      <c r="W34" s="1">
        <f>SUMIFS('フォームの回答 1'!$E:$E,'フォームの回答 1'!$B:$B,W32,'フォームの回答 1'!$H:$H,$A34,'フォームの回答 1'!$F:$F,"Cash")</f>
        <v>5887</v>
      </c>
      <c r="X34" s="1">
        <f>SUMIFS('フォームの回答 1'!$E:$E,'フォームの回答 1'!$B:$B,X32,'フォームの回答 1'!$H:$H,$A34,'フォームの回答 1'!$F:$F,"Cash")</f>
        <v>3771</v>
      </c>
      <c r="Y34" s="1">
        <f>SUMIFS('フォームの回答 1'!$E:$E,'フォームの回答 1'!$B:$B,Y32,'フォームの回答 1'!$H:$H,$A34,'フォームの回答 1'!$F:$F,"Cash")</f>
        <v>5590</v>
      </c>
      <c r="Z34" s="1">
        <f>SUMIFS('フォームの回答 1'!$E:$E,'フォームの回答 1'!$B:$B,Z32,'フォームの回答 1'!$H:$H,$A34,'フォームの回答 1'!$F:$F,"Cash")</f>
        <v>2629</v>
      </c>
      <c r="AA34" s="1">
        <f>SUMIFS('フォームの回答 1'!$E:$E,'フォームの回答 1'!$B:$B,AA32,'フォームの回答 1'!$H:$H,$A34,'フォームの回答 1'!$F:$F,"Cash")</f>
        <v>11813</v>
      </c>
      <c r="AB34" s="1">
        <f>SUMIFS('フォームの回答 1'!$E:$E,'フォームの回答 1'!$B:$B,AB32,'フォームの回答 1'!$H:$H,$A34,'フォームの回答 1'!$F:$F,"Cash")</f>
        <v>239</v>
      </c>
      <c r="AC34" s="1">
        <f>SUMIFS('フォームの回答 1'!$E:$E,'フォームの回答 1'!$B:$B,AC32,'フォームの回答 1'!$H:$H,$A34,'フォームの回答 1'!$F:$F,"Cash")+AI32</f>
        <v>342236</v>
      </c>
      <c r="AD34" s="1">
        <f>SUMIFS('フォームの回答 1'!$E:$E,'フォームの回答 1'!$B:$B,AD32,'フォームの回答 1'!$H:$H,$A34,'フォームの回答 1'!$F:$F,"Cash")</f>
        <v>3929</v>
      </c>
      <c r="AE34" s="1">
        <f>SUMIFS('フォームの回答 1'!$E:$E,'フォームの回答 1'!$B:$B,AE32,'フォームの回答 1'!$H:$H,$A34,'フォームの回答 1'!$F:$F,"Cash")</f>
        <v>1677</v>
      </c>
      <c r="AF34" s="1">
        <f>SUMIFS('フォームの回答 1'!$E:$E,'フォームの回答 1'!$B:$B,AF32,'フォームの回答 1'!$H:$H,$A34,'フォームの回答 1'!$F:$F,"Cash")</f>
        <v>0</v>
      </c>
      <c r="AG34" s="1"/>
    </row>
    <row r="35" spans="1:36" ht="15.75" customHeight="1">
      <c r="A35" s="2" t="s">
        <v>32</v>
      </c>
      <c r="C35" s="1">
        <f>AG29+C33-C34</f>
        <v>-206839</v>
      </c>
      <c r="D35" s="1">
        <f t="shared" ref="D35:AF35" si="5">C35+D33-D34</f>
        <v>-208139</v>
      </c>
      <c r="E35" s="1">
        <f t="shared" si="5"/>
        <v>-209038</v>
      </c>
      <c r="F35" s="1">
        <f t="shared" si="5"/>
        <v>-209538</v>
      </c>
      <c r="G35" s="1">
        <f t="shared" si="5"/>
        <v>-210645</v>
      </c>
      <c r="H35" s="1">
        <f t="shared" si="5"/>
        <v>-205845</v>
      </c>
      <c r="I35" s="1">
        <f t="shared" si="5"/>
        <v>-212968</v>
      </c>
      <c r="J35" s="1">
        <f t="shared" si="5"/>
        <v>-212968</v>
      </c>
      <c r="K35" s="1">
        <f t="shared" si="5"/>
        <v>-213948</v>
      </c>
      <c r="L35" s="1">
        <f t="shared" si="5"/>
        <v>-213948</v>
      </c>
      <c r="M35" s="1">
        <f t="shared" si="5"/>
        <v>-216013</v>
      </c>
      <c r="N35" s="1">
        <f t="shared" si="5"/>
        <v>-216013</v>
      </c>
      <c r="O35" s="1">
        <f t="shared" si="5"/>
        <v>-218617</v>
      </c>
      <c r="P35" s="1">
        <f t="shared" si="5"/>
        <v>-219481</v>
      </c>
      <c r="Q35" s="1">
        <f t="shared" si="5"/>
        <v>-222028</v>
      </c>
      <c r="R35" s="1">
        <f t="shared" si="5"/>
        <v>-222028</v>
      </c>
      <c r="S35" s="1">
        <f t="shared" si="5"/>
        <v>-222406</v>
      </c>
      <c r="T35" s="1">
        <f t="shared" si="5"/>
        <v>-224266</v>
      </c>
      <c r="U35" s="1">
        <f t="shared" si="5"/>
        <v>-224673</v>
      </c>
      <c r="V35" s="1">
        <f t="shared" si="5"/>
        <v>-227063</v>
      </c>
      <c r="W35" s="1">
        <f t="shared" si="5"/>
        <v>-232950</v>
      </c>
      <c r="X35" s="1">
        <f t="shared" si="5"/>
        <v>-236721</v>
      </c>
      <c r="Y35" s="1">
        <f t="shared" si="5"/>
        <v>-242311</v>
      </c>
      <c r="Z35" s="1">
        <f t="shared" si="5"/>
        <v>-244940</v>
      </c>
      <c r="AA35" s="1">
        <f t="shared" si="5"/>
        <v>122152</v>
      </c>
      <c r="AB35" s="1">
        <f t="shared" si="5"/>
        <v>121913</v>
      </c>
      <c r="AC35" s="1">
        <f t="shared" si="5"/>
        <v>-220323</v>
      </c>
      <c r="AD35" s="1">
        <f t="shared" si="5"/>
        <v>-224252</v>
      </c>
      <c r="AE35" s="1">
        <f t="shared" si="5"/>
        <v>-225929</v>
      </c>
      <c r="AF35" s="1">
        <f t="shared" si="5"/>
        <v>-225929</v>
      </c>
    </row>
    <row r="37" spans="1:36" ht="15.75" customHeight="1">
      <c r="B37" s="20" t="s">
        <v>66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I37" s="2" t="s">
        <v>67</v>
      </c>
      <c r="AJ37" s="1"/>
    </row>
    <row r="38" spans="1:36" ht="15.75" customHeight="1">
      <c r="B38" s="2" t="s">
        <v>29</v>
      </c>
      <c r="C38" s="11">
        <v>45839</v>
      </c>
      <c r="D38" s="11">
        <v>45840</v>
      </c>
      <c r="E38" s="11">
        <v>45841</v>
      </c>
      <c r="F38" s="11">
        <v>45842</v>
      </c>
      <c r="G38" s="11">
        <v>45843</v>
      </c>
      <c r="H38" s="11">
        <v>45844</v>
      </c>
      <c r="I38" s="11">
        <v>45845</v>
      </c>
      <c r="J38" s="11">
        <v>45846</v>
      </c>
      <c r="K38" s="11">
        <v>45847</v>
      </c>
      <c r="L38" s="11">
        <v>45848</v>
      </c>
      <c r="M38" s="11">
        <v>45849</v>
      </c>
      <c r="N38" s="11">
        <v>45850</v>
      </c>
      <c r="O38" s="11">
        <v>45851</v>
      </c>
      <c r="P38" s="11">
        <v>45852</v>
      </c>
      <c r="Q38" s="11">
        <v>45853</v>
      </c>
      <c r="R38" s="11">
        <v>45854</v>
      </c>
      <c r="S38" s="11">
        <v>45855</v>
      </c>
      <c r="T38" s="11">
        <v>45856</v>
      </c>
      <c r="U38" s="11">
        <v>45857</v>
      </c>
      <c r="V38" s="11">
        <v>45858</v>
      </c>
      <c r="W38" s="11">
        <v>45859</v>
      </c>
      <c r="X38" s="11">
        <v>45860</v>
      </c>
      <c r="Y38" s="11">
        <v>45861</v>
      </c>
      <c r="Z38" s="11">
        <v>45862</v>
      </c>
      <c r="AA38" s="11">
        <v>45863</v>
      </c>
      <c r="AB38" s="11">
        <v>45864</v>
      </c>
      <c r="AC38" s="11">
        <v>45865</v>
      </c>
      <c r="AD38" s="11">
        <v>45866</v>
      </c>
      <c r="AE38" s="11">
        <v>45867</v>
      </c>
      <c r="AF38" s="11">
        <v>45868</v>
      </c>
      <c r="AG38" s="11">
        <v>45869</v>
      </c>
      <c r="AI38" s="13">
        <v>198038</v>
      </c>
    </row>
    <row r="39" spans="1:36" ht="15.75" customHeight="1">
      <c r="A39" s="2" t="s">
        <v>34</v>
      </c>
      <c r="B39" s="1">
        <f>SUM(V39:AG39)</f>
        <v>481705</v>
      </c>
      <c r="C39" s="1">
        <f>SUMIFS('フォームの回答 1'!$E:$E,'フォームの回答 1'!$B:$B,C38,'フォームの回答 1'!$H:$H,$A39)</f>
        <v>0</v>
      </c>
      <c r="D39" s="1">
        <f>SUMIFS('フォームの回答 1'!$E:$E,'フォームの回答 1'!$B:$B,D38,'フォームの回答 1'!$H:$H,$A39)</f>
        <v>6287</v>
      </c>
      <c r="E39" s="1">
        <f>SUMIFS('フォームの回答 1'!$E:$E,'フォームの回答 1'!$B:$B,E38,'フォームの回答 1'!$H:$H,$A39)</f>
        <v>8361</v>
      </c>
      <c r="F39" s="1">
        <f>SUMIFS('フォームの回答 1'!$E:$E,'フォームの回答 1'!$B:$B,F38,'フォームの回答 1'!$H:$H,$A39)</f>
        <v>0</v>
      </c>
      <c r="G39" s="1">
        <f>SUMIFS('フォームの回答 1'!$E:$E,'フォームの回答 1'!$B:$B,G38,'フォームの回答 1'!$H:$H,$A39)</f>
        <v>0</v>
      </c>
      <c r="H39" s="1">
        <f>SUMIFS('フォームの回答 1'!$E:$E,'フォームの回答 1'!$B:$B,H38,'フォームの回答 1'!$H:$H,$A39)</f>
        <v>0</v>
      </c>
      <c r="I39" s="1">
        <f>SUMIFS('フォームの回答 1'!$E:$E,'フォームの回答 1'!$B:$B,I38,'フォームの回答 1'!$H:$H,$A39)</f>
        <v>0</v>
      </c>
      <c r="J39" s="1">
        <f>SUMIFS('フォームの回答 1'!$E:$E,'フォームの回答 1'!$B:$B,J38,'フォームの回答 1'!$H:$H,$A39)</f>
        <v>0</v>
      </c>
      <c r="K39" s="1">
        <f>SUMIFS('フォームの回答 1'!$E:$E,'フォームの回答 1'!$B:$B,K38,'フォームの回答 1'!$H:$H,$A39)</f>
        <v>0</v>
      </c>
      <c r="L39" s="1">
        <f>SUMIFS('フォームの回答 1'!$E:$E,'フォームの回答 1'!$B:$B,L38,'フォームの回答 1'!$H:$H,$A39)</f>
        <v>0</v>
      </c>
      <c r="M39" s="1">
        <f>SUMIFS('フォームの回答 1'!$E:$E,'フォームの回答 1'!$B:$B,M38,'フォームの回答 1'!$H:$H,$A39)</f>
        <v>0</v>
      </c>
      <c r="N39" s="1">
        <f>SUMIFS('フォームの回答 1'!$E:$E,'フォームの回答 1'!$B:$B,N38,'フォームの回答 1'!$H:$H,$A39)</f>
        <v>200</v>
      </c>
      <c r="O39" s="1">
        <f>SUMIFS('フォームの回答 1'!$E:$E,'フォームの回答 1'!$B:$B,O38,'フォームの回答 1'!$H:$H,$A39)</f>
        <v>1600</v>
      </c>
      <c r="P39" s="1">
        <f>SUMIFS('フォームの回答 1'!$E:$E,'フォームの回答 1'!$B:$B,P38,'フォームの回答 1'!$H:$H,$A39)</f>
        <v>27620</v>
      </c>
      <c r="Q39" s="1">
        <f>SUMIFS('フォームの回答 1'!$E:$E,'フォームの回答 1'!$B:$B,Q38,'フォームの回答 1'!$H:$H,$A39)</f>
        <v>0</v>
      </c>
      <c r="R39" s="1">
        <f>SUMIFS('フォームの回答 1'!$E:$E,'フォームの回答 1'!$B:$B,R38,'フォームの回答 1'!$H:$H,$A39)</f>
        <v>0</v>
      </c>
      <c r="S39" s="1">
        <f>SUMIFS('フォームの回答 1'!$E:$E,'フォームの回答 1'!$B:$B,S38,'フォームの回答 1'!$H:$H,$A39)</f>
        <v>0</v>
      </c>
      <c r="T39" s="1">
        <f>SUMIFS('フォームの回答 1'!$E:$E,'フォームの回答 1'!$B:$B,T38,'フォームの回答 1'!$H:$H,$A39)</f>
        <v>0</v>
      </c>
      <c r="U39" s="1">
        <f>SUMIFS('フォームの回答 1'!$E:$E,'フォームの回答 1'!$B:$B,U38,'フォームの回答 1'!$H:$H,$A39)</f>
        <v>0</v>
      </c>
      <c r="V39" s="1">
        <f>SUMIFS('フォームの回答 1'!$E:$E,'フォームの回答 1'!$B:$B,V38,'フォームの回答 1'!$H:$H,$A39)</f>
        <v>1100</v>
      </c>
      <c r="W39" s="1">
        <f>SUMIFS('フォームの回答 1'!$E:$E,'フォームの回答 1'!$B:$B,W38,'フォームの回答 1'!$H:$H,$A39)</f>
        <v>0</v>
      </c>
      <c r="X39" s="1">
        <f>SUMIFS('フォームの回答 1'!$E:$E,'フォームの回答 1'!$B:$B,X38,'フォームの回答 1'!$H:$H,$A39)</f>
        <v>0</v>
      </c>
      <c r="Y39" s="1">
        <f>SUMIFS('フォームの回答 1'!$E:$E,'フォームの回答 1'!$B:$B,Y38,'フォームの回答 1'!$H:$H,$A39)</f>
        <v>0</v>
      </c>
      <c r="Z39" s="1">
        <f>SUMIFS('フォームの回答 1'!$E:$E,'フォームの回答 1'!$B:$B,Z38,'フォームの回答 1'!$H:$H,$A39)</f>
        <v>900</v>
      </c>
      <c r="AA39" s="1">
        <f>SUMIFS('フォームの回答 1'!$E:$E,'フォームの回答 1'!$B:$B,AA38,'フォームの回答 1'!$H:$H,$A39)+AJ30</f>
        <v>379705</v>
      </c>
      <c r="AB39" s="1">
        <f>SUMIFS('フォームの回答 1'!$E:$E,'フォームの回答 1'!$B:$B,AB38,'フォームの回答 1'!$H:$H,$A39)</f>
        <v>0</v>
      </c>
      <c r="AC39" s="1">
        <f>SUMIFS('フォームの回答 1'!$E:$E,'フォームの回答 1'!$B:$B,AC38,'フォームの回答 1'!$H:$H,$A39)</f>
        <v>100000</v>
      </c>
      <c r="AD39" s="1">
        <f>SUMIFS('フォームの回答 1'!$E:$E,'フォームの回答 1'!$B:$B,AD38,'フォームの回答 1'!$H:$H,$A39)</f>
        <v>0</v>
      </c>
      <c r="AE39" s="1">
        <f>SUMIFS('フォームの回答 1'!$E:$E,'フォームの回答 1'!$B:$B,AE38,'フォームの回答 1'!$H:$H,$A39)</f>
        <v>0</v>
      </c>
      <c r="AF39" s="1">
        <f>SUMIFS('フォームの回答 1'!$E:$E,'フォームの回答 1'!$B:$B,AF38,'フォームの回答 1'!$H:$H,$A39)</f>
        <v>0</v>
      </c>
      <c r="AG39" s="1">
        <f>SUMIFS('フォームの回答 1'!$E:$E,'フォームの回答 1'!$B:$B,AG38,'フォームの回答 1'!$H:$H,$A39)</f>
        <v>0</v>
      </c>
      <c r="AI39" s="2">
        <v>100000</v>
      </c>
    </row>
    <row r="40" spans="1:36" ht="15.75" customHeight="1">
      <c r="A40" s="2" t="s">
        <v>35</v>
      </c>
      <c r="B40" s="1">
        <f>SUM(C40:AG40)</f>
        <v>463902</v>
      </c>
      <c r="C40" s="1">
        <f>SUMIFS('フォームの回答 1'!$E:$E,'フォームの回答 1'!$B:$B,C38,'フォームの回答 1'!$H:$H,$A40,'フォームの回答 1'!$F:$F,"Cash")</f>
        <v>1950</v>
      </c>
      <c r="D40" s="1">
        <f>SUMIFS('フォームの回答 1'!$E:$E,'フォームの回答 1'!$B:$B,D38,'フォームの回答 1'!$H:$H,$A40,'フォームの回答 1'!$F:$F,"Cash")</f>
        <v>4481</v>
      </c>
      <c r="E40" s="1">
        <f>SUMIFS('フォームの回答 1'!$E:$E,'フォームの回答 1'!$B:$B,E38,'フォームの回答 1'!$H:$H,$A40,'フォームの回答 1'!$F:$F,"Cash")</f>
        <v>1504</v>
      </c>
      <c r="F40" s="1">
        <f>SUMIFS('フォームの回答 1'!$E:$E,'フォームの回答 1'!$B:$B,F38,'フォームの回答 1'!$H:$H,$A40,'フォームの回答 1'!$F:$F,"Cash")</f>
        <v>3780</v>
      </c>
      <c r="G40" s="1">
        <f>SUMIFS('フォームの回答 1'!$E:$E,'フォームの回答 1'!$B:$B,G38,'フォームの回答 1'!$H:$H,$A40,'フォームの回答 1'!$F:$F,"Cash")</f>
        <v>220</v>
      </c>
      <c r="H40" s="1">
        <f>SUMIFS('フォームの回答 1'!$E:$E,'フォームの回答 1'!$B:$B,H38,'フォームの回答 1'!$H:$H,$A40,'フォームの回答 1'!$F:$F,"Cash")</f>
        <v>6681</v>
      </c>
      <c r="I40" s="1">
        <f>SUMIFS('フォームの回答 1'!$E:$E,'フォームの回答 1'!$B:$B,I38,'フォームの回答 1'!$H:$H,$A40,'フォームの回答 1'!$F:$F,"Cash")</f>
        <v>3080</v>
      </c>
      <c r="J40" s="1">
        <f>SUMIFS('フォームの回答 1'!$E:$E,'フォームの回答 1'!$B:$B,J38,'フォームの回答 1'!$H:$H,$A40,'フォームの回答 1'!$F:$F,"Cash")</f>
        <v>0</v>
      </c>
      <c r="K40" s="1">
        <f>SUMIFS('フォームの回答 1'!$E:$E,'フォームの回答 1'!$B:$B,K38,'フォームの回答 1'!$H:$H,$A40,'フォームの回答 1'!$F:$F,"Cash")</f>
        <v>289</v>
      </c>
      <c r="L40" s="1">
        <f>SUMIFS('フォームの回答 1'!$E:$E,'フォームの回答 1'!$B:$B,L38,'フォームの回答 1'!$H:$H,$A40,'フォームの回答 1'!$F:$F,"Cash")</f>
        <v>120</v>
      </c>
      <c r="M40" s="1">
        <f>SUMIFS('フォームの回答 1'!$E:$E,'フォームの回答 1'!$B:$B,M38,'フォームの回答 1'!$H:$H,$A40,'フォームの回答 1'!$F:$F,"Cash")</f>
        <v>0</v>
      </c>
      <c r="N40" s="1">
        <f>SUMIFS('フォームの回答 1'!$E:$E,'フォームの回答 1'!$B:$B,N38,'フォームの回答 1'!$H:$H,$A40,'フォームの回答 1'!$F:$F,"Cash")</f>
        <v>1298</v>
      </c>
      <c r="O40" s="1">
        <f>SUMIFS('フォームの回答 1'!$E:$E,'フォームの回答 1'!$B:$B,O38,'フォームの回答 1'!$H:$H,$A40,'フォームの回答 1'!$F:$F,"Cash")</f>
        <v>7283</v>
      </c>
      <c r="P40" s="1">
        <f>SUMIFS('フォームの回答 1'!$E:$E,'フォームの回答 1'!$B:$B,P38,'フォームの回答 1'!$H:$H,$A40,'フォームの回答 1'!$F:$F,"Cash")</f>
        <v>6536</v>
      </c>
      <c r="Q40" s="1">
        <f>SUMIFS('フォームの回答 1'!$E:$E,'フォームの回答 1'!$B:$B,Q38,'フォームの回答 1'!$H:$H,$A40,'フォームの回答 1'!$F:$F,"Cash")</f>
        <v>641</v>
      </c>
      <c r="R40" s="1">
        <f>SUMIFS('フォームの回答 1'!$E:$E,'フォームの回答 1'!$B:$B,R38,'フォームの回答 1'!$H:$H,$A40,'フォームの回答 1'!$F:$F,"Cash")</f>
        <v>880</v>
      </c>
      <c r="S40" s="1">
        <f>SUMIFS('フォームの回答 1'!$E:$E,'フォームの回答 1'!$B:$B,S38,'フォームの回答 1'!$H:$H,$A40,'フォームの回答 1'!$F:$F,"Cash")</f>
        <v>0</v>
      </c>
      <c r="T40" s="1">
        <f>SUMIFS('フォームの回答 1'!$E:$E,'フォームの回答 1'!$B:$B,T38,'フォームの回答 1'!$H:$H,$A40,'フォームの回答 1'!$F:$F,"Cash")</f>
        <v>2655</v>
      </c>
      <c r="U40" s="1">
        <f>SUMIFS('フォームの回答 1'!$E:$E,'フォームの回答 1'!$B:$B,U38,'フォームの回答 1'!$H:$H,$A40,'フォームの回答 1'!$F:$F,"Cash")</f>
        <v>1135</v>
      </c>
      <c r="V40" s="1">
        <f>SUMIFS('フォームの回答 1'!$E:$E,'フォームの回答 1'!$B:$B,V38,'フォームの回答 1'!$H:$H,$A40,'フォームの回答 1'!$F:$F,"Cash")</f>
        <v>884</v>
      </c>
      <c r="W40" s="1">
        <f>SUMIFS('フォームの回答 1'!$E:$E,'フォームの回答 1'!$B:$B,W38,'フォームの回答 1'!$H:$H,$A40,'フォームの回答 1'!$F:$F,"Cash")</f>
        <v>1978</v>
      </c>
      <c r="X40" s="1">
        <f>SUMIFS('フォームの回答 1'!$E:$E,'フォームの回答 1'!$B:$B,X38,'フォームの回答 1'!$H:$H,$A40,'フォームの回答 1'!$F:$F,"Cash")</f>
        <v>465</v>
      </c>
      <c r="Y40" s="1">
        <f>SUMIFS('フォームの回答 1'!$E:$E,'フォームの回答 1'!$B:$B,Y38,'フォームの回答 1'!$H:$H,$A40,'フォームの回答 1'!$F:$F,"Cash")</f>
        <v>6147</v>
      </c>
      <c r="Z40" s="1">
        <f>SUMIFS('フォームの回答 1'!$E:$E,'フォームの回答 1'!$B:$B,Z38,'フォームの回答 1'!$H:$H,$A40,'フォームの回答 1'!$F:$F,"Cash")</f>
        <v>1480</v>
      </c>
      <c r="AA40" s="1">
        <f>SUMIFS('フォームの回答 1'!$E:$E,'フォームの回答 1'!$B:$B,AA38,'フォームの回答 1'!$H:$H,$A40,'フォームの回答 1'!$F:$F,"Cash")</f>
        <v>47687</v>
      </c>
      <c r="AB40" s="1">
        <f>SUMIFS('フォームの回答 1'!$E:$E,'フォームの回答 1'!$B:$B,AB38,'フォームの回答 1'!$H:$H,$A40,'フォームの回答 1'!$F:$F,"Cash")</f>
        <v>4203</v>
      </c>
      <c r="AC40" s="1">
        <f>SUMIFS('フォームの回答 1'!$E:$E,'フォームの回答 1'!$B:$B,AC38,'フォームの回答 1'!$H:$H,$A40,'フォームの回答 1'!$F:$F,"Cash")</f>
        <v>1960</v>
      </c>
      <c r="AD40" s="1">
        <f>SUMIFS('フォームの回答 1'!$E:$E,'フォームの回答 1'!$B:$B,AD38,'フォームの回答 1'!$H:$H,$A40,'フォームの回答 1'!$F:$F,"Cash")+AI38</f>
        <v>349116</v>
      </c>
      <c r="AE40" s="1">
        <f>SUMIFS('フォームの回答 1'!$E:$E,'フォームの回答 1'!$B:$B,AE38,'フォームの回答 1'!$H:$H,$A40,'フォームの回答 1'!$F:$F,"Cash")</f>
        <v>5849</v>
      </c>
      <c r="AF40" s="1">
        <f>SUMIFS('フォームの回答 1'!$E:$E,'フォームの回答 1'!$B:$B,AF38,'フォームの回答 1'!$H:$H,$A40,'フォームの回答 1'!$F:$F,"Cash")</f>
        <v>1100</v>
      </c>
      <c r="AG40" s="1">
        <f>SUMIFS('フォームの回答 1'!$E:$E,'フォームの回答 1'!$B:$B,AG38,'フォームの回答 1'!$H:$H,$A40,'フォームの回答 1'!$F:$F,"Cash")</f>
        <v>500</v>
      </c>
    </row>
    <row r="41" spans="1:36" ht="15.75" customHeight="1">
      <c r="A41" s="2" t="s">
        <v>32</v>
      </c>
      <c r="C41" s="1">
        <f>AF35+C39-C40</f>
        <v>-227879</v>
      </c>
      <c r="D41" s="1">
        <f t="shared" ref="D41:AG41" si="6">C41+D39-D40</f>
        <v>-226073</v>
      </c>
      <c r="E41" s="1">
        <f t="shared" si="6"/>
        <v>-219216</v>
      </c>
      <c r="F41" s="1">
        <f t="shared" si="6"/>
        <v>-222996</v>
      </c>
      <c r="G41" s="1">
        <f t="shared" si="6"/>
        <v>-223216</v>
      </c>
      <c r="H41" s="1">
        <f t="shared" si="6"/>
        <v>-229897</v>
      </c>
      <c r="I41" s="1">
        <f t="shared" si="6"/>
        <v>-232977</v>
      </c>
      <c r="J41" s="1">
        <f t="shared" si="6"/>
        <v>-232977</v>
      </c>
      <c r="K41" s="1">
        <f t="shared" si="6"/>
        <v>-233266</v>
      </c>
      <c r="L41" s="1">
        <f t="shared" si="6"/>
        <v>-233386</v>
      </c>
      <c r="M41" s="1">
        <f t="shared" si="6"/>
        <v>-233386</v>
      </c>
      <c r="N41" s="1">
        <f t="shared" si="6"/>
        <v>-234484</v>
      </c>
      <c r="O41" s="1">
        <f t="shared" si="6"/>
        <v>-240167</v>
      </c>
      <c r="P41" s="1">
        <f t="shared" si="6"/>
        <v>-219083</v>
      </c>
      <c r="Q41" s="1">
        <f t="shared" si="6"/>
        <v>-219724</v>
      </c>
      <c r="R41" s="1">
        <f t="shared" si="6"/>
        <v>-220604</v>
      </c>
      <c r="S41" s="1">
        <f t="shared" si="6"/>
        <v>-220604</v>
      </c>
      <c r="T41" s="1">
        <f t="shared" si="6"/>
        <v>-223259</v>
      </c>
      <c r="U41" s="1">
        <f t="shared" si="6"/>
        <v>-224394</v>
      </c>
      <c r="V41" s="1">
        <f t="shared" si="6"/>
        <v>-224178</v>
      </c>
      <c r="W41" s="1">
        <f t="shared" si="6"/>
        <v>-226156</v>
      </c>
      <c r="X41" s="1">
        <f t="shared" si="6"/>
        <v>-226621</v>
      </c>
      <c r="Y41" s="1">
        <f t="shared" si="6"/>
        <v>-232768</v>
      </c>
      <c r="Z41" s="1">
        <f t="shared" si="6"/>
        <v>-233348</v>
      </c>
      <c r="AA41" s="1">
        <f t="shared" si="6"/>
        <v>98670</v>
      </c>
      <c r="AB41" s="1">
        <f t="shared" si="6"/>
        <v>94467</v>
      </c>
      <c r="AC41" s="1">
        <f t="shared" si="6"/>
        <v>192507</v>
      </c>
      <c r="AD41" s="1">
        <f t="shared" si="6"/>
        <v>-156609</v>
      </c>
      <c r="AE41" s="1">
        <f t="shared" si="6"/>
        <v>-162458</v>
      </c>
      <c r="AF41" s="1">
        <f t="shared" si="6"/>
        <v>-163558</v>
      </c>
      <c r="AG41" s="1">
        <f t="shared" si="6"/>
        <v>-164058</v>
      </c>
    </row>
    <row r="43" spans="1:36" ht="15.75" customHeight="1">
      <c r="B43" s="20" t="s">
        <v>68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I43" s="2" t="s">
        <v>69</v>
      </c>
      <c r="AJ43" s="1"/>
    </row>
    <row r="44" spans="1:36" ht="15.75" customHeight="1">
      <c r="B44" s="2" t="s">
        <v>29</v>
      </c>
      <c r="C44" s="11">
        <v>45870</v>
      </c>
      <c r="D44" s="11">
        <v>45871</v>
      </c>
      <c r="E44" s="11">
        <v>45872</v>
      </c>
      <c r="F44" s="11">
        <v>45873</v>
      </c>
      <c r="G44" s="11">
        <v>45874</v>
      </c>
      <c r="H44" s="11">
        <v>45875</v>
      </c>
      <c r="I44" s="11">
        <v>45876</v>
      </c>
      <c r="J44" s="11">
        <v>45877</v>
      </c>
      <c r="K44" s="11">
        <v>45878</v>
      </c>
      <c r="L44" s="11">
        <v>45879</v>
      </c>
      <c r="M44" s="11">
        <v>45880</v>
      </c>
      <c r="N44" s="11">
        <v>45881</v>
      </c>
      <c r="O44" s="11">
        <v>45882</v>
      </c>
      <c r="P44" s="11">
        <v>45883</v>
      </c>
      <c r="Q44" s="11">
        <v>45884</v>
      </c>
      <c r="R44" s="11">
        <v>45885</v>
      </c>
      <c r="S44" s="11">
        <v>45886</v>
      </c>
      <c r="T44" s="11">
        <v>45887</v>
      </c>
      <c r="U44" s="11">
        <v>45888</v>
      </c>
      <c r="V44" s="11">
        <v>45889</v>
      </c>
      <c r="W44" s="11">
        <v>45890</v>
      </c>
      <c r="X44" s="11">
        <v>45891</v>
      </c>
      <c r="Y44" s="11">
        <v>45892</v>
      </c>
      <c r="Z44" s="11">
        <v>45893</v>
      </c>
      <c r="AA44" s="11">
        <v>45894</v>
      </c>
      <c r="AB44" s="11">
        <v>45895</v>
      </c>
      <c r="AC44" s="11">
        <v>45896</v>
      </c>
      <c r="AD44" s="11">
        <v>45897</v>
      </c>
      <c r="AE44" s="11">
        <v>45898</v>
      </c>
      <c r="AF44" s="11">
        <v>45899</v>
      </c>
      <c r="AG44" s="11">
        <v>45900</v>
      </c>
      <c r="AI44" s="13">
        <v>167345</v>
      </c>
    </row>
    <row r="45" spans="1:36" ht="15.75" customHeight="1">
      <c r="A45" s="2" t="s">
        <v>34</v>
      </c>
      <c r="B45" s="1">
        <f>SUM(V45:AG45)</f>
        <v>389705</v>
      </c>
      <c r="C45" s="1">
        <f>SUMIFS('フォームの回答 1'!$E:$E,'フォームの回答 1'!$B:$B,C44,'フォームの回答 1'!$H:$H,$A45)</f>
        <v>0</v>
      </c>
      <c r="D45" s="1">
        <f>SUMIFS('フォームの回答 1'!$E:$E,'フォームの回答 1'!$B:$B,D44,'フォームの回答 1'!$H:$H,$A45)</f>
        <v>0</v>
      </c>
      <c r="E45" s="1">
        <f>SUMIFS('フォームの回答 1'!$E:$E,'フォームの回答 1'!$B:$B,E44,'フォームの回答 1'!$H:$H,$A45)</f>
        <v>0</v>
      </c>
      <c r="F45" s="1">
        <f>SUMIFS('フォームの回答 1'!$E:$E,'フォームの回答 1'!$B:$B,F44,'フォームの回答 1'!$H:$H,$A45)</f>
        <v>0</v>
      </c>
      <c r="G45" s="1">
        <f>SUMIFS('フォームの回答 1'!$E:$E,'フォームの回答 1'!$B:$B,G44,'フォームの回答 1'!$H:$H,$A45)</f>
        <v>0</v>
      </c>
      <c r="H45" s="1">
        <f>SUMIFS('フォームの回答 1'!$E:$E,'フォームの回答 1'!$B:$B,H44,'フォームの回答 1'!$H:$H,$A45)</f>
        <v>0</v>
      </c>
      <c r="I45" s="1">
        <f>SUMIFS('フォームの回答 1'!$E:$E,'フォームの回答 1'!$B:$B,I44,'フォームの回答 1'!$H:$H,$A45)</f>
        <v>0</v>
      </c>
      <c r="J45" s="1">
        <f>SUMIFS('フォームの回答 1'!$E:$E,'フォームの回答 1'!$B:$B,J44,'フォームの回答 1'!$H:$H,$A45)</f>
        <v>0</v>
      </c>
      <c r="K45" s="1">
        <f>SUMIFS('フォームの回答 1'!$E:$E,'フォームの回答 1'!$B:$B,K44,'フォームの回答 1'!$H:$H,$A45)</f>
        <v>0</v>
      </c>
      <c r="L45" s="1">
        <f>SUMIFS('フォームの回答 1'!$E:$E,'フォームの回答 1'!$B:$B,L44,'フォームの回答 1'!$H:$H,$A45)</f>
        <v>0</v>
      </c>
      <c r="M45" s="1">
        <f>SUMIFS('フォームの回答 1'!$E:$E,'フォームの回答 1'!$B:$B,M44,'フォームの回答 1'!$H:$H,$A45)</f>
        <v>0</v>
      </c>
      <c r="N45" s="1">
        <f>SUMIFS('フォームの回答 1'!$E:$E,'フォームの回答 1'!$B:$B,N44,'フォームの回答 1'!$H:$H,$A45)</f>
        <v>0</v>
      </c>
      <c r="O45" s="1">
        <f>SUMIFS('フォームの回答 1'!$E:$E,'フォームの回答 1'!$B:$B,O44,'フォームの回答 1'!$H:$H,$A45)</f>
        <v>0</v>
      </c>
      <c r="P45" s="1">
        <f>SUMIFS('フォームの回答 1'!$E:$E,'フォームの回答 1'!$B:$B,P44,'フォームの回答 1'!$H:$H,$A45)</f>
        <v>0</v>
      </c>
      <c r="Q45" s="1">
        <f>SUMIFS('フォームの回答 1'!$E:$E,'フォームの回答 1'!$B:$B,Q44,'フォームの回答 1'!$H:$H,$A45)</f>
        <v>0</v>
      </c>
      <c r="R45" s="1">
        <f>SUMIFS('フォームの回答 1'!$E:$E,'フォームの回答 1'!$B:$B,R44,'フォームの回答 1'!$H:$H,$A45)</f>
        <v>0</v>
      </c>
      <c r="S45" s="1">
        <f>SUMIFS('フォームの回答 1'!$E:$E,'フォームの回答 1'!$B:$B,S44,'フォームの回答 1'!$H:$H,$A45)</f>
        <v>0</v>
      </c>
      <c r="T45" s="1">
        <f>SUMIFS('フォームの回答 1'!$E:$E,'フォームの回答 1'!$B:$B,T44,'フォームの回答 1'!$H:$H,$A45)</f>
        <v>0</v>
      </c>
      <c r="U45" s="1">
        <f>SUMIFS('フォームの回答 1'!$E:$E,'フォームの回答 1'!$B:$B,U44,'フォームの回答 1'!$H:$H,$A45)</f>
        <v>0</v>
      </c>
      <c r="V45" s="1">
        <f>SUMIFS('フォームの回答 1'!$E:$E,'フォームの回答 1'!$B:$B,V44,'フォームの回答 1'!$H:$H,$A45)</f>
        <v>0</v>
      </c>
      <c r="W45" s="1">
        <f>SUMIFS('フォームの回答 1'!$E:$E,'フォームの回答 1'!$B:$B,W44,'フォームの回答 1'!$H:$H,$A45)</f>
        <v>0</v>
      </c>
      <c r="X45" s="1">
        <f>SUMIFS('フォームの回答 1'!$E:$E,'フォームの回答 1'!$B:$B,X44,'フォームの回答 1'!$H:$H,$A45)</f>
        <v>0</v>
      </c>
      <c r="Y45" s="1">
        <f>SUMIFS('フォームの回答 1'!$E:$E,'フォームの回答 1'!$B:$B,Y44,'フォームの回答 1'!$H:$H,$A45)</f>
        <v>0</v>
      </c>
      <c r="Z45" s="1">
        <f>SUMIFS('フォームの回答 1'!$E:$E,'フォームの回答 1'!$B:$B,Z44,'フォームの回答 1'!$H:$H,$A45)</f>
        <v>0</v>
      </c>
      <c r="AA45" s="1">
        <f>SUMIFS('フォームの回答 1'!$E:$E,'フォームの回答 1'!$B:$B,AA44,'フォームの回答 1'!$H:$H,$A45)+AJ36</f>
        <v>379705</v>
      </c>
      <c r="AB45" s="1">
        <f>SUMIFS('フォームの回答 1'!$E:$E,'フォームの回答 1'!$B:$B,AB44,'フォームの回答 1'!$H:$H,$A45)</f>
        <v>0</v>
      </c>
      <c r="AC45" s="1">
        <f>SUMIFS('フォームの回答 1'!$E:$E,'フォームの回答 1'!$B:$B,AC44,'フォームの回答 1'!$H:$H,$A45)</f>
        <v>0</v>
      </c>
      <c r="AD45" s="1">
        <f>SUMIFS('フォームの回答 1'!$E:$E,'フォームの回答 1'!$B:$B,AD44,'フォームの回答 1'!$H:$H,$A45)</f>
        <v>0</v>
      </c>
      <c r="AE45" s="1">
        <f>SUMIFS('フォームの回答 1'!$E:$E,'フォームの回答 1'!$B:$B,AE44,'フォームの回答 1'!$H:$H,$A45)</f>
        <v>0</v>
      </c>
      <c r="AF45" s="1">
        <f>SUMIFS('フォームの回答 1'!$E:$E,'フォームの回答 1'!$B:$B,AF44,'フォームの回答 1'!$H:$H,$A45)</f>
        <v>0</v>
      </c>
      <c r="AG45" s="1">
        <f>SUMIFS('フォームの回答 1'!$E:$E,'フォームの回答 1'!$B:$B,AG44,'フォームの回答 1'!$H:$H,$A45)</f>
        <v>10000</v>
      </c>
    </row>
    <row r="46" spans="1:36" ht="13">
      <c r="A46" s="2" t="s">
        <v>35</v>
      </c>
      <c r="B46" s="1">
        <f>SUM(C46:AG46)</f>
        <v>445157</v>
      </c>
      <c r="C46" s="1">
        <f>SUMIFS('フォームの回答 1'!$E:$E,'フォームの回答 1'!$B:$B,C44,'フォームの回答 1'!$H:$H,$A46,'フォームの回答 1'!$F:$F,"Cash")</f>
        <v>850</v>
      </c>
      <c r="D46" s="1">
        <f>SUMIFS('フォームの回答 1'!$E:$E,'フォームの回答 1'!$B:$B,D44,'フォームの回答 1'!$H:$H,$A46,'フォームの回答 1'!$F:$F,"Cash")</f>
        <v>2044</v>
      </c>
      <c r="E46" s="1">
        <f>SUMIFS('フォームの回答 1'!$E:$E,'フォームの回答 1'!$B:$B,E44,'フォームの回答 1'!$H:$H,$A46,'フォームの回答 1'!$F:$F,"Cash")</f>
        <v>1190</v>
      </c>
      <c r="F46" s="1">
        <f>SUMIFS('フォームの回答 1'!$E:$E,'フォームの回答 1'!$B:$B,F44,'フォームの回答 1'!$H:$H,$A46,'フォームの回答 1'!$F:$F,"Cash")</f>
        <v>2847</v>
      </c>
      <c r="G46" s="1">
        <f>SUMIFS('フォームの回答 1'!$E:$E,'フォームの回答 1'!$B:$B,G44,'フォームの回答 1'!$H:$H,$A46,'フォームの回答 1'!$F:$F,"Cash")</f>
        <v>0</v>
      </c>
      <c r="H46" s="1">
        <f>SUMIFS('フォームの回答 1'!$E:$E,'フォームの回答 1'!$B:$B,H44,'フォームの回答 1'!$H:$H,$A46,'フォームの回答 1'!$F:$F,"Cash")</f>
        <v>4448</v>
      </c>
      <c r="I46" s="1">
        <f>SUMIFS('フォームの回答 1'!$E:$E,'フォームの回答 1'!$B:$B,I44,'フォームの回答 1'!$H:$H,$A46,'フォームの回答 1'!$F:$F,"Cash")</f>
        <v>0</v>
      </c>
      <c r="J46" s="1">
        <f>SUMIFS('フォームの回答 1'!$E:$E,'フォームの回答 1'!$B:$B,J44,'フォームの回答 1'!$H:$H,$A46,'フォームの回答 1'!$F:$F,"Cash")</f>
        <v>1230</v>
      </c>
      <c r="K46" s="1">
        <f>SUMIFS('フォームの回答 1'!$E:$E,'フォームの回答 1'!$B:$B,K44,'フォームの回答 1'!$H:$H,$A46,'フォームの回答 1'!$F:$F,"Cash")</f>
        <v>20431</v>
      </c>
      <c r="L46" s="1">
        <f>SUMIFS('フォームの回答 1'!$E:$E,'フォームの回答 1'!$B:$B,L44,'フォームの回答 1'!$H:$H,$A46,'フォームの回答 1'!$F:$F,"Cash")</f>
        <v>694</v>
      </c>
      <c r="M46" s="1">
        <f>SUMIFS('フォームの回答 1'!$E:$E,'フォームの回答 1'!$B:$B,M44,'フォームの回答 1'!$H:$H,$A46,'フォームの回答 1'!$F:$F,"Cash")</f>
        <v>2014</v>
      </c>
      <c r="N46" s="1">
        <f>SUMIFS('フォームの回答 1'!$E:$E,'フォームの回答 1'!$B:$B,N44,'フォームの回答 1'!$H:$H,$A46,'フォームの回答 1'!$F:$F,"Cash")</f>
        <v>0</v>
      </c>
      <c r="O46" s="1">
        <f>SUMIFS('フォームの回答 1'!$E:$E,'フォームの回答 1'!$B:$B,O44,'フォームの回答 1'!$H:$H,$A46,'フォームの回答 1'!$F:$F,"Cash")</f>
        <v>3525</v>
      </c>
      <c r="P46" s="1">
        <f>SUMIFS('フォームの回答 1'!$E:$E,'フォームの回答 1'!$B:$B,P44,'フォームの回答 1'!$H:$H,$A46,'フォームの回答 1'!$F:$F,"Cash")</f>
        <v>1969</v>
      </c>
      <c r="Q46" s="1">
        <f>SUMIFS('フォームの回答 1'!$E:$E,'フォームの回答 1'!$B:$B,Q44,'フォームの回答 1'!$H:$H,$A46,'フォームの回答 1'!$F:$F,"Cash")</f>
        <v>1500</v>
      </c>
      <c r="R46" s="1">
        <f>SUMIFS('フォームの回答 1'!$E:$E,'フォームの回答 1'!$B:$B,R44,'フォームの回答 1'!$H:$H,$A46,'フォームの回答 1'!$F:$F,"Cash")</f>
        <v>2487</v>
      </c>
      <c r="S46" s="1">
        <f>SUMIFS('フォームの回答 1'!$E:$E,'フォームの回答 1'!$B:$B,S44,'フォームの回答 1'!$H:$H,$A46,'フォームの回答 1'!$F:$F,"Cash")</f>
        <v>8460</v>
      </c>
      <c r="T46" s="1">
        <f>SUMIFS('フォームの回答 1'!$E:$E,'フォームの回答 1'!$B:$B,T44,'フォームの回答 1'!$H:$H,$A46,'フォームの回答 1'!$F:$F,"Cash")</f>
        <v>1100</v>
      </c>
      <c r="U46" s="1">
        <f>SUMIFS('フォームの回答 1'!$E:$E,'フォームの回答 1'!$B:$B,U44,'フォームの回答 1'!$H:$H,$A46,'フォームの回答 1'!$F:$F,"Cash")</f>
        <v>7020</v>
      </c>
      <c r="V46" s="1">
        <f>SUMIFS('フォームの回答 1'!$E:$E,'フォームの回答 1'!$B:$B,V44,'フォームの回答 1'!$H:$H,$A46,'フォームの回答 1'!$F:$F,"Cash")</f>
        <v>1100</v>
      </c>
      <c r="W46" s="1">
        <f>SUMIFS('フォームの回答 1'!$E:$E,'フォームの回答 1'!$B:$B,W44,'フォームの回答 1'!$H:$H,$A46,'フォームの回答 1'!$F:$F,"Cash")</f>
        <v>2332</v>
      </c>
      <c r="X46" s="1">
        <f>SUMIFS('フォームの回答 1'!$E:$E,'フォームの回答 1'!$B:$B,X44,'フォームの回答 1'!$H:$H,$A46,'フォームの回答 1'!$F:$F,"Cash")</f>
        <v>3999</v>
      </c>
      <c r="Y46" s="1">
        <f>SUMIFS('フォームの回答 1'!$E:$E,'フォームの回答 1'!$B:$B,Y44,'フォームの回答 1'!$H:$H,$A46,'フォームの回答 1'!$F:$F,"Cash")</f>
        <v>3122</v>
      </c>
      <c r="Z46" s="1">
        <f>SUMIFS('フォームの回答 1'!$E:$E,'フォームの回答 1'!$B:$B,Z44,'フォームの回答 1'!$H:$H,$A46,'フォームの回答 1'!$F:$F,"Cash")</f>
        <v>3315</v>
      </c>
      <c r="AA46" s="1">
        <f>SUMIFS('フォームの回答 1'!$E:$E,'フォームの回答 1'!$B:$B,AA44,'フォームの回答 1'!$H:$H,$A46,'フォームの回答 1'!$F:$F,"Cash")</f>
        <v>41740</v>
      </c>
      <c r="AB46" s="1">
        <f>SUMIFS('フォームの回答 1'!$E:$E,'フォームの回答 1'!$B:$B,AB44,'フォームの回答 1'!$H:$H,$A46,'フォームの回答 1'!$F:$F,"Cash")</f>
        <v>5251</v>
      </c>
      <c r="AC46" s="1">
        <f>SUMIFS('フォームの回答 1'!$E:$E,'フォームの回答 1'!$B:$B,AC44,'フォームの回答 1'!$H:$H,$A46,'フォームの回答 1'!$F:$F,"Cash")+AI44</f>
        <v>317415</v>
      </c>
      <c r="AD46" s="1">
        <f>SUMIFS('フォームの回答 1'!$E:$E,'フォームの回答 1'!$B:$B,AD44,'フォームの回答 1'!$H:$H,$A46,'フォームの回答 1'!$F:$F,"Cash")</f>
        <v>1300</v>
      </c>
      <c r="AE46" s="1">
        <f>SUMIFS('フォームの回答 1'!$E:$E,'フォームの回答 1'!$B:$B,AE44,'フォームの回答 1'!$H:$H,$A46,'フォームの回答 1'!$F:$F,"Cash")</f>
        <v>1386</v>
      </c>
      <c r="AF46" s="1">
        <f>SUMIFS('フォームの回答 1'!$E:$E,'フォームの回答 1'!$B:$B,AF44,'フォームの回答 1'!$H:$H,$A46,'フォームの回答 1'!$F:$F,"Cash")</f>
        <v>1941</v>
      </c>
      <c r="AG46" s="1">
        <f>SUMIFS('フォームの回答 1'!$E:$E,'フォームの回答 1'!$B:$B,AG44,'フォームの回答 1'!$H:$H,$A46,'フォームの回答 1'!$F:$F,"Cash")</f>
        <v>447</v>
      </c>
    </row>
    <row r="47" spans="1:36" ht="13">
      <c r="A47" s="2" t="s">
        <v>32</v>
      </c>
      <c r="C47" s="1">
        <f>AG41+C45-C46</f>
        <v>-164908</v>
      </c>
      <c r="D47" s="1">
        <f t="shared" ref="D47:AG47" si="7">C47+D45-D46</f>
        <v>-166952</v>
      </c>
      <c r="E47" s="1">
        <f t="shared" si="7"/>
        <v>-168142</v>
      </c>
      <c r="F47" s="1">
        <f t="shared" si="7"/>
        <v>-170989</v>
      </c>
      <c r="G47" s="1">
        <f t="shared" si="7"/>
        <v>-170989</v>
      </c>
      <c r="H47" s="1">
        <f t="shared" si="7"/>
        <v>-175437</v>
      </c>
      <c r="I47" s="1">
        <f t="shared" si="7"/>
        <v>-175437</v>
      </c>
      <c r="J47" s="1">
        <f t="shared" si="7"/>
        <v>-176667</v>
      </c>
      <c r="K47" s="1">
        <f t="shared" si="7"/>
        <v>-197098</v>
      </c>
      <c r="L47" s="1">
        <f t="shared" si="7"/>
        <v>-197792</v>
      </c>
      <c r="M47" s="1">
        <f t="shared" si="7"/>
        <v>-199806</v>
      </c>
      <c r="N47" s="1">
        <f t="shared" si="7"/>
        <v>-199806</v>
      </c>
      <c r="O47" s="1">
        <f t="shared" si="7"/>
        <v>-203331</v>
      </c>
      <c r="P47" s="1">
        <f t="shared" si="7"/>
        <v>-205300</v>
      </c>
      <c r="Q47" s="1">
        <f t="shared" si="7"/>
        <v>-206800</v>
      </c>
      <c r="R47" s="1">
        <f t="shared" si="7"/>
        <v>-209287</v>
      </c>
      <c r="S47" s="1">
        <f t="shared" si="7"/>
        <v>-217747</v>
      </c>
      <c r="T47" s="1">
        <f t="shared" si="7"/>
        <v>-218847</v>
      </c>
      <c r="U47" s="1">
        <f t="shared" si="7"/>
        <v>-225867</v>
      </c>
      <c r="V47" s="1">
        <f t="shared" si="7"/>
        <v>-226967</v>
      </c>
      <c r="W47" s="1">
        <f t="shared" si="7"/>
        <v>-229299</v>
      </c>
      <c r="X47" s="1">
        <f t="shared" si="7"/>
        <v>-233298</v>
      </c>
      <c r="Y47" s="1">
        <f t="shared" si="7"/>
        <v>-236420</v>
      </c>
      <c r="Z47" s="1">
        <f t="shared" si="7"/>
        <v>-239735</v>
      </c>
      <c r="AA47" s="1">
        <f t="shared" si="7"/>
        <v>98230</v>
      </c>
      <c r="AB47" s="1">
        <f t="shared" si="7"/>
        <v>92979</v>
      </c>
      <c r="AC47" s="1">
        <f t="shared" si="7"/>
        <v>-224436</v>
      </c>
      <c r="AD47" s="1">
        <f t="shared" si="7"/>
        <v>-225736</v>
      </c>
      <c r="AE47" s="1">
        <f t="shared" si="7"/>
        <v>-227122</v>
      </c>
      <c r="AF47" s="1">
        <f t="shared" si="7"/>
        <v>-229063</v>
      </c>
      <c r="AG47" s="1">
        <f t="shared" si="7"/>
        <v>-219510</v>
      </c>
    </row>
    <row r="49" spans="1:36" ht="13">
      <c r="B49" s="20" t="s">
        <v>70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12"/>
      <c r="AI49" s="2" t="s">
        <v>71</v>
      </c>
      <c r="AJ49" s="1"/>
    </row>
    <row r="50" spans="1:36" ht="13">
      <c r="B50" s="2" t="s">
        <v>29</v>
      </c>
      <c r="C50" s="11">
        <v>45901</v>
      </c>
      <c r="D50" s="11">
        <v>45902</v>
      </c>
      <c r="E50" s="11">
        <v>45903</v>
      </c>
      <c r="F50" s="11">
        <v>45904</v>
      </c>
      <c r="G50" s="11">
        <v>45905</v>
      </c>
      <c r="H50" s="11">
        <v>45906</v>
      </c>
      <c r="I50" s="11">
        <v>45907</v>
      </c>
      <c r="J50" s="11">
        <v>45908</v>
      </c>
      <c r="K50" s="11">
        <v>45909</v>
      </c>
      <c r="L50" s="11">
        <v>45910</v>
      </c>
      <c r="M50" s="11">
        <v>45911</v>
      </c>
      <c r="N50" s="11">
        <v>45912</v>
      </c>
      <c r="O50" s="11">
        <v>45913</v>
      </c>
      <c r="P50" s="11">
        <v>45914</v>
      </c>
      <c r="Q50" s="11">
        <v>45915</v>
      </c>
      <c r="R50" s="11">
        <v>45916</v>
      </c>
      <c r="S50" s="11">
        <v>45917</v>
      </c>
      <c r="T50" s="11">
        <v>45918</v>
      </c>
      <c r="U50" s="11">
        <v>45919</v>
      </c>
      <c r="V50" s="11">
        <v>45920</v>
      </c>
      <c r="W50" s="11">
        <v>45921</v>
      </c>
      <c r="X50" s="11">
        <v>45922</v>
      </c>
      <c r="Y50" s="11">
        <v>45923</v>
      </c>
      <c r="Z50" s="11">
        <v>45924</v>
      </c>
      <c r="AA50" s="11">
        <v>45925</v>
      </c>
      <c r="AB50" s="11">
        <v>45926</v>
      </c>
      <c r="AC50" s="11">
        <v>45927</v>
      </c>
      <c r="AD50" s="11">
        <v>45928</v>
      </c>
      <c r="AE50" s="11">
        <v>45929</v>
      </c>
      <c r="AF50" s="11">
        <v>45930</v>
      </c>
      <c r="AG50" s="11"/>
      <c r="AI50" s="13">
        <v>166252</v>
      </c>
    </row>
    <row r="51" spans="1:36" ht="13">
      <c r="A51" s="2" t="s">
        <v>34</v>
      </c>
      <c r="B51" s="1">
        <f>SUM(V51:AG51)</f>
        <v>379705</v>
      </c>
      <c r="C51" s="1">
        <f>SUMIFS('フォームの回答 1'!$E:$E,'フォームの回答 1'!$B:$B,C50,'フォームの回答 1'!$H:$H,$A51)</f>
        <v>13911</v>
      </c>
      <c r="D51" s="1">
        <f>SUMIFS('フォームの回答 1'!$E:$E,'フォームの回答 1'!$B:$B,D50,'フォームの回答 1'!$H:$H,$A51)</f>
        <v>0</v>
      </c>
      <c r="E51" s="1">
        <f>SUMIFS('フォームの回答 1'!$E:$E,'フォームの回答 1'!$B:$B,E50,'フォームの回答 1'!$H:$H,$A51)</f>
        <v>0</v>
      </c>
      <c r="F51" s="1">
        <f>SUMIFS('フォームの回答 1'!$E:$E,'フォームの回答 1'!$B:$B,F50,'フォームの回答 1'!$H:$H,$A51)</f>
        <v>8672</v>
      </c>
      <c r="G51" s="1">
        <f>SUMIFS('フォームの回答 1'!$E:$E,'フォームの回答 1'!$B:$B,G50,'フォームの回答 1'!$H:$H,$A51)</f>
        <v>3500</v>
      </c>
      <c r="H51" s="1">
        <f>SUMIFS('フォームの回答 1'!$E:$E,'フォームの回答 1'!$B:$B,H50,'フォームの回答 1'!$H:$H,$A51)</f>
        <v>0</v>
      </c>
      <c r="I51" s="1">
        <f>SUMIFS('フォームの回答 1'!$E:$E,'フォームの回答 1'!$B:$B,I50,'フォームの回答 1'!$H:$H,$A51)</f>
        <v>0</v>
      </c>
      <c r="J51" s="1">
        <f>SUMIFS('フォームの回答 1'!$E:$E,'フォームの回答 1'!$B:$B,J50,'フォームの回答 1'!$H:$H,$A51)</f>
        <v>0</v>
      </c>
      <c r="K51" s="1">
        <f>SUMIFS('フォームの回答 1'!$E:$E,'フォームの回答 1'!$B:$B,K50,'フォームの回答 1'!$H:$H,$A51)</f>
        <v>0</v>
      </c>
      <c r="L51" s="1">
        <f>SUMIFS('フォームの回答 1'!$E:$E,'フォームの回答 1'!$B:$B,L50,'フォームの回答 1'!$H:$H,$A51)</f>
        <v>1500</v>
      </c>
      <c r="M51" s="1">
        <f>SUMIFS('フォームの回答 1'!$E:$E,'フォームの回答 1'!$B:$B,M50,'フォームの回答 1'!$H:$H,$A51)</f>
        <v>0</v>
      </c>
      <c r="N51" s="1">
        <f>SUMIFS('フォームの回答 1'!$E:$E,'フォームの回答 1'!$B:$B,N50,'フォームの回答 1'!$H:$H,$A51)</f>
        <v>0</v>
      </c>
      <c r="O51" s="1">
        <f>SUMIFS('フォームの回答 1'!$E:$E,'フォームの回答 1'!$B:$B,O50,'フォームの回答 1'!$H:$H,$A51)</f>
        <v>0</v>
      </c>
      <c r="P51" s="1">
        <f>SUMIFS('フォームの回答 1'!$E:$E,'フォームの回答 1'!$B:$B,P50,'フォームの回答 1'!$H:$H,$A51)</f>
        <v>0</v>
      </c>
      <c r="Q51" s="1">
        <f>SUMIFS('フォームの回答 1'!$E:$E,'フォームの回答 1'!$B:$B,Q50,'フォームの回答 1'!$H:$H,$A51)</f>
        <v>0</v>
      </c>
      <c r="R51" s="1">
        <f>SUMIFS('フォームの回答 1'!$E:$E,'フォームの回答 1'!$B:$B,R50,'フォームの回答 1'!$H:$H,$A51)</f>
        <v>0</v>
      </c>
      <c r="S51" s="1">
        <f>SUMIFS('フォームの回答 1'!$E:$E,'フォームの回答 1'!$B:$B,S50,'フォームの回答 1'!$H:$H,$A51)</f>
        <v>3000</v>
      </c>
      <c r="T51" s="1">
        <f>SUMIFS('フォームの回答 1'!$E:$E,'フォームの回答 1'!$B:$B,T50,'フォームの回答 1'!$H:$H,$A51)</f>
        <v>0</v>
      </c>
      <c r="U51" s="1">
        <f>SUMIFS('フォームの回答 1'!$E:$E,'フォームの回答 1'!$B:$B,U50,'フォームの回答 1'!$H:$H,$A51)</f>
        <v>0</v>
      </c>
      <c r="V51" s="1">
        <f>SUMIFS('フォームの回答 1'!$E:$E,'フォームの回答 1'!$B:$B,V50,'フォームの回答 1'!$H:$H,$A51)</f>
        <v>0</v>
      </c>
      <c r="W51" s="1">
        <f>SUMIFS('フォームの回答 1'!$E:$E,'フォームの回答 1'!$B:$B,W50,'フォームの回答 1'!$H:$H,$A51)</f>
        <v>0</v>
      </c>
      <c r="X51" s="1">
        <f>SUMIFS('フォームの回答 1'!$E:$E,'フォームの回答 1'!$B:$B,X50,'フォームの回答 1'!$H:$H,$A51)</f>
        <v>0</v>
      </c>
      <c r="Y51" s="1">
        <f>SUMIFS('フォームの回答 1'!$E:$E,'フォームの回答 1'!$B:$B,Y50,'フォームの回答 1'!$H:$H,$A51)</f>
        <v>0</v>
      </c>
      <c r="Z51" s="1">
        <f>SUMIFS('フォームの回答 1'!$E:$E,'フォームの回答 1'!$B:$B,Z50,'フォームの回答 1'!$H:$H,$A51)</f>
        <v>0</v>
      </c>
      <c r="AA51" s="1">
        <f>SUMIFS('フォームの回答 1'!$E:$E,'フォームの回答 1'!$B:$B,AA50,'フォームの回答 1'!$H:$H,$A51)+AJ42</f>
        <v>379705</v>
      </c>
      <c r="AB51" s="1">
        <f>SUMIFS('フォームの回答 1'!$E:$E,'フォームの回答 1'!$B:$B,AB50,'フォームの回答 1'!$H:$H,$A51)</f>
        <v>0</v>
      </c>
      <c r="AC51" s="1">
        <f>SUMIFS('フォームの回答 1'!$E:$E,'フォームの回答 1'!$B:$B,AC50,'フォームの回答 1'!$H:$H,$A51)</f>
        <v>0</v>
      </c>
      <c r="AD51" s="1">
        <f>SUMIFS('フォームの回答 1'!$E:$E,'フォームの回答 1'!$B:$B,AD50,'フォームの回答 1'!$H:$H,$A51)</f>
        <v>0</v>
      </c>
      <c r="AE51" s="1">
        <f>SUMIFS('フォームの回答 1'!$E:$E,'フォームの回答 1'!$B:$B,AE50,'フォームの回答 1'!$H:$H,$A51)</f>
        <v>0</v>
      </c>
      <c r="AF51" s="1">
        <f>SUMIFS('フォームの回答 1'!$E:$E,'フォームの回答 1'!$B:$B,AF50,'フォームの回答 1'!$H:$H,$A51)</f>
        <v>0</v>
      </c>
      <c r="AG51" s="1"/>
    </row>
    <row r="52" spans="1:36" ht="13">
      <c r="A52" s="2" t="s">
        <v>35</v>
      </c>
      <c r="B52" s="1">
        <f>SUM(C52:AG52)</f>
        <v>416812</v>
      </c>
      <c r="C52" s="1">
        <f>SUMIFS('フォームの回答 1'!$E:$E,'フォームの回答 1'!$B:$B,C50,'フォームの回答 1'!$H:$H,$A52,'フォームの回答 1'!$F:$F,"Cash")</f>
        <v>852</v>
      </c>
      <c r="D52" s="1">
        <f>SUMIFS('フォームの回答 1'!$E:$E,'フォームの回答 1'!$B:$B,D50,'フォームの回答 1'!$H:$H,$A52,'フォームの回答 1'!$F:$F,"Cash")</f>
        <v>472</v>
      </c>
      <c r="E52" s="1">
        <f>SUMIFS('フォームの回答 1'!$E:$E,'フォームの回答 1'!$B:$B,E50,'フォームの回答 1'!$H:$H,$A52,'フォームの回答 1'!$F:$F,"Cash")</f>
        <v>4532</v>
      </c>
      <c r="F52" s="1">
        <f>SUMIFS('フォームの回答 1'!$E:$E,'フォームの回答 1'!$B:$B,F50,'フォームの回答 1'!$H:$H,$A52,'フォームの回答 1'!$F:$F,"Cash")</f>
        <v>1065</v>
      </c>
      <c r="G52" s="1">
        <f>SUMIFS('フォームの回答 1'!$E:$E,'フォームの回答 1'!$B:$B,G50,'フォームの回答 1'!$H:$H,$A52,'フォームの回答 1'!$F:$F,"Cash")</f>
        <v>2193</v>
      </c>
      <c r="H52" s="1">
        <f>SUMIFS('フォームの回答 1'!$E:$E,'フォームの回答 1'!$B:$B,H50,'フォームの回答 1'!$H:$H,$A52,'フォームの回答 1'!$F:$F,"Cash")</f>
        <v>4084</v>
      </c>
      <c r="I52" s="1">
        <f>SUMIFS('フォームの回答 1'!$E:$E,'フォームの回答 1'!$B:$B,I50,'フォームの回答 1'!$H:$H,$A52,'フォームの回答 1'!$F:$F,"Cash")</f>
        <v>130</v>
      </c>
      <c r="J52" s="1">
        <f>SUMIFS('フォームの回答 1'!$E:$E,'フォームの回答 1'!$B:$B,J50,'フォームの回答 1'!$H:$H,$A52,'フォームの回答 1'!$F:$F,"Cash")</f>
        <v>1100</v>
      </c>
      <c r="K52" s="1">
        <f>SUMIFS('フォームの回答 1'!$E:$E,'フォームの回答 1'!$B:$B,K50,'フォームの回答 1'!$H:$H,$A52,'フォームの回答 1'!$F:$F,"Cash")</f>
        <v>0</v>
      </c>
      <c r="L52" s="1">
        <f>SUMIFS('フォームの回答 1'!$E:$E,'フォームの回答 1'!$B:$B,L50,'フォームの回答 1'!$H:$H,$A52,'フォームの回答 1'!$F:$F,"Cash")</f>
        <v>2200</v>
      </c>
      <c r="M52" s="1">
        <f>SUMIFS('フォームの回答 1'!$E:$E,'フォームの回答 1'!$B:$B,M50,'フォームの回答 1'!$H:$H,$A52,'フォームの回答 1'!$F:$F,"Cash")</f>
        <v>0</v>
      </c>
      <c r="N52" s="1">
        <f>SUMIFS('フォームの回答 1'!$E:$E,'フォームの回答 1'!$B:$B,N50,'フォームの回答 1'!$H:$H,$A52,'フォームの回答 1'!$F:$F,"Cash")</f>
        <v>3848</v>
      </c>
      <c r="O52" s="1">
        <f>SUMIFS('フォームの回答 1'!$E:$E,'フォームの回答 1'!$B:$B,O50,'フォームの回答 1'!$H:$H,$A52,'フォームの回答 1'!$F:$F,"Cash")</f>
        <v>7480</v>
      </c>
      <c r="P52" s="1">
        <f>SUMIFS('フォームの回答 1'!$E:$E,'フォームの回答 1'!$B:$B,P50,'フォームの回答 1'!$H:$H,$A52,'フォームの回答 1'!$F:$F,"Cash")</f>
        <v>1057</v>
      </c>
      <c r="Q52" s="1">
        <f>SUMIFS('フォームの回答 1'!$E:$E,'フォームの回答 1'!$B:$B,Q50,'フォームの回答 1'!$H:$H,$A52,'フォームの回答 1'!$F:$F,"Cash")</f>
        <v>785</v>
      </c>
      <c r="R52" s="1">
        <f>SUMIFS('フォームの回答 1'!$E:$E,'フォームの回答 1'!$B:$B,R50,'フォームの回答 1'!$H:$H,$A52,'フォームの回答 1'!$F:$F,"Cash")</f>
        <v>1342</v>
      </c>
      <c r="S52" s="1">
        <f>SUMIFS('フォームの回答 1'!$E:$E,'フォームの回答 1'!$B:$B,S50,'フォームの回答 1'!$H:$H,$A52,'フォームの回答 1'!$F:$F,"Cash")</f>
        <v>1490</v>
      </c>
      <c r="T52" s="1">
        <f>SUMIFS('フォームの回答 1'!$E:$E,'フォームの回答 1'!$B:$B,T50,'フォームの回答 1'!$H:$H,$A52,'フォームの回答 1'!$F:$F,"Cash")</f>
        <v>9334</v>
      </c>
      <c r="U52" s="1">
        <f>SUMIFS('フォームの回答 1'!$E:$E,'フォームの回答 1'!$B:$B,U50,'フォームの回答 1'!$H:$H,$A52,'フォームの回答 1'!$F:$F,"Cash")</f>
        <v>899</v>
      </c>
      <c r="V52" s="1">
        <f>SUMIFS('フォームの回答 1'!$E:$E,'フォームの回答 1'!$B:$B,V50,'フォームの回答 1'!$H:$H,$A52,'フォームの回答 1'!$F:$F,"Cash")</f>
        <v>500</v>
      </c>
      <c r="W52" s="1">
        <f>SUMIFS('フォームの回答 1'!$E:$E,'フォームの回答 1'!$B:$B,W50,'フォームの回答 1'!$H:$H,$A52,'フォームの回答 1'!$F:$F,"Cash")</f>
        <v>0</v>
      </c>
      <c r="X52" s="1">
        <f>SUMIFS('フォームの回答 1'!$E:$E,'フォームの回答 1'!$B:$B,X50,'フォームの回答 1'!$H:$H,$A52,'フォームの回答 1'!$F:$F,"Cash")</f>
        <v>4976</v>
      </c>
      <c r="Y52" s="1">
        <f>SUMIFS('フォームの回答 1'!$E:$E,'フォームの回答 1'!$B:$B,Y50,'フォームの回答 1'!$H:$H,$A52,'フォームの回答 1'!$F:$F,"Cash")</f>
        <v>0</v>
      </c>
      <c r="Z52" s="1">
        <f>SUMIFS('フォームの回答 1'!$E:$E,'フォームの回答 1'!$B:$B,Z50,'フォームの回答 1'!$H:$H,$A52,'フォームの回答 1'!$F:$F,"Cash")</f>
        <v>0</v>
      </c>
      <c r="AA52" s="1">
        <f>SUMIFS('フォームの回答 1'!$E:$E,'フォームの回答 1'!$B:$B,AA50,'フォームの回答 1'!$H:$H,$A52,'フォームの回答 1'!$F:$F,"Cash")</f>
        <v>7296</v>
      </c>
      <c r="AB52" s="1">
        <f>SUMIFS('フォームの回答 1'!$E:$E,'フォームの回答 1'!$B:$B,AB50,'フォームの回答 1'!$H:$H,$A52,'フォームの回答 1'!$F:$F,"Cash")</f>
        <v>999</v>
      </c>
      <c r="AC52" s="1">
        <f>SUMIFS('フォームの回答 1'!$E:$E,'フォームの回答 1'!$B:$B,AC50,'フォームの回答 1'!$H:$H,$A52,'フォームの回答 1'!$F:$F,"Cash")+AI50</f>
        <v>206252</v>
      </c>
      <c r="AD52" s="1">
        <f>SUMIFS('フォームの回答 1'!$E:$E,'フォームの回答 1'!$B:$B,AD50,'フォームの回答 1'!$H:$H,$A52,'フォームの回答 1'!$F:$F,"Cash")</f>
        <v>5477</v>
      </c>
      <c r="AE52" s="1">
        <f>SUMIFS('フォームの回答 1'!$E:$E,'フォームの回答 1'!$B:$B,AE50,'フォームの回答 1'!$H:$H,$A52,'フォームの回答 1'!$F:$F,"Cash")</f>
        <v>146687</v>
      </c>
      <c r="AF52" s="1">
        <f>SUMIFS('フォームの回答 1'!$E:$E,'フォームの回答 1'!$B:$B,AF50,'フォームの回答 1'!$H:$H,$A52,'フォームの回答 1'!$F:$F,"Cash")</f>
        <v>1762</v>
      </c>
      <c r="AG52" s="1"/>
    </row>
    <row r="53" spans="1:36" ht="13">
      <c r="A53" s="2" t="s">
        <v>32</v>
      </c>
      <c r="C53" s="1">
        <f>AG47+C51-C52</f>
        <v>-206451</v>
      </c>
      <c r="D53" s="1">
        <f t="shared" ref="D53:AF53" si="8">C53+D51-D52</f>
        <v>-206923</v>
      </c>
      <c r="E53" s="1">
        <f t="shared" si="8"/>
        <v>-211455</v>
      </c>
      <c r="F53" s="1">
        <f t="shared" si="8"/>
        <v>-203848</v>
      </c>
      <c r="G53" s="1">
        <f t="shared" si="8"/>
        <v>-202541</v>
      </c>
      <c r="H53" s="1">
        <f t="shared" si="8"/>
        <v>-206625</v>
      </c>
      <c r="I53" s="1">
        <f t="shared" si="8"/>
        <v>-206755</v>
      </c>
      <c r="J53" s="1">
        <f t="shared" si="8"/>
        <v>-207855</v>
      </c>
      <c r="K53" s="1">
        <f t="shared" si="8"/>
        <v>-207855</v>
      </c>
      <c r="L53" s="1">
        <f t="shared" si="8"/>
        <v>-208555</v>
      </c>
      <c r="M53" s="1">
        <f t="shared" si="8"/>
        <v>-208555</v>
      </c>
      <c r="N53" s="1">
        <f t="shared" si="8"/>
        <v>-212403</v>
      </c>
      <c r="O53" s="1">
        <f t="shared" si="8"/>
        <v>-219883</v>
      </c>
      <c r="P53" s="1">
        <f t="shared" si="8"/>
        <v>-220940</v>
      </c>
      <c r="Q53" s="1">
        <f t="shared" si="8"/>
        <v>-221725</v>
      </c>
      <c r="R53" s="1">
        <f t="shared" si="8"/>
        <v>-223067</v>
      </c>
      <c r="S53" s="1">
        <f t="shared" si="8"/>
        <v>-221557</v>
      </c>
      <c r="T53" s="1">
        <f t="shared" si="8"/>
        <v>-230891</v>
      </c>
      <c r="U53" s="1">
        <f t="shared" si="8"/>
        <v>-231790</v>
      </c>
      <c r="V53" s="1">
        <f t="shared" si="8"/>
        <v>-232290</v>
      </c>
      <c r="W53" s="1">
        <f t="shared" si="8"/>
        <v>-232290</v>
      </c>
      <c r="X53" s="1">
        <f t="shared" si="8"/>
        <v>-237266</v>
      </c>
      <c r="Y53" s="1">
        <f t="shared" si="8"/>
        <v>-237266</v>
      </c>
      <c r="Z53" s="1">
        <f t="shared" si="8"/>
        <v>-237266</v>
      </c>
      <c r="AA53" s="1">
        <f t="shared" si="8"/>
        <v>135143</v>
      </c>
      <c r="AB53" s="1">
        <f t="shared" si="8"/>
        <v>134144</v>
      </c>
      <c r="AC53" s="1">
        <f t="shared" si="8"/>
        <v>-72108</v>
      </c>
      <c r="AD53" s="1">
        <f t="shared" si="8"/>
        <v>-77585</v>
      </c>
      <c r="AE53" s="1">
        <f t="shared" si="8"/>
        <v>-224272</v>
      </c>
      <c r="AF53" s="1">
        <f t="shared" si="8"/>
        <v>-226034</v>
      </c>
    </row>
    <row r="55" spans="1:36" ht="13">
      <c r="B55" s="20" t="s">
        <v>72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I55" s="2" t="s">
        <v>73</v>
      </c>
      <c r="AJ55" s="1"/>
    </row>
    <row r="56" spans="1:36" ht="13">
      <c r="B56" s="2" t="s">
        <v>29</v>
      </c>
      <c r="C56" s="11">
        <v>45931</v>
      </c>
      <c r="D56" s="11">
        <v>45932</v>
      </c>
      <c r="E56" s="11">
        <v>45933</v>
      </c>
      <c r="F56" s="11">
        <v>45934</v>
      </c>
      <c r="G56" s="11">
        <v>45935</v>
      </c>
      <c r="H56" s="11">
        <v>45936</v>
      </c>
      <c r="I56" s="11">
        <v>45937</v>
      </c>
      <c r="J56" s="11">
        <v>45938</v>
      </c>
      <c r="K56" s="11">
        <v>45939</v>
      </c>
      <c r="L56" s="11">
        <v>45940</v>
      </c>
      <c r="M56" s="11">
        <v>45941</v>
      </c>
      <c r="N56" s="11">
        <v>45942</v>
      </c>
      <c r="O56" s="11">
        <v>45943</v>
      </c>
      <c r="P56" s="11">
        <v>45944</v>
      </c>
      <c r="Q56" s="11">
        <v>45945</v>
      </c>
      <c r="R56" s="11">
        <v>45946</v>
      </c>
      <c r="S56" s="11">
        <v>45947</v>
      </c>
      <c r="T56" s="11">
        <v>45948</v>
      </c>
      <c r="U56" s="11">
        <v>45949</v>
      </c>
      <c r="V56" s="11">
        <v>45950</v>
      </c>
      <c r="W56" s="11">
        <v>45951</v>
      </c>
      <c r="X56" s="11">
        <v>45952</v>
      </c>
      <c r="Y56" s="11">
        <v>45953</v>
      </c>
      <c r="Z56" s="11">
        <v>45954</v>
      </c>
      <c r="AA56" s="11">
        <v>45955</v>
      </c>
      <c r="AB56" s="11">
        <v>45956</v>
      </c>
      <c r="AC56" s="11">
        <v>45957</v>
      </c>
      <c r="AD56" s="11">
        <v>45958</v>
      </c>
      <c r="AE56" s="11">
        <v>45959</v>
      </c>
      <c r="AF56" s="11">
        <v>45960</v>
      </c>
      <c r="AG56" s="11">
        <v>45961</v>
      </c>
      <c r="AI56" s="13">
        <v>231826</v>
      </c>
    </row>
    <row r="57" spans="1:36" ht="13">
      <c r="A57" s="2" t="s">
        <v>34</v>
      </c>
      <c r="B57" s="1">
        <f>SUM(V57:AG57)</f>
        <v>375775</v>
      </c>
      <c r="C57" s="1">
        <f>SUMIFS('フォームの回答 1'!$E:$E,'フォームの回答 1'!$B:$B,C56,'フォームの回答 1'!$H:$H,$A57)</f>
        <v>3523</v>
      </c>
      <c r="D57" s="1">
        <f>SUMIFS('フォームの回答 1'!$E:$E,'フォームの回答 1'!$B:$B,D56,'フォームの回答 1'!$H:$H,$A57)</f>
        <v>0</v>
      </c>
      <c r="E57" s="1">
        <f>SUMIFS('フォームの回答 1'!$E:$E,'フォームの回答 1'!$B:$B,E56,'フォームの回答 1'!$H:$H,$A57)</f>
        <v>0</v>
      </c>
      <c r="F57" s="1">
        <f>SUMIFS('フォームの回答 1'!$E:$E,'フォームの回答 1'!$B:$B,F56,'フォームの回答 1'!$H:$H,$A57)</f>
        <v>0</v>
      </c>
      <c r="G57" s="1">
        <f>SUMIFS('フォームの回答 1'!$E:$E,'フォームの回答 1'!$B:$B,G56,'フォームの回答 1'!$H:$H,$A57)</f>
        <v>0</v>
      </c>
      <c r="H57" s="1">
        <f>SUMIFS('フォームの回答 1'!$E:$E,'フォームの回答 1'!$B:$B,H56,'フォームの回答 1'!$H:$H,$A57)</f>
        <v>0</v>
      </c>
      <c r="I57" s="1">
        <f>SUMIFS('フォームの回答 1'!$E:$E,'フォームの回答 1'!$B:$B,I56,'フォームの回答 1'!$H:$H,$A57)</f>
        <v>0</v>
      </c>
      <c r="J57" s="1">
        <f>SUMIFS('フォームの回答 1'!$E:$E,'フォームの回答 1'!$B:$B,J56,'フォームの回答 1'!$H:$H,$A57)</f>
        <v>0</v>
      </c>
      <c r="K57" s="1">
        <f>SUMIFS('フォームの回答 1'!$E:$E,'フォームの回答 1'!$B:$B,K56,'フォームの回答 1'!$H:$H,$A57)</f>
        <v>0</v>
      </c>
      <c r="L57" s="1">
        <f>SUMIFS('フォームの回答 1'!$E:$E,'フォームの回答 1'!$B:$B,L56,'フォームの回答 1'!$H:$H,$A57)</f>
        <v>0</v>
      </c>
      <c r="M57" s="1">
        <f>SUMIFS('フォームの回答 1'!$E:$E,'フォームの回答 1'!$B:$B,M56,'フォームの回答 1'!$H:$H,$A57)</f>
        <v>0</v>
      </c>
      <c r="N57" s="1">
        <f>SUMIFS('フォームの回答 1'!$E:$E,'フォームの回答 1'!$B:$B,N56,'フォームの回答 1'!$H:$H,$A57)</f>
        <v>0</v>
      </c>
      <c r="O57" s="1">
        <f>SUMIFS('フォームの回答 1'!$E:$E,'フォームの回答 1'!$B:$B,O56,'フォームの回答 1'!$H:$H,$A57)</f>
        <v>0</v>
      </c>
      <c r="P57" s="1">
        <f>SUMIFS('フォームの回答 1'!$E:$E,'フォームの回答 1'!$B:$B,P56,'フォームの回答 1'!$H:$H,$A57)</f>
        <v>0</v>
      </c>
      <c r="Q57" s="1">
        <f>SUMIFS('フォームの回答 1'!$E:$E,'フォームの回答 1'!$B:$B,Q56,'フォームの回答 1'!$H:$H,$A57)</f>
        <v>0</v>
      </c>
      <c r="R57" s="1">
        <f>SUMIFS('フォームの回答 1'!$E:$E,'フォームの回答 1'!$B:$B,R56,'フォームの回答 1'!$H:$H,$A57)</f>
        <v>100000</v>
      </c>
      <c r="S57" s="1">
        <f>SUMIFS('フォームの回答 1'!$E:$E,'フォームの回答 1'!$B:$B,S56,'フォームの回答 1'!$H:$H,$A57)</f>
        <v>0</v>
      </c>
      <c r="T57" s="1">
        <f>SUMIFS('フォームの回答 1'!$E:$E,'フォームの回答 1'!$B:$B,T56,'フォームの回答 1'!$H:$H,$A57)</f>
        <v>0</v>
      </c>
      <c r="U57" s="1">
        <f>SUMIFS('フォームの回答 1'!$E:$E,'フォームの回答 1'!$B:$B,U56,'フォームの回答 1'!$H:$H,$A57)</f>
        <v>3975</v>
      </c>
      <c r="V57" s="1">
        <f>SUMIFS('フォームの回答 1'!$E:$E,'フォームの回答 1'!$B:$B,V56,'フォームの回答 1'!$H:$H,$A57)</f>
        <v>0</v>
      </c>
      <c r="W57" s="1">
        <f>SUMIFS('フォームの回答 1'!$E:$E,'フォームの回答 1'!$B:$B,W56,'フォームの回答 1'!$H:$H,$A57)</f>
        <v>0</v>
      </c>
      <c r="X57" s="1">
        <f>SUMIFS('フォームの回答 1'!$E:$E,'フォームの回答 1'!$B:$B,X56,'フォームの回答 1'!$H:$H,$A57)</f>
        <v>0</v>
      </c>
      <c r="Y57" s="1">
        <f>SUMIFS('フォームの回答 1'!$E:$E,'フォームの回答 1'!$B:$B,Y56,'フォームの回答 1'!$H:$H,$A57)</f>
        <v>0</v>
      </c>
      <c r="Z57" s="1">
        <f>SUMIFS('フォームの回答 1'!$E:$E,'フォームの回答 1'!$B:$B,Z56,'フォームの回答 1'!$H:$H,$A57)</f>
        <v>375775</v>
      </c>
      <c r="AA57" s="1">
        <f>SUMIFS('フォームの回答 1'!$E:$E,'フォームの回答 1'!$B:$B,AA56,'フォームの回答 1'!$H:$H,$A57)+AJ48</f>
        <v>0</v>
      </c>
      <c r="AB57" s="1">
        <f>SUMIFS('フォームの回答 1'!$E:$E,'フォームの回答 1'!$B:$B,AB56,'フォームの回答 1'!$H:$H,$A57)</f>
        <v>0</v>
      </c>
      <c r="AC57" s="1">
        <f>SUMIFS('フォームの回答 1'!$E:$E,'フォームの回答 1'!$B:$B,AC56,'フォームの回答 1'!$H:$H,$A57)</f>
        <v>0</v>
      </c>
      <c r="AD57" s="1">
        <f>SUMIFS('フォームの回答 1'!$E:$E,'フォームの回答 1'!$B:$B,AD56,'フォームの回答 1'!$H:$H,$A57)</f>
        <v>0</v>
      </c>
      <c r="AE57" s="1">
        <f>SUMIFS('フォームの回答 1'!$E:$E,'フォームの回答 1'!$B:$B,AE56,'フォームの回答 1'!$H:$H,$A57)</f>
        <v>0</v>
      </c>
      <c r="AF57" s="1">
        <f>SUMIFS('フォームの回答 1'!$E:$E,'フォームの回答 1'!$B:$B,AF56,'フォームの回答 1'!$H:$H,$A57)</f>
        <v>0</v>
      </c>
      <c r="AG57" s="1">
        <f>SUMIFS('フォームの回答 1'!$E:$E,'フォームの回答 1'!$B:$B,AG56,'フォームの回答 1'!$H:$H,$A57)</f>
        <v>0</v>
      </c>
    </row>
    <row r="58" spans="1:36" ht="13">
      <c r="A58" s="2" t="s">
        <v>35</v>
      </c>
      <c r="B58" s="1">
        <f>SUM(C58:AG58)</f>
        <v>487446</v>
      </c>
      <c r="C58" s="1">
        <f>SUMIFS('フォームの回答 1'!$E:$E,'フォームの回答 1'!$B:$B,C56,'フォームの回答 1'!$H:$H,$A58,'フォームの回答 1'!$F:$F,"Cash")</f>
        <v>3260</v>
      </c>
      <c r="D58" s="1">
        <f>SUMIFS('フォームの回答 1'!$E:$E,'フォームの回答 1'!$B:$B,D56,'フォームの回答 1'!$H:$H,$A58,'フォームの回答 1'!$F:$F,"Cash")</f>
        <v>3642</v>
      </c>
      <c r="E58" s="1">
        <f>SUMIFS('フォームの回答 1'!$E:$E,'フォームの回答 1'!$B:$B,E56,'フォームの回答 1'!$H:$H,$A58,'フォームの回答 1'!$F:$F,"Cash")</f>
        <v>1100</v>
      </c>
      <c r="F58" s="1">
        <f>SUMIFS('フォームの回答 1'!$E:$E,'フォームの回答 1'!$B:$B,F56,'フォームの回答 1'!$H:$H,$A58,'フォームの回答 1'!$F:$F,"Cash")</f>
        <v>2460</v>
      </c>
      <c r="G58" s="1">
        <f>SUMIFS('フォームの回答 1'!$E:$E,'フォームの回答 1'!$B:$B,G56,'フォームの回答 1'!$H:$H,$A58,'フォームの回答 1'!$F:$F,"Cash")</f>
        <v>680</v>
      </c>
      <c r="H58" s="1">
        <f>SUMIFS('フォームの回答 1'!$E:$E,'フォームの回答 1'!$B:$B,H56,'フォームの回答 1'!$H:$H,$A58,'フォームの回答 1'!$F:$F,"Cash")</f>
        <v>1350</v>
      </c>
      <c r="I58" s="1">
        <f>SUMIFS('フォームの回答 1'!$E:$E,'フォームの回答 1'!$B:$B,I56,'フォームの回答 1'!$H:$H,$A58,'フォームの回答 1'!$F:$F,"Cash")</f>
        <v>3308</v>
      </c>
      <c r="J58" s="1">
        <f>SUMIFS('フォームの回答 1'!$E:$E,'フォームの回答 1'!$B:$B,J56,'フォームの回答 1'!$H:$H,$A58,'フォームの回答 1'!$F:$F,"Cash")</f>
        <v>950</v>
      </c>
      <c r="K58" s="1">
        <f>SUMIFS('フォームの回答 1'!$E:$E,'フォームの回答 1'!$B:$B,K56,'フォームの回答 1'!$H:$H,$A58,'フォームの回答 1'!$F:$F,"Cash")</f>
        <v>0</v>
      </c>
      <c r="L58" s="1">
        <f>SUMIFS('フォームの回答 1'!$E:$E,'フォームの回答 1'!$B:$B,L56,'フォームの回答 1'!$H:$H,$A58,'フォームの回答 1'!$F:$F,"Cash")</f>
        <v>1100</v>
      </c>
      <c r="M58" s="1">
        <f>SUMIFS('フォームの回答 1'!$E:$E,'フォームの回答 1'!$B:$B,M56,'フォームの回答 1'!$H:$H,$A58,'フォームの回答 1'!$F:$F,"Cash")</f>
        <v>610</v>
      </c>
      <c r="N58" s="1">
        <f>SUMIFS('フォームの回答 1'!$E:$E,'フォームの回答 1'!$B:$B,N56,'フォームの回答 1'!$H:$H,$A58,'フォームの回答 1'!$F:$F,"Cash")</f>
        <v>3093</v>
      </c>
      <c r="O58" s="1">
        <f>SUMIFS('フォームの回答 1'!$E:$E,'フォームの回答 1'!$B:$B,O56,'フォームの回答 1'!$H:$H,$A58,'フォームの回答 1'!$F:$F,"Cash")</f>
        <v>1066</v>
      </c>
      <c r="P58" s="1">
        <f>SUMIFS('フォームの回答 1'!$E:$E,'フォームの回答 1'!$B:$B,P56,'フォームの回答 1'!$H:$H,$A58,'フォームの回答 1'!$F:$F,"Cash")</f>
        <v>0</v>
      </c>
      <c r="Q58" s="1">
        <f>SUMIFS('フォームの回答 1'!$E:$E,'フォームの回答 1'!$B:$B,Q56,'フォームの回答 1'!$H:$H,$A58,'フォームの回答 1'!$F:$F,"Cash")</f>
        <v>3059</v>
      </c>
      <c r="R58" s="1">
        <f>SUMIFS('フォームの回答 1'!$E:$E,'フォームの回答 1'!$B:$B,R56,'フォームの回答 1'!$H:$H,$A58,'フォームの回答 1'!$F:$F,"Cash")</f>
        <v>7402</v>
      </c>
      <c r="S58" s="1">
        <f>SUMIFS('フォームの回答 1'!$E:$E,'フォームの回答 1'!$B:$B,S56,'フォームの回答 1'!$H:$H,$A58,'フォームの回答 1'!$F:$F,"Cash")</f>
        <v>2245</v>
      </c>
      <c r="T58" s="1">
        <f>SUMIFS('フォームの回答 1'!$E:$E,'フォームの回答 1'!$B:$B,T56,'フォームの回答 1'!$H:$H,$A58,'フォームの回答 1'!$F:$F,"Cash")</f>
        <v>9425</v>
      </c>
      <c r="U58" s="1">
        <f>SUMIFS('フォームの回答 1'!$E:$E,'フォームの回答 1'!$B:$B,U56,'フォームの回答 1'!$H:$H,$A58,'フォームの回答 1'!$F:$F,"Cash")</f>
        <v>535</v>
      </c>
      <c r="V58" s="1">
        <f>SUMIFS('フォームの回答 1'!$E:$E,'フォームの回答 1'!$B:$B,V56,'フォームの回答 1'!$H:$H,$A58,'フォームの回答 1'!$F:$F,"Cash")</f>
        <v>1300</v>
      </c>
      <c r="W58" s="1">
        <f>SUMIFS('フォームの回答 1'!$E:$E,'フォームの回答 1'!$B:$B,W56,'フォームの回答 1'!$H:$H,$A58,'フォームの回答 1'!$F:$F,"Cash")</f>
        <v>1300</v>
      </c>
      <c r="X58" s="1">
        <f>SUMIFS('フォームの回答 1'!$E:$E,'フォームの回答 1'!$B:$B,X56,'フォームの回答 1'!$H:$H,$A58,'フォームの回答 1'!$F:$F,"Cash")</f>
        <v>2299</v>
      </c>
      <c r="Y58" s="1">
        <f>SUMIFS('フォームの回答 1'!$E:$E,'フォームの回答 1'!$B:$B,Y56,'フォームの回答 1'!$H:$H,$A58,'フォームの回答 1'!$F:$F,"Cash")</f>
        <v>2157</v>
      </c>
      <c r="Z58" s="1">
        <f>SUMIFS('フォームの回答 1'!$E:$E,'フォームの回答 1'!$B:$B,Z56,'フォームの回答 1'!$H:$H,$A58,'フォームの回答 1'!$F:$F,"Cash")</f>
        <v>41040</v>
      </c>
      <c r="AA58" s="1">
        <f>SUMIFS('フォームの回答 1'!$E:$E,'フォームの回答 1'!$B:$B,AA56,'フォームの回答 1'!$H:$H,$A58,'フォームの回答 1'!$F:$F,"Cash")</f>
        <v>1805</v>
      </c>
      <c r="AB58" s="1">
        <f>SUMIFS('フォームの回答 1'!$E:$E,'フォームの回答 1'!$B:$B,AB56,'フォームの回答 1'!$H:$H,$A58,'フォームの回答 1'!$F:$F,"Cash")</f>
        <v>4380</v>
      </c>
      <c r="AC58" s="1">
        <f>SUMIFS('フォームの回答 1'!$E:$E,'フォームの回答 1'!$B:$B,AC56,'フォームの回答 1'!$H:$H,$A58,'フォームの回答 1'!$F:$F,"Cash")+AI56</f>
        <v>381926</v>
      </c>
      <c r="AD58" s="1">
        <f>SUMIFS('フォームの回答 1'!$E:$E,'フォームの回答 1'!$B:$B,AD56,'フォームの回答 1'!$H:$H,$A58,'フォームの回答 1'!$F:$F,"Cash")</f>
        <v>300</v>
      </c>
      <c r="AE58" s="1">
        <f>SUMIFS('フォームの回答 1'!$E:$E,'フォームの回答 1'!$B:$B,AE56,'フォームの回答 1'!$H:$H,$A58,'フォームの回答 1'!$F:$F,"Cash")</f>
        <v>1570</v>
      </c>
      <c r="AF58" s="1">
        <f>SUMIFS('フォームの回答 1'!$E:$E,'フォームの回答 1'!$B:$B,AF56,'フォームの回答 1'!$H:$H,$A58,'フォームの回答 1'!$F:$F,"Cash")</f>
        <v>1909</v>
      </c>
      <c r="AG58" s="1">
        <f>SUMIFS('フォームの回答 1'!$E:$E,'フォームの回答 1'!$B:$B,AG56,'フォームの回答 1'!$H:$H,$A58,'フォームの回答 1'!$F:$F,"Cash")</f>
        <v>2175</v>
      </c>
    </row>
    <row r="59" spans="1:36" ht="13">
      <c r="A59" s="2" t="s">
        <v>32</v>
      </c>
      <c r="C59" s="1">
        <f>AF53+C57-C58</f>
        <v>-225771</v>
      </c>
      <c r="D59" s="1">
        <f t="shared" ref="D59:AG59" si="9">C59+D57-D58</f>
        <v>-229413</v>
      </c>
      <c r="E59" s="1">
        <f t="shared" si="9"/>
        <v>-230513</v>
      </c>
      <c r="F59" s="1">
        <f t="shared" si="9"/>
        <v>-232973</v>
      </c>
      <c r="G59" s="1">
        <f t="shared" si="9"/>
        <v>-233653</v>
      </c>
      <c r="H59" s="1">
        <f t="shared" si="9"/>
        <v>-235003</v>
      </c>
      <c r="I59" s="1">
        <f t="shared" si="9"/>
        <v>-238311</v>
      </c>
      <c r="J59" s="1">
        <f t="shared" si="9"/>
        <v>-239261</v>
      </c>
      <c r="K59" s="1">
        <f t="shared" si="9"/>
        <v>-239261</v>
      </c>
      <c r="L59" s="1">
        <f t="shared" si="9"/>
        <v>-240361</v>
      </c>
      <c r="M59" s="1">
        <f t="shared" si="9"/>
        <v>-240971</v>
      </c>
      <c r="N59" s="1">
        <f t="shared" si="9"/>
        <v>-244064</v>
      </c>
      <c r="O59" s="1">
        <f t="shared" si="9"/>
        <v>-245130</v>
      </c>
      <c r="P59" s="1">
        <f t="shared" si="9"/>
        <v>-245130</v>
      </c>
      <c r="Q59" s="1">
        <f t="shared" si="9"/>
        <v>-248189</v>
      </c>
      <c r="R59" s="1">
        <f t="shared" si="9"/>
        <v>-155591</v>
      </c>
      <c r="S59" s="1">
        <f t="shared" si="9"/>
        <v>-157836</v>
      </c>
      <c r="T59" s="1">
        <f t="shared" si="9"/>
        <v>-167261</v>
      </c>
      <c r="U59" s="1">
        <f t="shared" si="9"/>
        <v>-163821</v>
      </c>
      <c r="V59" s="1">
        <f t="shared" si="9"/>
        <v>-165121</v>
      </c>
      <c r="W59" s="1">
        <f t="shared" si="9"/>
        <v>-166421</v>
      </c>
      <c r="X59" s="1">
        <f t="shared" si="9"/>
        <v>-168720</v>
      </c>
      <c r="Y59" s="1">
        <f t="shared" si="9"/>
        <v>-170877</v>
      </c>
      <c r="Z59" s="1">
        <f t="shared" si="9"/>
        <v>163858</v>
      </c>
      <c r="AA59" s="1">
        <f t="shared" si="9"/>
        <v>162053</v>
      </c>
      <c r="AB59" s="1">
        <f t="shared" si="9"/>
        <v>157673</v>
      </c>
      <c r="AC59" s="1">
        <f t="shared" si="9"/>
        <v>-224253</v>
      </c>
      <c r="AD59" s="1">
        <f t="shared" si="9"/>
        <v>-224553</v>
      </c>
      <c r="AE59" s="1">
        <f t="shared" si="9"/>
        <v>-226123</v>
      </c>
      <c r="AF59" s="1">
        <f t="shared" si="9"/>
        <v>-228032</v>
      </c>
      <c r="AG59" s="1">
        <f t="shared" si="9"/>
        <v>-230207</v>
      </c>
    </row>
    <row r="61" spans="1:36" ht="13">
      <c r="B61" s="20" t="s">
        <v>74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12"/>
      <c r="AI61" s="2" t="s">
        <v>75</v>
      </c>
      <c r="AJ61" s="1"/>
    </row>
    <row r="62" spans="1:36" ht="13">
      <c r="B62" s="2" t="s">
        <v>29</v>
      </c>
      <c r="C62" s="11">
        <v>45962</v>
      </c>
      <c r="D62" s="11">
        <v>45963</v>
      </c>
      <c r="E62" s="11">
        <v>45964</v>
      </c>
      <c r="F62" s="11">
        <v>45965</v>
      </c>
      <c r="G62" s="11">
        <v>45966</v>
      </c>
      <c r="H62" s="11">
        <v>45967</v>
      </c>
      <c r="I62" s="11">
        <v>45968</v>
      </c>
      <c r="J62" s="11">
        <v>45969</v>
      </c>
      <c r="K62" s="11">
        <v>45970</v>
      </c>
      <c r="L62" s="11">
        <v>45971</v>
      </c>
      <c r="M62" s="11">
        <v>45972</v>
      </c>
      <c r="N62" s="11">
        <v>45973</v>
      </c>
      <c r="O62" s="11">
        <v>45974</v>
      </c>
      <c r="P62" s="11">
        <v>45975</v>
      </c>
      <c r="Q62" s="11">
        <v>45976</v>
      </c>
      <c r="R62" s="11">
        <v>45977</v>
      </c>
      <c r="S62" s="11">
        <v>45978</v>
      </c>
      <c r="T62" s="11">
        <v>45979</v>
      </c>
      <c r="U62" s="11">
        <v>45980</v>
      </c>
      <c r="V62" s="11">
        <v>45981</v>
      </c>
      <c r="W62" s="11">
        <v>45982</v>
      </c>
      <c r="X62" s="11">
        <v>45983</v>
      </c>
      <c r="Y62" s="11">
        <v>45984</v>
      </c>
      <c r="Z62" s="11">
        <v>45985</v>
      </c>
      <c r="AA62" s="11">
        <v>45986</v>
      </c>
      <c r="AB62" s="11">
        <v>45987</v>
      </c>
      <c r="AC62" s="11">
        <v>45988</v>
      </c>
      <c r="AD62" s="11">
        <v>45989</v>
      </c>
      <c r="AE62" s="11">
        <v>45990</v>
      </c>
      <c r="AF62" s="11">
        <v>45991</v>
      </c>
      <c r="AG62" s="11"/>
      <c r="AI62" s="13">
        <v>251749</v>
      </c>
    </row>
    <row r="63" spans="1:36" ht="13">
      <c r="A63" s="2" t="s">
        <v>34</v>
      </c>
      <c r="B63" s="1">
        <f>SUM(V63:AG63)</f>
        <v>525775</v>
      </c>
      <c r="C63" s="1">
        <f>SUMIFS('フォームの回答 1'!$E:$E,'フォームの回答 1'!$B:$B,C62,'フォームの回答 1'!$H:$H,$A63)</f>
        <v>5250</v>
      </c>
      <c r="D63" s="1">
        <f>SUMIFS('フォームの回答 1'!$E:$E,'フォームの回答 1'!$B:$B,D62,'フォームの回答 1'!$H:$H,$A63)</f>
        <v>1189</v>
      </c>
      <c r="E63" s="1">
        <f>SUMIFS('フォームの回答 1'!$E:$E,'フォームの回答 1'!$B:$B,E62,'フォームの回答 1'!$H:$H,$A63)</f>
        <v>0</v>
      </c>
      <c r="F63" s="1">
        <f>SUMIFS('フォームの回答 1'!$E:$E,'フォームの回答 1'!$B:$B,F62,'フォームの回答 1'!$H:$H,$A63)</f>
        <v>0</v>
      </c>
      <c r="G63" s="1">
        <f>SUMIFS('フォームの回答 1'!$E:$E,'フォームの回答 1'!$B:$B,G62,'フォームの回答 1'!$H:$H,$A63)</f>
        <v>0</v>
      </c>
      <c r="H63" s="1">
        <f>SUMIFS('フォームの回答 1'!$E:$E,'フォームの回答 1'!$B:$B,H62,'フォームの回答 1'!$H:$H,$A63)</f>
        <v>8040</v>
      </c>
      <c r="I63" s="1">
        <f>SUMIFS('フォームの回答 1'!$E:$E,'フォームの回答 1'!$B:$B,I62,'フォームの回答 1'!$H:$H,$A63)</f>
        <v>0</v>
      </c>
      <c r="J63" s="1">
        <f>SUMIFS('フォームの回答 1'!$E:$E,'フォームの回答 1'!$B:$B,J62,'フォームの回答 1'!$H:$H,$A63)</f>
        <v>0</v>
      </c>
      <c r="K63" s="1">
        <f>SUMIFS('フォームの回答 1'!$E:$E,'フォームの回答 1'!$B:$B,K62,'フォームの回答 1'!$H:$H,$A63)</f>
        <v>0</v>
      </c>
      <c r="L63" s="1">
        <f>SUMIFS('フォームの回答 1'!$E:$E,'フォームの回答 1'!$B:$B,L62,'フォームの回答 1'!$H:$H,$A63)</f>
        <v>0</v>
      </c>
      <c r="M63" s="1">
        <f>SUMIFS('フォームの回答 1'!$E:$E,'フォームの回答 1'!$B:$B,M62,'フォームの回答 1'!$H:$H,$A63)</f>
        <v>0</v>
      </c>
      <c r="N63" s="1">
        <f>SUMIFS('フォームの回答 1'!$E:$E,'フォームの回答 1'!$B:$B,N62,'フォームの回答 1'!$H:$H,$A63)</f>
        <v>50000</v>
      </c>
      <c r="O63" s="1">
        <f>SUMIFS('フォームの回答 1'!$E:$E,'フォームの回答 1'!$B:$B,O62,'フォームの回答 1'!$H:$H,$A63)</f>
        <v>0</v>
      </c>
      <c r="P63" s="1">
        <f>SUMIFS('フォームの回答 1'!$E:$E,'フォームの回答 1'!$B:$B,P62,'フォームの回答 1'!$H:$H,$A63)</f>
        <v>0</v>
      </c>
      <c r="Q63" s="1">
        <f>SUMIFS('フォームの回答 1'!$E:$E,'フォームの回答 1'!$B:$B,Q62,'フォームの回答 1'!$H:$H,$A63)</f>
        <v>0</v>
      </c>
      <c r="R63" s="1">
        <f>SUMIFS('フォームの回答 1'!$E:$E,'フォームの回答 1'!$B:$B,R62,'フォームの回答 1'!$H:$H,$A63)</f>
        <v>1500</v>
      </c>
      <c r="S63" s="1">
        <f>SUMIFS('フォームの回答 1'!$E:$E,'フォームの回答 1'!$B:$B,S62,'フォームの回答 1'!$H:$H,$A63)</f>
        <v>0</v>
      </c>
      <c r="T63" s="1">
        <f>SUMIFS('フォームの回答 1'!$E:$E,'フォームの回答 1'!$B:$B,T62,'フォームの回答 1'!$H:$H,$A63)</f>
        <v>0</v>
      </c>
      <c r="U63" s="1">
        <f>SUMIFS('フォームの回答 1'!$E:$E,'フォームの回答 1'!$B:$B,U62,'フォームの回答 1'!$H:$H,$A63)</f>
        <v>0</v>
      </c>
      <c r="V63" s="1">
        <f>SUMIFS('フォームの回答 1'!$E:$E,'フォームの回答 1'!$B:$B,V62,'フォームの回答 1'!$H:$H,$A63)</f>
        <v>0</v>
      </c>
      <c r="W63" s="1">
        <f>SUMIFS('フォームの回答 1'!$E:$E,'フォームの回答 1'!$B:$B,W62,'フォームの回答 1'!$H:$H,$A63)</f>
        <v>0</v>
      </c>
      <c r="X63" s="1">
        <f>SUMIFS('フォームの回答 1'!$E:$E,'フォームの回答 1'!$B:$B,X62,'フォームの回答 1'!$H:$H,$A63)</f>
        <v>0</v>
      </c>
      <c r="Y63" s="1">
        <f>SUMIFS('フォームの回答 1'!$E:$E,'フォームの回答 1'!$B:$B,Y62,'フォームの回答 1'!$H:$H,$A63)</f>
        <v>0</v>
      </c>
      <c r="Z63" s="1">
        <f>SUMIFS('フォームの回答 1'!$E:$E,'フォームの回答 1'!$B:$B,Z62,'フォームの回答 1'!$H:$H,$A63)</f>
        <v>0</v>
      </c>
      <c r="AA63" s="1">
        <f>SUMIFS('フォームの回答 1'!$E:$E,'フォームの回答 1'!$B:$B,AA62,'フォームの回答 1'!$H:$H,$A63)+AI64</f>
        <v>375775</v>
      </c>
      <c r="AB63" s="1">
        <f>SUMIFS('フォームの回答 1'!$E:$E,'フォームの回答 1'!$B:$B,AB62,'フォームの回答 1'!$H:$H,$A63)</f>
        <v>0</v>
      </c>
      <c r="AC63" s="1">
        <f>SUMIFS('フォームの回答 1'!$E:$E,'フォームの回答 1'!$B:$B,AC62,'フォームの回答 1'!$H:$H,$A63)</f>
        <v>150000</v>
      </c>
      <c r="AD63" s="1">
        <f>SUMIFS('フォームの回答 1'!$E:$E,'フォームの回答 1'!$B:$B,AD62,'フォームの回答 1'!$H:$H,$A63)</f>
        <v>0</v>
      </c>
      <c r="AE63" s="1">
        <f>SUMIFS('フォームの回答 1'!$E:$E,'フォームの回答 1'!$B:$B,AE62,'フォームの回答 1'!$H:$H,$A63)</f>
        <v>0</v>
      </c>
      <c r="AF63" s="1">
        <f>SUMIFS('フォームの回答 1'!$E:$E,'フォームの回答 1'!$B:$B,AF62,'フォームの回答 1'!$H:$H,$A63)</f>
        <v>0</v>
      </c>
      <c r="AG63" s="1"/>
    </row>
    <row r="64" spans="1:36" ht="13">
      <c r="A64" s="2" t="s">
        <v>35</v>
      </c>
      <c r="B64" s="1">
        <f>SUM(C64:AG64)</f>
        <v>533102</v>
      </c>
      <c r="C64" s="1">
        <f>SUMIFS('フォームの回答 1'!$E:$E,'フォームの回答 1'!$B:$B,C62,'フォームの回答 1'!$H:$H,$A64,'フォームの回答 1'!$F:$F,"Cash")</f>
        <v>5654</v>
      </c>
      <c r="D64" s="1">
        <f>SUMIFS('フォームの回答 1'!$E:$E,'フォームの回答 1'!$B:$B,D62,'フォームの回答 1'!$H:$H,$A64,'フォームの回答 1'!$F:$F,"Cash")</f>
        <v>1940</v>
      </c>
      <c r="E64" s="1">
        <f>SUMIFS('フォームの回答 1'!$E:$E,'フォームの回答 1'!$B:$B,E62,'フォームの回答 1'!$H:$H,$A64,'フォームの回答 1'!$F:$F,"Cash")</f>
        <v>688</v>
      </c>
      <c r="F64" s="1">
        <f>SUMIFS('フォームの回答 1'!$E:$E,'フォームの回答 1'!$B:$B,F62,'フォームの回答 1'!$H:$H,$A64,'フォームの回答 1'!$F:$F,"Cash")</f>
        <v>1400</v>
      </c>
      <c r="G64" s="1">
        <f>SUMIFS('フォームの回答 1'!$E:$E,'フォームの回答 1'!$B:$B,G62,'フォームの回答 1'!$H:$H,$A64,'フォームの回答 1'!$F:$F,"Cash")</f>
        <v>531</v>
      </c>
      <c r="H64" s="1">
        <f>SUMIFS('フォームの回答 1'!$E:$E,'フォームの回答 1'!$B:$B,H62,'フォームの回答 1'!$H:$H,$A64,'フォームの回答 1'!$F:$F,"Cash")</f>
        <v>1620</v>
      </c>
      <c r="I64" s="1">
        <f>SUMIFS('フォームの回答 1'!$E:$E,'フォームの回答 1'!$B:$B,I62,'フォームの回答 1'!$H:$H,$A64,'フォームの回答 1'!$F:$F,"Cash")</f>
        <v>7193</v>
      </c>
      <c r="J64" s="1">
        <f>SUMIFS('フォームの回答 1'!$E:$E,'フォームの回答 1'!$B:$B,J62,'フォームの回答 1'!$H:$H,$A64,'フォームの回答 1'!$F:$F,"Cash")</f>
        <v>914</v>
      </c>
      <c r="K64" s="1">
        <f>SUMIFS('フォームの回答 1'!$E:$E,'フォームの回答 1'!$B:$B,K62,'フォームの回答 1'!$H:$H,$A64,'フォームの回答 1'!$F:$F,"Cash")</f>
        <v>4498</v>
      </c>
      <c r="L64" s="1">
        <f>SUMIFS('フォームの回答 1'!$E:$E,'フォームの回答 1'!$B:$B,L62,'フォームの回答 1'!$H:$H,$A64,'フォームの回答 1'!$F:$F,"Cash")</f>
        <v>1200</v>
      </c>
      <c r="M64" s="1">
        <f>SUMIFS('フォームの回答 1'!$E:$E,'フォームの回答 1'!$B:$B,M62,'フォームの回答 1'!$H:$H,$A64,'フォームの回答 1'!$F:$F,"Cash")</f>
        <v>330</v>
      </c>
      <c r="N64" s="1">
        <f>SUMIFS('フォームの回答 1'!$E:$E,'フォームの回答 1'!$B:$B,N62,'フォームの回答 1'!$H:$H,$A64,'フォームの回答 1'!$F:$F,"Cash")</f>
        <v>1880</v>
      </c>
      <c r="O64" s="1">
        <f>SUMIFS('フォームの回答 1'!$E:$E,'フォームの回答 1'!$B:$B,O62,'フォームの回答 1'!$H:$H,$A64,'フォームの回答 1'!$F:$F,"Cash")</f>
        <v>6450</v>
      </c>
      <c r="P64" s="1">
        <f>SUMIFS('フォームの回答 1'!$E:$E,'フォームの回答 1'!$B:$B,P62,'フォームの回答 1'!$H:$H,$A64,'フォームの回答 1'!$F:$F,"Cash")</f>
        <v>1267</v>
      </c>
      <c r="Q64" s="1">
        <f>SUMIFS('フォームの回答 1'!$E:$E,'フォームの回答 1'!$B:$B,Q62,'フォームの回答 1'!$H:$H,$A64,'フォームの回答 1'!$F:$F,"Cash")</f>
        <v>11189</v>
      </c>
      <c r="R64" s="1">
        <f>SUMIFS('フォームの回答 1'!$E:$E,'フォームの回答 1'!$B:$B,R62,'フォームの回答 1'!$H:$H,$A64,'フォームの回答 1'!$F:$F,"Cash")</f>
        <v>1265</v>
      </c>
      <c r="S64" s="1">
        <f>SUMIFS('フォームの回答 1'!$E:$E,'フォームの回答 1'!$B:$B,S62,'フォームの回答 1'!$H:$H,$A64,'フォームの回答 1'!$F:$F,"Cash")</f>
        <v>4425</v>
      </c>
      <c r="T64" s="1">
        <f>SUMIFS('フォームの回答 1'!$E:$E,'フォームの回答 1'!$B:$B,T62,'フォームの回答 1'!$H:$H,$A64,'フォームの回答 1'!$F:$F,"Cash")</f>
        <v>810</v>
      </c>
      <c r="U64" s="1">
        <f>SUMIFS('フォームの回答 1'!$E:$E,'フォームの回答 1'!$B:$B,U62,'フォームの回答 1'!$H:$H,$A64,'フォームの回答 1'!$F:$F,"Cash")</f>
        <v>2920</v>
      </c>
      <c r="V64" s="1">
        <f>SUMIFS('フォームの回答 1'!$E:$E,'フォームの回答 1'!$B:$B,V62,'フォームの回答 1'!$H:$H,$A64,'フォームの回答 1'!$F:$F,"Cash")</f>
        <v>5164</v>
      </c>
      <c r="W64" s="1">
        <f>SUMIFS('フォームの回答 1'!$E:$E,'フォームの回答 1'!$B:$B,W62,'フォームの回答 1'!$H:$H,$A64,'フォームの回答 1'!$F:$F,"Cash")</f>
        <v>5418</v>
      </c>
      <c r="X64" s="1">
        <f>SUMIFS('フォームの回答 1'!$E:$E,'フォームの回答 1'!$B:$B,X62,'フォームの回答 1'!$H:$H,$A64,'フォームの回答 1'!$F:$F,"Cash")</f>
        <v>10186</v>
      </c>
      <c r="Y64" s="1">
        <f>SUMIFS('フォームの回答 1'!$E:$E,'フォームの回答 1'!$B:$B,Y62,'フォームの回答 1'!$H:$H,$A64,'フォームの回答 1'!$F:$F,"Cash")</f>
        <v>2237</v>
      </c>
      <c r="Z64" s="1">
        <f>SUMIFS('フォームの回答 1'!$E:$E,'フォームの回答 1'!$B:$B,Z62,'フォームの回答 1'!$H:$H,$A64,'フォームの回答 1'!$F:$F,"Cash")</f>
        <v>0</v>
      </c>
      <c r="AA64" s="1">
        <f>SUMIFS('フォームの回答 1'!$E:$E,'フォームの回答 1'!$B:$B,AA62,'フォームの回答 1'!$H:$H,$A64,'フォームの回答 1'!$F:$F,"Cash")</f>
        <v>470</v>
      </c>
      <c r="AB64" s="1">
        <f>SUMIFS('フォームの回答 1'!$E:$E,'フォームの回答 1'!$B:$B,AB62,'フォームの回答 1'!$H:$H,$A64,'フォームの回答 1'!$F:$F,"Cash")</f>
        <v>43525</v>
      </c>
      <c r="AC64" s="1">
        <f>SUMIFS('フォームの回答 1'!$E:$E,'フォームの回答 1'!$B:$B,AC62,'フォームの回答 1'!$H:$H,$A64,'フォームの回答 1'!$F:$F,"Cash")+AI62</f>
        <v>399609</v>
      </c>
      <c r="AD64" s="1">
        <f>SUMIFS('フォームの回答 1'!$E:$E,'フォームの回答 1'!$B:$B,AD62,'フォームの回答 1'!$H:$H,$A64,'フォームの回答 1'!$F:$F,"Cash")</f>
        <v>5185</v>
      </c>
      <c r="AE64" s="1">
        <f>SUMIFS('フォームの回答 1'!$E:$E,'フォームの回答 1'!$B:$B,AE62,'フォームの回答 1'!$H:$H,$A64,'フォームの回答 1'!$F:$F,"Cash")</f>
        <v>4335</v>
      </c>
      <c r="AF64" s="1">
        <f>SUMIFS('フォームの回答 1'!$E:$E,'フォームの回答 1'!$B:$B,AF62,'フォームの回答 1'!$H:$H,$A64,'フォームの回答 1'!$F:$F,"Cash")</f>
        <v>799</v>
      </c>
      <c r="AG64" s="1"/>
    </row>
    <row r="65" spans="1:36" ht="13">
      <c r="A65" s="2" t="s">
        <v>32</v>
      </c>
      <c r="C65" s="1">
        <f>AG59+C63-C64</f>
        <v>-230611</v>
      </c>
      <c r="D65" s="1">
        <f t="shared" ref="D65:AF65" si="10">C65+D63-D64</f>
        <v>-231362</v>
      </c>
      <c r="E65" s="1">
        <f t="shared" si="10"/>
        <v>-232050</v>
      </c>
      <c r="F65" s="1">
        <f t="shared" si="10"/>
        <v>-233450</v>
      </c>
      <c r="G65" s="1">
        <f t="shared" si="10"/>
        <v>-233981</v>
      </c>
      <c r="H65" s="1">
        <f t="shared" si="10"/>
        <v>-227561</v>
      </c>
      <c r="I65" s="1">
        <f t="shared" si="10"/>
        <v>-234754</v>
      </c>
      <c r="J65" s="1">
        <f t="shared" si="10"/>
        <v>-235668</v>
      </c>
      <c r="K65" s="1">
        <f t="shared" si="10"/>
        <v>-240166</v>
      </c>
      <c r="L65" s="1">
        <f t="shared" si="10"/>
        <v>-241366</v>
      </c>
      <c r="M65" s="1">
        <f t="shared" si="10"/>
        <v>-241696</v>
      </c>
      <c r="N65" s="1">
        <f t="shared" si="10"/>
        <v>-193576</v>
      </c>
      <c r="O65" s="1">
        <f t="shared" si="10"/>
        <v>-200026</v>
      </c>
      <c r="P65" s="1">
        <f t="shared" si="10"/>
        <v>-201293</v>
      </c>
      <c r="Q65" s="1">
        <f t="shared" si="10"/>
        <v>-212482</v>
      </c>
      <c r="R65" s="1">
        <f t="shared" si="10"/>
        <v>-212247</v>
      </c>
      <c r="S65" s="1">
        <f t="shared" si="10"/>
        <v>-216672</v>
      </c>
      <c r="T65" s="1">
        <f t="shared" si="10"/>
        <v>-217482</v>
      </c>
      <c r="U65" s="1">
        <f t="shared" si="10"/>
        <v>-220402</v>
      </c>
      <c r="V65" s="1">
        <f t="shared" si="10"/>
        <v>-225566</v>
      </c>
      <c r="W65" s="1">
        <f t="shared" si="10"/>
        <v>-230984</v>
      </c>
      <c r="X65" s="1">
        <f t="shared" si="10"/>
        <v>-241170</v>
      </c>
      <c r="Y65" s="1">
        <f t="shared" si="10"/>
        <v>-243407</v>
      </c>
      <c r="Z65" s="1">
        <f t="shared" si="10"/>
        <v>-243407</v>
      </c>
      <c r="AA65" s="1">
        <f t="shared" si="10"/>
        <v>131898</v>
      </c>
      <c r="AB65" s="1">
        <f t="shared" si="10"/>
        <v>88373</v>
      </c>
      <c r="AC65" s="1">
        <f t="shared" si="10"/>
        <v>-161236</v>
      </c>
      <c r="AD65" s="1">
        <f t="shared" si="10"/>
        <v>-166421</v>
      </c>
      <c r="AE65" s="1">
        <f t="shared" si="10"/>
        <v>-170756</v>
      </c>
      <c r="AF65" s="1">
        <f t="shared" si="10"/>
        <v>-171555</v>
      </c>
    </row>
    <row r="67" spans="1:36" ht="13">
      <c r="B67" s="20" t="s">
        <v>76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I67" s="2" t="s">
        <v>77</v>
      </c>
      <c r="AJ67" s="1"/>
    </row>
    <row r="68" spans="1:36" ht="13">
      <c r="B68" s="2" t="s">
        <v>29</v>
      </c>
      <c r="C68" s="11">
        <v>45992</v>
      </c>
      <c r="D68" s="11">
        <v>45993</v>
      </c>
      <c r="E68" s="11">
        <v>45994</v>
      </c>
      <c r="F68" s="11">
        <v>45995</v>
      </c>
      <c r="G68" s="11">
        <v>45996</v>
      </c>
      <c r="H68" s="11">
        <v>45997</v>
      </c>
      <c r="I68" s="11">
        <v>45998</v>
      </c>
      <c r="J68" s="11">
        <v>45999</v>
      </c>
      <c r="K68" s="11">
        <v>46000</v>
      </c>
      <c r="L68" s="11">
        <v>46001</v>
      </c>
      <c r="M68" s="11">
        <v>46002</v>
      </c>
      <c r="N68" s="11">
        <v>46003</v>
      </c>
      <c r="O68" s="11">
        <v>46004</v>
      </c>
      <c r="P68" s="11">
        <v>46005</v>
      </c>
      <c r="Q68" s="11">
        <v>46006</v>
      </c>
      <c r="R68" s="11">
        <v>46007</v>
      </c>
      <c r="S68" s="11">
        <v>46008</v>
      </c>
      <c r="T68" s="11">
        <v>46009</v>
      </c>
      <c r="U68" s="11">
        <v>46010</v>
      </c>
      <c r="V68" s="11">
        <v>46011</v>
      </c>
      <c r="W68" s="11">
        <v>46012</v>
      </c>
      <c r="X68" s="11">
        <v>46013</v>
      </c>
      <c r="Y68" s="11">
        <v>46014</v>
      </c>
      <c r="Z68" s="11">
        <v>46015</v>
      </c>
      <c r="AA68" s="11">
        <v>46016</v>
      </c>
      <c r="AB68" s="11">
        <v>46017</v>
      </c>
      <c r="AC68" s="11">
        <v>46018</v>
      </c>
      <c r="AD68" s="11">
        <v>46019</v>
      </c>
      <c r="AE68" s="11">
        <v>46020</v>
      </c>
      <c r="AF68" s="11">
        <v>46021</v>
      </c>
      <c r="AG68" s="11">
        <v>46022</v>
      </c>
      <c r="AI68" s="13">
        <v>146700</v>
      </c>
    </row>
    <row r="69" spans="1:36" ht="13">
      <c r="A69" s="2" t="s">
        <v>34</v>
      </c>
      <c r="B69" s="1">
        <f>SUM(V69:AG69)</f>
        <v>420185</v>
      </c>
      <c r="C69" s="1">
        <f>SUMIFS('フォームの回答 1'!$E:$E,'フォームの回答 1'!$B:$B,C68,'フォームの回答 1'!$H:$H,$A69)</f>
        <v>2641</v>
      </c>
      <c r="D69" s="1">
        <f>SUMIFS('フォームの回答 1'!$E:$E,'フォームの回答 1'!$B:$B,D68,'フォームの回答 1'!$H:$H,$A69)</f>
        <v>0</v>
      </c>
      <c r="E69" s="1">
        <f>SUMIFS('フォームの回答 1'!$E:$E,'フォームの回答 1'!$B:$B,E68,'フォームの回答 1'!$H:$H,$A69)</f>
        <v>0</v>
      </c>
      <c r="F69" s="1">
        <f>SUMIFS('フォームの回答 1'!$E:$E,'フォームの回答 1'!$B:$B,F68,'フォームの回答 1'!$H:$H,$A69)</f>
        <v>0</v>
      </c>
      <c r="G69" s="1">
        <f>SUMIFS('フォームの回答 1'!$E:$E,'フォームの回答 1'!$B:$B,G68,'フォームの回答 1'!$H:$H,$A69)</f>
        <v>0</v>
      </c>
      <c r="H69" s="1">
        <f>SUMIFS('フォームの回答 1'!$E:$E,'フォームの回答 1'!$B:$B,H68,'フォームの回答 1'!$H:$H,$A69)</f>
        <v>0</v>
      </c>
      <c r="I69" s="1">
        <f>SUMIFS('フォームの回答 1'!$E:$E,'フォームの回答 1'!$B:$B,I68,'フォームの回答 1'!$H:$H,$A69)</f>
        <v>0</v>
      </c>
      <c r="J69" s="1">
        <f>SUMIFS('フォームの回答 1'!$E:$E,'フォームの回答 1'!$B:$B,J68,'フォームの回答 1'!$H:$H,$A69)</f>
        <v>0</v>
      </c>
      <c r="K69" s="1">
        <f>SUMIFS('フォームの回答 1'!$E:$E,'フォームの回答 1'!$B:$B,K68,'フォームの回答 1'!$H:$H,$A69)</f>
        <v>0</v>
      </c>
      <c r="L69" s="1">
        <f>SUMIFS('フォームの回答 1'!$E:$E,'フォームの回答 1'!$B:$B,L68,'フォームの回答 1'!$H:$H,$A69)</f>
        <v>0</v>
      </c>
      <c r="M69" s="1">
        <f>SUMIFS('フォームの回答 1'!$E:$E,'フォームの回答 1'!$B:$B,M68,'フォームの回答 1'!$H:$H,$A69)</f>
        <v>0</v>
      </c>
      <c r="N69" s="1">
        <f>SUMIFS('フォームの回答 1'!$E:$E,'フォームの回答 1'!$B:$B,N68,'フォームの回答 1'!$H:$H,$A69)</f>
        <v>0</v>
      </c>
      <c r="O69" s="1">
        <f>SUMIFS('フォームの回答 1'!$E:$E,'フォームの回答 1'!$B:$B,O68,'フォームの回答 1'!$H:$H,$A69)</f>
        <v>0</v>
      </c>
      <c r="P69" s="1">
        <f>SUMIFS('フォームの回答 1'!$E:$E,'フォームの回答 1'!$B:$B,P68,'フォームの回答 1'!$H:$H,$A69)</f>
        <v>0</v>
      </c>
      <c r="Q69" s="1">
        <f>SUMIFS('フォームの回答 1'!$E:$E,'フォームの回答 1'!$B:$B,Q68,'フォームの回答 1'!$H:$H,$A69)</f>
        <v>0</v>
      </c>
      <c r="R69" s="1">
        <f>SUMIFS('フォームの回答 1'!$E:$E,'フォームの回答 1'!$B:$B,R68,'フォームの回答 1'!$H:$H,$A69)</f>
        <v>0</v>
      </c>
      <c r="S69" s="1">
        <f>SUMIFS('フォームの回答 1'!$E:$E,'フォームの回答 1'!$B:$B,S68,'フォームの回答 1'!$H:$H,$A69)</f>
        <v>0</v>
      </c>
      <c r="T69" s="1">
        <f>SUMIFS('フォームの回答 1'!$E:$E,'フォームの回答 1'!$B:$B,T68,'フォームの回答 1'!$H:$H,$A69)</f>
        <v>0</v>
      </c>
      <c r="U69" s="1">
        <f>SUMIFS('フォームの回答 1'!$E:$E,'フォームの回答 1'!$B:$B,U68,'フォームの回答 1'!$H:$H,$A69)</f>
        <v>0</v>
      </c>
      <c r="V69" s="1">
        <f>SUMIFS('フォームの回答 1'!$E:$E,'フォームの回答 1'!$B:$B,V68,'フォームの回答 1'!$H:$H,$A69)</f>
        <v>7800</v>
      </c>
      <c r="W69" s="1">
        <f>SUMIFS('フォームの回答 1'!$E:$E,'フォームの回答 1'!$B:$B,W68,'フォームの回答 1'!$H:$H,$A69)</f>
        <v>0</v>
      </c>
      <c r="X69" s="1">
        <f>SUMIFS('フォームの回答 1'!$E:$E,'フォームの回答 1'!$B:$B,X68,'フォームの回答 1'!$H:$H,$A69)</f>
        <v>0</v>
      </c>
      <c r="Y69" s="1">
        <f>SUMIFS('フォームの回答 1'!$E:$E,'フォームの回答 1'!$B:$B,Y68,'フォームの回答 1'!$H:$H,$A69)</f>
        <v>0</v>
      </c>
      <c r="Z69" s="1">
        <f>SUMIFS('フォームの回答 1'!$E:$E,'フォームの回答 1'!$B:$B,Z68,'フォームの回答 1'!$H:$H,$A69)</f>
        <v>0</v>
      </c>
      <c r="AA69" s="1">
        <f>SUMIFS('フォームの回答 1'!$E:$E,'フォームの回答 1'!$B:$B,AA68,'フォームの回答 1'!$H:$H,$A69)+AJ60</f>
        <v>412385</v>
      </c>
      <c r="AB69" s="1">
        <f>SUMIFS('フォームの回答 1'!$E:$E,'フォームの回答 1'!$B:$B,AB68,'フォームの回答 1'!$H:$H,$A69)</f>
        <v>0</v>
      </c>
      <c r="AC69" s="1">
        <f>SUMIFS('フォームの回答 1'!$E:$E,'フォームの回答 1'!$B:$B,AC68,'フォームの回答 1'!$H:$H,$A69)</f>
        <v>0</v>
      </c>
      <c r="AD69" s="1">
        <f>SUMIFS('フォームの回答 1'!$E:$E,'フォームの回答 1'!$B:$B,AD68,'フォームの回答 1'!$H:$H,$A69)</f>
        <v>0</v>
      </c>
      <c r="AE69" s="1">
        <f>SUMIFS('フォームの回答 1'!$E:$E,'フォームの回答 1'!$B:$B,AE68,'フォームの回答 1'!$H:$H,$A69)</f>
        <v>0</v>
      </c>
      <c r="AF69" s="1">
        <f>SUMIFS('フォームの回答 1'!$E:$E,'フォームの回答 1'!$B:$B,AF68,'フォームの回答 1'!$H:$H,$A69)</f>
        <v>0</v>
      </c>
      <c r="AG69" s="1">
        <f>SUMIFS('フォームの回答 1'!$E:$E,'フォームの回答 1'!$B:$B,AG68,'フォームの回答 1'!$H:$H,$A69)</f>
        <v>0</v>
      </c>
    </row>
    <row r="70" spans="1:36" ht="13">
      <c r="A70" s="2" t="s">
        <v>35</v>
      </c>
      <c r="B70" s="1">
        <f>SUM(C70:AG70)</f>
        <v>437764</v>
      </c>
      <c r="C70" s="1">
        <f>SUMIFS('フォームの回答 1'!$E:$E,'フォームの回答 1'!$B:$B,C68,'フォームの回答 1'!$H:$H,$A70,'フォームの回答 1'!$F:$F,"Cash")</f>
        <v>555</v>
      </c>
      <c r="D70" s="1">
        <f>SUMIFS('フォームの回答 1'!$E:$E,'フォームの回答 1'!$B:$B,D68,'フォームの回答 1'!$H:$H,$A70,'フォームの回答 1'!$F:$F,"Cash")</f>
        <v>1100</v>
      </c>
      <c r="E70" s="1">
        <f>SUMIFS('フォームの回答 1'!$E:$E,'フォームの回答 1'!$B:$B,E68,'フォームの回答 1'!$H:$H,$A70,'フォームの回答 1'!$F:$F,"Cash")</f>
        <v>4430</v>
      </c>
      <c r="F70" s="1">
        <f>SUMIFS('フォームの回答 1'!$E:$E,'フォームの回答 1'!$B:$B,F68,'フォームの回答 1'!$H:$H,$A70,'フォームの回答 1'!$F:$F,"Cash")</f>
        <v>0</v>
      </c>
      <c r="G70" s="1">
        <f>SUMIFS('フォームの回答 1'!$E:$E,'フォームの回答 1'!$B:$B,G68,'フォームの回答 1'!$H:$H,$A70,'フォームの回答 1'!$F:$F,"Cash")</f>
        <v>6967</v>
      </c>
      <c r="H70" s="1">
        <f>SUMIFS('フォームの回答 1'!$E:$E,'フォームの回答 1'!$B:$B,H68,'フォームの回答 1'!$H:$H,$A70,'フォームの回答 1'!$F:$F,"Cash")</f>
        <v>6714</v>
      </c>
      <c r="I70" s="1">
        <f>SUMIFS('フォームの回答 1'!$E:$E,'フォームの回答 1'!$B:$B,I68,'フォームの回答 1'!$H:$H,$A70,'フォームの回答 1'!$F:$F,"Cash")</f>
        <v>800</v>
      </c>
      <c r="J70" s="1">
        <f>SUMIFS('フォームの回答 1'!$E:$E,'フォームの回答 1'!$B:$B,J68,'フォームの回答 1'!$H:$H,$A70,'フォームの回答 1'!$F:$F,"Cash")</f>
        <v>1200</v>
      </c>
      <c r="K70" s="1">
        <f>SUMIFS('フォームの回答 1'!$E:$E,'フォームの回答 1'!$B:$B,K68,'フォームの回答 1'!$H:$H,$A70,'フォームの回答 1'!$F:$F,"Cash")</f>
        <v>1000</v>
      </c>
      <c r="L70" s="1">
        <f>SUMIFS('フォームの回答 1'!$E:$E,'フォームの回答 1'!$B:$B,L68,'フォームの回答 1'!$H:$H,$A70,'フォームの回答 1'!$F:$F,"Cash")</f>
        <v>1296</v>
      </c>
      <c r="M70" s="1">
        <f>SUMIFS('フォームの回答 1'!$E:$E,'フォームの回答 1'!$B:$B,M68,'フォームの回答 1'!$H:$H,$A70,'フォームの回答 1'!$F:$F,"Cash")</f>
        <v>4936</v>
      </c>
      <c r="N70" s="1">
        <f>SUMIFS('フォームの回答 1'!$E:$E,'フォームの回答 1'!$B:$B,N68,'フォームの回答 1'!$H:$H,$A70,'フォームの回答 1'!$F:$F,"Cash")</f>
        <v>6780</v>
      </c>
      <c r="O70" s="1">
        <f>SUMIFS('フォームの回答 1'!$E:$E,'フォームの回答 1'!$B:$B,O68,'フォームの回答 1'!$H:$H,$A70,'フォームの回答 1'!$F:$F,"Cash")</f>
        <v>12530</v>
      </c>
      <c r="P70" s="1">
        <f>SUMIFS('フォームの回答 1'!$E:$E,'フォームの回答 1'!$B:$B,P68,'フォームの回答 1'!$H:$H,$A70,'フォームの回答 1'!$F:$F,"Cash")</f>
        <v>6670</v>
      </c>
      <c r="Q70" s="1">
        <f>SUMIFS('フォームの回答 1'!$E:$E,'フォームの回答 1'!$B:$B,Q68,'フォームの回答 1'!$H:$H,$A70,'フォームの回答 1'!$F:$F,"Cash")</f>
        <v>500</v>
      </c>
      <c r="R70" s="1">
        <f>SUMIFS('フォームの回答 1'!$E:$E,'フォームの回答 1'!$B:$B,R68,'フォームの回答 1'!$H:$H,$A70,'フォームの回答 1'!$F:$F,"Cash")</f>
        <v>4136</v>
      </c>
      <c r="S70" s="1">
        <f>SUMIFS('フォームの回答 1'!$E:$E,'フォームの回答 1'!$B:$B,S68,'フォームの回答 1'!$H:$H,$A70,'フォームの回答 1'!$F:$F,"Cash")</f>
        <v>1948</v>
      </c>
      <c r="T70" s="1">
        <f>SUMIFS('フォームの回答 1'!$E:$E,'フォームの回答 1'!$B:$B,T68,'フォームの回答 1'!$H:$H,$A70,'フォームの回答 1'!$F:$F,"Cash")</f>
        <v>440</v>
      </c>
      <c r="U70" s="1">
        <f>SUMIFS('フォームの回答 1'!$E:$E,'フォームの回答 1'!$B:$B,U68,'フォームの回答 1'!$H:$H,$A70,'フォームの回答 1'!$F:$F,"Cash")</f>
        <v>0</v>
      </c>
      <c r="V70" s="1">
        <f>SUMIFS('フォームの回答 1'!$E:$E,'フォームの回答 1'!$B:$B,V68,'フォームの回答 1'!$H:$H,$A70,'フォームの回答 1'!$F:$F,"Cash")</f>
        <v>1950</v>
      </c>
      <c r="W70" s="1">
        <f>SUMIFS('フォームの回答 1'!$E:$E,'フォームの回答 1'!$B:$B,W68,'フォームの回答 1'!$H:$H,$A70,'フォームの回答 1'!$F:$F,"Cash")</f>
        <v>715</v>
      </c>
      <c r="X70" s="1">
        <f>SUMIFS('フォームの回答 1'!$E:$E,'フォームの回答 1'!$B:$B,X68,'フォームの回答 1'!$H:$H,$A70,'フォームの回答 1'!$F:$F,"Cash")</f>
        <v>1347</v>
      </c>
      <c r="Y70" s="1">
        <f>SUMIFS('フォームの回答 1'!$E:$E,'フォームの回答 1'!$B:$B,Y68,'フォームの回答 1'!$H:$H,$A70,'フォームの回答 1'!$F:$F,"Cash")</f>
        <v>1818</v>
      </c>
      <c r="Z70" s="1">
        <f>SUMIFS('フォームの回答 1'!$E:$E,'フォームの回答 1'!$B:$B,Z68,'フォームの回答 1'!$H:$H,$A70,'フォームの回答 1'!$F:$F,"Cash")</f>
        <v>3569</v>
      </c>
      <c r="AA70" s="1">
        <f>SUMIFS('フォームの回答 1'!$E:$E,'フォームの回答 1'!$B:$B,AA68,'フォームの回答 1'!$H:$H,$A70,'フォームの回答 1'!$F:$F,"Cash")</f>
        <v>6914</v>
      </c>
      <c r="AB70" s="1">
        <f>SUMIFS('フォームの回答 1'!$E:$E,'フォームの回答 1'!$B:$B,AB68,'フォームの回答 1'!$H:$H,$A70,'フォームの回答 1'!$F:$F,"Cash")</f>
        <v>50036</v>
      </c>
      <c r="AC70" s="1">
        <f>SUMIFS('フォームの回答 1'!$E:$E,'フォームの回答 1'!$B:$B,AC68,'フォームの回答 1'!$H:$H,$A70,'フォームの回答 1'!$F:$F,"Cash")+AI68</f>
        <v>149530</v>
      </c>
      <c r="AD70" s="1">
        <f>SUMIFS('フォームの回答 1'!$E:$E,'フォームの回答 1'!$B:$B,AD68,'フォームの回答 1'!$H:$H,$A70,'フォームの回答 1'!$F:$F,"Cash")</f>
        <v>4282</v>
      </c>
      <c r="AE70" s="1">
        <f>SUMIFS('フォームの回答 1'!$E:$E,'フォームの回答 1'!$B:$B,AE68,'フォームの回答 1'!$H:$H,$A70,'フォームの回答 1'!$F:$F,"Cash")</f>
        <v>150834</v>
      </c>
      <c r="AF70" s="1">
        <f>SUMIFS('フォームの回答 1'!$E:$E,'フォームの回答 1'!$B:$B,AF68,'フォームの回答 1'!$H:$H,$A70,'フォームの回答 1'!$F:$F,"Cash")</f>
        <v>1985</v>
      </c>
      <c r="AG70" s="1">
        <f>SUMIFS('フォームの回答 1'!$E:$E,'フォームの回答 1'!$B:$B,AG68,'フォームの回答 1'!$H:$H,$A70,'フォームの回答 1'!$F:$F,"Cash")</f>
        <v>2782</v>
      </c>
    </row>
    <row r="71" spans="1:36" ht="13">
      <c r="A71" s="2" t="s">
        <v>32</v>
      </c>
      <c r="C71" s="1">
        <f>AF65+C69-C70</f>
        <v>-169469</v>
      </c>
      <c r="D71" s="1">
        <f t="shared" ref="D71:AG71" si="11">C71+D69-D70</f>
        <v>-170569</v>
      </c>
      <c r="E71" s="1">
        <f t="shared" si="11"/>
        <v>-174999</v>
      </c>
      <c r="F71" s="1">
        <f t="shared" si="11"/>
        <v>-174999</v>
      </c>
      <c r="G71" s="1">
        <f t="shared" si="11"/>
        <v>-181966</v>
      </c>
      <c r="H71" s="1">
        <f t="shared" si="11"/>
        <v>-188680</v>
      </c>
      <c r="I71" s="1">
        <f t="shared" si="11"/>
        <v>-189480</v>
      </c>
      <c r="J71" s="1">
        <f t="shared" si="11"/>
        <v>-190680</v>
      </c>
      <c r="K71" s="1">
        <f t="shared" si="11"/>
        <v>-191680</v>
      </c>
      <c r="L71" s="1">
        <f t="shared" si="11"/>
        <v>-192976</v>
      </c>
      <c r="M71" s="1">
        <f t="shared" si="11"/>
        <v>-197912</v>
      </c>
      <c r="N71" s="1">
        <f t="shared" si="11"/>
        <v>-204692</v>
      </c>
      <c r="O71" s="1">
        <f t="shared" si="11"/>
        <v>-217222</v>
      </c>
      <c r="P71" s="1">
        <f t="shared" si="11"/>
        <v>-223892</v>
      </c>
      <c r="Q71" s="1">
        <f t="shared" si="11"/>
        <v>-224392</v>
      </c>
      <c r="R71" s="1">
        <f t="shared" si="11"/>
        <v>-228528</v>
      </c>
      <c r="S71" s="1">
        <f t="shared" si="11"/>
        <v>-230476</v>
      </c>
      <c r="T71" s="1">
        <f t="shared" si="11"/>
        <v>-230916</v>
      </c>
      <c r="U71" s="1">
        <f t="shared" si="11"/>
        <v>-230916</v>
      </c>
      <c r="V71" s="1">
        <f t="shared" si="11"/>
        <v>-225066</v>
      </c>
      <c r="W71" s="1">
        <f t="shared" si="11"/>
        <v>-225781</v>
      </c>
      <c r="X71" s="1">
        <f t="shared" si="11"/>
        <v>-227128</v>
      </c>
      <c r="Y71" s="1">
        <f t="shared" si="11"/>
        <v>-228946</v>
      </c>
      <c r="Z71" s="1">
        <f t="shared" si="11"/>
        <v>-232515</v>
      </c>
      <c r="AA71" s="1">
        <f t="shared" si="11"/>
        <v>172956</v>
      </c>
      <c r="AB71" s="1">
        <f t="shared" si="11"/>
        <v>122920</v>
      </c>
      <c r="AC71" s="1">
        <f t="shared" si="11"/>
        <v>-26610</v>
      </c>
      <c r="AD71" s="1">
        <f t="shared" si="11"/>
        <v>-30892</v>
      </c>
      <c r="AE71" s="1">
        <f t="shared" si="11"/>
        <v>-181726</v>
      </c>
      <c r="AF71" s="1">
        <f t="shared" si="11"/>
        <v>-183711</v>
      </c>
      <c r="AG71" s="1">
        <f t="shared" si="11"/>
        <v>-186493</v>
      </c>
    </row>
  </sheetData>
  <mergeCells count="12">
    <mergeCell ref="B31:AF31"/>
    <mergeCell ref="B37:AG37"/>
    <mergeCell ref="B1:AG1"/>
    <mergeCell ref="B7:AD7"/>
    <mergeCell ref="B13:AG13"/>
    <mergeCell ref="B19:AF19"/>
    <mergeCell ref="B25:AG25"/>
    <mergeCell ref="B43:AG43"/>
    <mergeCell ref="B49:AF49"/>
    <mergeCell ref="B55:AG55"/>
    <mergeCell ref="B61:AF61"/>
    <mergeCell ref="B67:AG67"/>
  </mergeCells>
  <phoneticPr fontId="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L35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cols>
    <col min="35" max="35" width="20.33203125" customWidth="1"/>
  </cols>
  <sheetData>
    <row r="1" spans="1:36" ht="15.75" customHeight="1">
      <c r="B1" s="20" t="s">
        <v>66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spans="1:36" ht="15.75" customHeight="1">
      <c r="B2" s="2" t="s">
        <v>29</v>
      </c>
      <c r="C2" s="11">
        <v>45108</v>
      </c>
      <c r="D2" s="11">
        <v>45109</v>
      </c>
      <c r="E2" s="11">
        <v>45110</v>
      </c>
      <c r="F2" s="11">
        <v>45111</v>
      </c>
      <c r="G2" s="11">
        <v>45112</v>
      </c>
      <c r="H2" s="11">
        <v>45113</v>
      </c>
      <c r="I2" s="11">
        <v>45114</v>
      </c>
      <c r="J2" s="11">
        <v>45115</v>
      </c>
      <c r="K2" s="11">
        <v>45116</v>
      </c>
      <c r="L2" s="11">
        <v>45117</v>
      </c>
      <c r="M2" s="11">
        <v>45118</v>
      </c>
      <c r="N2" s="11">
        <v>45119</v>
      </c>
      <c r="O2" s="11">
        <v>45120</v>
      </c>
      <c r="P2" s="11">
        <v>45121</v>
      </c>
      <c r="Q2" s="11">
        <v>45122</v>
      </c>
      <c r="R2" s="11">
        <v>45123</v>
      </c>
      <c r="S2" s="11">
        <v>45124</v>
      </c>
      <c r="T2" s="11">
        <v>45125</v>
      </c>
      <c r="U2" s="11">
        <v>45126</v>
      </c>
      <c r="V2" s="11">
        <v>45127</v>
      </c>
      <c r="W2" s="11">
        <v>45128</v>
      </c>
      <c r="X2" s="11">
        <v>45129</v>
      </c>
      <c r="Y2" s="11">
        <v>45130</v>
      </c>
      <c r="Z2" s="11">
        <v>45131</v>
      </c>
      <c r="AA2" s="11">
        <v>45132</v>
      </c>
      <c r="AB2" s="11">
        <v>45133</v>
      </c>
      <c r="AC2" s="11">
        <v>45134</v>
      </c>
      <c r="AD2" s="11">
        <v>45135</v>
      </c>
      <c r="AE2" s="11">
        <v>45136</v>
      </c>
      <c r="AF2" s="11">
        <v>45137</v>
      </c>
      <c r="AG2" s="11">
        <v>45138</v>
      </c>
    </row>
    <row r="3" spans="1:36" ht="15.75" customHeight="1">
      <c r="A3" s="2" t="s">
        <v>34</v>
      </c>
      <c r="B3" s="1">
        <f>SUM(V3:AG3)</f>
        <v>294581</v>
      </c>
      <c r="C3" s="1">
        <f>SUMIFS('フォームの回答 1'!$E:$E,'フォームの回答 1'!$B:$B,C2,'フォームの回答 1'!$H:$H,$A3)</f>
        <v>0</v>
      </c>
      <c r="D3" s="1">
        <f>SUMIFS('フォームの回答 1'!$E:$E,'フォームの回答 1'!$B:$B,D2,'フォームの回答 1'!$H:$H,$A3)</f>
        <v>0</v>
      </c>
      <c r="E3" s="1">
        <f>SUMIFS('フォームの回答 1'!$E:$E,'フォームの回答 1'!$B:$B,E2,'フォームの回答 1'!$H:$H,$A3)</f>
        <v>0</v>
      </c>
      <c r="F3" s="1">
        <f>SUMIFS('フォームの回答 1'!$E:$E,'フォームの回答 1'!$B:$B,F2,'フォームの回答 1'!$H:$H,$A3)</f>
        <v>0</v>
      </c>
      <c r="G3" s="1">
        <f>SUMIFS('フォームの回答 1'!$E:$E,'フォームの回答 1'!$B:$B,G2,'フォームの回答 1'!$H:$H,$A3)</f>
        <v>0</v>
      </c>
      <c r="H3" s="1">
        <f>SUMIFS('フォームの回答 1'!$E:$E,'フォームの回答 1'!$B:$B,H2,'フォームの回答 1'!$H:$H,$A3)</f>
        <v>0</v>
      </c>
      <c r="I3" s="1">
        <f>SUMIFS('フォームの回答 1'!$E:$E,'フォームの回答 1'!$B:$B,I2,'フォームの回答 1'!$H:$H,$A3)</f>
        <v>0</v>
      </c>
      <c r="J3" s="1">
        <f>SUMIFS('フォームの回答 1'!$E:$E,'フォームの回答 1'!$B:$B,J2,'フォームの回答 1'!$H:$H,$A3)</f>
        <v>0</v>
      </c>
      <c r="K3" s="1">
        <f>SUMIFS('フォームの回答 1'!$E:$E,'フォームの回答 1'!$B:$B,K2,'フォームの回答 1'!$H:$H,$A3)</f>
        <v>0</v>
      </c>
      <c r="L3" s="1">
        <f>SUMIFS('フォームの回答 1'!$E:$E,'フォームの回答 1'!$B:$B,L2,'フォームの回答 1'!$H:$H,$A3)</f>
        <v>0</v>
      </c>
      <c r="M3" s="1">
        <f>SUMIFS('フォームの回答 1'!$E:$E,'フォームの回答 1'!$B:$B,M2,'フォームの回答 1'!$H:$H,$A3)</f>
        <v>0</v>
      </c>
      <c r="N3" s="1">
        <f>SUMIFS('フォームの回答 1'!$E:$E,'フォームの回答 1'!$B:$B,N2,'フォームの回答 1'!$H:$H,$A3)</f>
        <v>0</v>
      </c>
      <c r="O3" s="1">
        <f>SUMIFS('フォームの回答 1'!$E:$E,'フォームの回答 1'!$B:$B,O2,'フォームの回答 1'!$H:$H,$A3)</f>
        <v>0</v>
      </c>
      <c r="P3" s="1">
        <f>SUMIFS('フォームの回答 1'!$E:$E,'フォームの回答 1'!$B:$B,P2,'フォームの回答 1'!$H:$H,$A3)</f>
        <v>0</v>
      </c>
      <c r="Q3" s="1">
        <f>SUMIFS('フォームの回答 1'!$E:$E,'フォームの回答 1'!$B:$B,Q2,'フォームの回答 1'!$H:$H,$A3)</f>
        <v>0</v>
      </c>
      <c r="R3" s="1">
        <f>SUMIFS('フォームの回答 1'!$E:$E,'フォームの回答 1'!$B:$B,R2,'フォームの回答 1'!$H:$H,$A3)</f>
        <v>0</v>
      </c>
      <c r="S3" s="1">
        <f>SUMIFS('フォームの回答 1'!$E:$E,'フォームの回答 1'!$B:$B,S2,'フォームの回答 1'!$H:$H,$A3)</f>
        <v>0</v>
      </c>
      <c r="T3" s="1">
        <f>SUMIFS('フォームの回答 1'!$E:$E,'フォームの回答 1'!$B:$B,T2,'フォームの回答 1'!$H:$H,$A3)</f>
        <v>0</v>
      </c>
      <c r="U3" s="1">
        <f>SUMIFS('フォームの回答 1'!$E:$E,'フォームの回答 1'!$B:$B,U2,'フォームの回答 1'!$H:$H,$A3)</f>
        <v>0</v>
      </c>
      <c r="V3" s="1">
        <f>SUMIFS('フォームの回答 1'!$E:$E,'フォームの回答 1'!$B:$B,V2,'フォームの回答 1'!$H:$H,$A3)</f>
        <v>279760</v>
      </c>
      <c r="W3" s="1">
        <f>SUMIFS('フォームの回答 1'!$E:$E,'フォームの回答 1'!$B:$B,W2,'フォームの回答 1'!$H:$H,$A3)</f>
        <v>0</v>
      </c>
      <c r="X3" s="1">
        <f>SUMIFS('フォームの回答 1'!$E:$E,'フォームの回答 1'!$B:$B,X2,'フォームの回答 1'!$H:$H,$A3)</f>
        <v>0</v>
      </c>
      <c r="Y3" s="1">
        <f>SUMIFS('フォームの回答 1'!$E:$E,'フォームの回答 1'!$B:$B,Y2,'フォームの回答 1'!$H:$H,$A3)</f>
        <v>0</v>
      </c>
      <c r="Z3" s="1">
        <f>SUMIFS('フォームの回答 1'!$E:$E,'フォームの回答 1'!$B:$B,Z2,'フォームの回答 1'!$H:$H,$A3)</f>
        <v>0</v>
      </c>
      <c r="AA3" s="1">
        <f>SUMIFS('フォームの回答 1'!$E:$E,'フォームの回答 1'!$B:$B,AA2,'フォームの回答 1'!$H:$H,$A3)</f>
        <v>0</v>
      </c>
      <c r="AB3" s="1">
        <f>SUMIFS('フォームの回答 1'!$E:$E,'フォームの回答 1'!$B:$B,AB2,'フォームの回答 1'!$H:$H,$A3)</f>
        <v>0</v>
      </c>
      <c r="AC3" s="1">
        <f>SUMIFS('フォームの回答 1'!$E:$E,'フォームの回答 1'!$B:$B,AC2,'フォームの回答 1'!$H:$H,$A3)</f>
        <v>0</v>
      </c>
      <c r="AD3" s="1">
        <f>SUMIFS('フォームの回答 1'!$E:$E,'フォームの回答 1'!$B:$B,AD2,'フォームの回答 1'!$H:$H,$A3)</f>
        <v>4800</v>
      </c>
      <c r="AE3" s="1">
        <f>SUMIFS('フォームの回答 1'!$E:$E,'フォームの回答 1'!$B:$B,AE2,'フォームの回答 1'!$H:$H,$A3)</f>
        <v>0</v>
      </c>
      <c r="AF3" s="1">
        <f>SUMIFS('フォームの回答 1'!$E:$E,'フォームの回答 1'!$B:$B,AF2,'フォームの回答 1'!$H:$H,$A3)</f>
        <v>0</v>
      </c>
      <c r="AG3" s="1">
        <f>SUMIFS('フォームの回答 1'!$E:$E,'フォームの回答 1'!$B:$B,AG2,'フォームの回答 1'!$H:$H,$A3)</f>
        <v>10021</v>
      </c>
    </row>
    <row r="4" spans="1:36" ht="15.75" customHeight="1">
      <c r="A4" s="2" t="s">
        <v>35</v>
      </c>
      <c r="B4" s="1">
        <f>SUM(V4:AG4)</f>
        <v>287789</v>
      </c>
      <c r="C4" s="1">
        <f>SUMIFS('フォームの回答 1'!$E:$E,'フォームの回答 1'!$B:$B,C2,'フォームの回答 1'!$H:$H,$A4,'フォームの回答 1'!$F:$F,"Cash")</f>
        <v>0</v>
      </c>
      <c r="D4" s="1">
        <f>SUMIFS('フォームの回答 1'!$E:$E,'フォームの回答 1'!$B:$B,D2,'フォームの回答 1'!$H:$H,$A4,'フォームの回答 1'!$F:$F,"Cash")</f>
        <v>0</v>
      </c>
      <c r="E4" s="1">
        <f>SUMIFS('フォームの回答 1'!$E:$E,'フォームの回答 1'!$B:$B,E2,'フォームの回答 1'!$H:$H,$A4,'フォームの回答 1'!$F:$F,"Cash")</f>
        <v>0</v>
      </c>
      <c r="F4" s="1">
        <f>SUMIFS('フォームの回答 1'!$E:$E,'フォームの回答 1'!$B:$B,F2,'フォームの回答 1'!$H:$H,$A4,'フォームの回答 1'!$F:$F,"Cash")</f>
        <v>0</v>
      </c>
      <c r="G4" s="1">
        <f>SUMIFS('フォームの回答 1'!$E:$E,'フォームの回答 1'!$B:$B,G2,'フォームの回答 1'!$H:$H,$A4,'フォームの回答 1'!$F:$F,"Cash")</f>
        <v>0</v>
      </c>
      <c r="H4" s="1">
        <f>SUMIFS('フォームの回答 1'!$E:$E,'フォームの回答 1'!$B:$B,H2,'フォームの回答 1'!$H:$H,$A4,'フォームの回答 1'!$F:$F,"Cash")</f>
        <v>0</v>
      </c>
      <c r="I4" s="1">
        <f>SUMIFS('フォームの回答 1'!$E:$E,'フォームの回答 1'!$B:$B,I2,'フォームの回答 1'!$H:$H,$A4,'フォームの回答 1'!$F:$F,"Cash")</f>
        <v>0</v>
      </c>
      <c r="J4" s="1">
        <f>SUMIFS('フォームの回答 1'!$E:$E,'フォームの回答 1'!$B:$B,J2,'フォームの回答 1'!$H:$H,$A4,'フォームの回答 1'!$F:$F,"Cash")</f>
        <v>0</v>
      </c>
      <c r="K4" s="1">
        <f>SUMIFS('フォームの回答 1'!$E:$E,'フォームの回答 1'!$B:$B,K2,'フォームの回答 1'!$H:$H,$A4,'フォームの回答 1'!$F:$F,"Cash")</f>
        <v>0</v>
      </c>
      <c r="L4" s="1">
        <f>SUMIFS('フォームの回答 1'!$E:$E,'フォームの回答 1'!$B:$B,L2,'フォームの回答 1'!$H:$H,$A4,'フォームの回答 1'!$F:$F,"Cash")</f>
        <v>0</v>
      </c>
      <c r="M4" s="1">
        <f>SUMIFS('フォームの回答 1'!$E:$E,'フォームの回答 1'!$B:$B,M2,'フォームの回答 1'!$H:$H,$A4,'フォームの回答 1'!$F:$F,"Cash")</f>
        <v>0</v>
      </c>
      <c r="N4" s="1">
        <f>SUMIFS('フォームの回答 1'!$E:$E,'フォームの回答 1'!$B:$B,N2,'フォームの回答 1'!$H:$H,$A4,'フォームの回答 1'!$F:$F,"Cash")</f>
        <v>0</v>
      </c>
      <c r="O4" s="1">
        <f>SUMIFS('フォームの回答 1'!$E:$E,'フォームの回答 1'!$B:$B,O2,'フォームの回答 1'!$H:$H,$A4,'フォームの回答 1'!$F:$F,"Cash")</f>
        <v>0</v>
      </c>
      <c r="P4" s="1">
        <f>SUMIFS('フォームの回答 1'!$E:$E,'フォームの回答 1'!$B:$B,P2,'フォームの回答 1'!$H:$H,$A4,'フォームの回答 1'!$F:$F,"Cash")</f>
        <v>0</v>
      </c>
      <c r="Q4" s="1">
        <f>SUMIFS('フォームの回答 1'!$E:$E,'フォームの回答 1'!$B:$B,Q2,'フォームの回答 1'!$H:$H,$A4,'フォームの回答 1'!$F:$F,"Cash")</f>
        <v>0</v>
      </c>
      <c r="R4" s="1">
        <f>SUMIFS('フォームの回答 1'!$E:$E,'フォームの回答 1'!$B:$B,R2,'フォームの回答 1'!$H:$H,$A4,'フォームの回答 1'!$F:$F,"Cash")</f>
        <v>0</v>
      </c>
      <c r="S4" s="1">
        <f>SUMIFS('フォームの回答 1'!$E:$E,'フォームの回答 1'!$B:$B,S2,'フォームの回答 1'!$H:$H,$A4,'フォームの回答 1'!$F:$F,"Cash")</f>
        <v>0</v>
      </c>
      <c r="T4" s="1">
        <f>SUMIFS('フォームの回答 1'!$E:$E,'フォームの回答 1'!$B:$B,T2,'フォームの回答 1'!$H:$H,$A4,'フォームの回答 1'!$F:$F,"Cash")</f>
        <v>0</v>
      </c>
      <c r="U4" s="1">
        <f>SUMIFS('フォームの回答 1'!$E:$E,'フォームの回答 1'!$B:$B,U2,'フォームの回答 1'!$H:$H,$A4,'フォームの回答 1'!$F:$F,"Cash")</f>
        <v>0</v>
      </c>
      <c r="V4" s="1">
        <f>SUMIFS('フォームの回答 1'!$E:$E,'フォームの回答 1'!$B:$B,V2,'フォームの回答 1'!$H:$H,$A4,'フォームの回答 1'!$F:$F,"Cash")</f>
        <v>3091</v>
      </c>
      <c r="W4" s="1">
        <f>SUMIFS('フォームの回答 1'!$E:$E,'フォームの回答 1'!$B:$B,W2,'フォームの回答 1'!$H:$H,$A4,'フォームの回答 1'!$F:$F,"Cash")</f>
        <v>963</v>
      </c>
      <c r="X4" s="1">
        <f>SUMIFS('フォームの回答 1'!$E:$E,'フォームの回答 1'!$B:$B,X2,'フォームの回答 1'!$H:$H,$A4,'フォームの回答 1'!$F:$F,"Cash")</f>
        <v>3685</v>
      </c>
      <c r="Y4" s="1">
        <f>SUMIFS('フォームの回答 1'!$E:$E,'フォームの回答 1'!$B:$B,Y2,'フォームの回答 1'!$H:$H,$A4,'フォームの回答 1'!$F:$F,"Cash")</f>
        <v>4333</v>
      </c>
      <c r="Z4" s="1">
        <f>SUMIFS('フォームの回答 1'!$E:$E,'フォームの回答 1'!$B:$B,Z2,'フォームの回答 1'!$H:$H,$A4,'フォームの回答 1'!$F:$F,"Cash")</f>
        <v>816</v>
      </c>
      <c r="AA4" s="1">
        <f>SUMIFS('フォームの回答 1'!$E:$E,'フォームの回答 1'!$B:$B,AA2,'フォームの回答 1'!$H:$H,$A4,'フォームの回答 1'!$F:$F,"Cash")</f>
        <v>3070</v>
      </c>
      <c r="AB4" s="1">
        <f>SUMIFS('フォームの回答 1'!$E:$E,'フォームの回答 1'!$B:$B,AB2,'フォームの回答 1'!$H:$H,$A4,'フォームの回答 1'!$F:$F,"Cash")</f>
        <v>14000</v>
      </c>
      <c r="AC4" s="1">
        <f>SUMIFS('フォームの回答 1'!$E:$E,'フォームの回答 1'!$B:$B,AC2,'フォームの回答 1'!$H:$H,$A4,'フォームの回答 1'!$F:$F,"Cash")</f>
        <v>234072</v>
      </c>
      <c r="AD4" s="1">
        <f>SUMIFS('フォームの回答 1'!$E:$E,'フォームの回答 1'!$B:$B,AD2,'フォームの回答 1'!$H:$H,$A4,'フォームの回答 1'!$F:$F,"Cash")</f>
        <v>11835</v>
      </c>
      <c r="AE4" s="1">
        <f>SUMIFS('フォームの回答 1'!$E:$E,'フォームの回答 1'!$B:$B,AE2,'フォームの回答 1'!$H:$H,$A4,'フォームの回答 1'!$F:$F,"Cash")</f>
        <v>5318</v>
      </c>
      <c r="AF4" s="1">
        <f>SUMIFS('フォームの回答 1'!$E:$E,'フォームの回答 1'!$B:$B,AF2,'フォームの回答 1'!$H:$H,$A4,'フォームの回答 1'!$F:$F,"Cash")</f>
        <v>1096</v>
      </c>
      <c r="AG4" s="1">
        <f>SUMIFS('フォームの回答 1'!$E:$E,'フォームの回答 1'!$B:$B,AG2,'フォームの回答 1'!$H:$H,$A4,'フォームの回答 1'!$F:$F,"Cash")</f>
        <v>5510</v>
      </c>
      <c r="AI4" s="2" t="s">
        <v>79</v>
      </c>
      <c r="AJ4" s="1">
        <v>177691</v>
      </c>
    </row>
    <row r="5" spans="1:36" ht="15.75" customHeight="1">
      <c r="A5" s="2" t="s">
        <v>32</v>
      </c>
      <c r="AB5" s="1">
        <f>255443+28000+31540</f>
        <v>314983</v>
      </c>
      <c r="AC5" s="1">
        <f t="shared" ref="AC5:AG5" si="0">AB5+AC3-AC4</f>
        <v>80911</v>
      </c>
      <c r="AD5" s="1">
        <f t="shared" si="0"/>
        <v>73876</v>
      </c>
      <c r="AE5" s="1">
        <f t="shared" si="0"/>
        <v>68558</v>
      </c>
      <c r="AF5" s="1">
        <f t="shared" si="0"/>
        <v>67462</v>
      </c>
      <c r="AG5" s="1">
        <f t="shared" si="0"/>
        <v>71973</v>
      </c>
      <c r="AI5" s="2" t="s">
        <v>80</v>
      </c>
      <c r="AJ5" s="1">
        <v>1010</v>
      </c>
    </row>
    <row r="7" spans="1:36" ht="15.75" customHeight="1">
      <c r="B7" s="20" t="s">
        <v>68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</row>
    <row r="8" spans="1:36" ht="15.75" customHeight="1">
      <c r="B8" s="2" t="s">
        <v>29</v>
      </c>
      <c r="C8" s="11">
        <v>45139</v>
      </c>
      <c r="D8" s="11">
        <v>45140</v>
      </c>
      <c r="E8" s="11">
        <v>45141</v>
      </c>
      <c r="F8" s="11">
        <v>45142</v>
      </c>
      <c r="G8" s="11">
        <v>45143</v>
      </c>
      <c r="H8" s="11">
        <v>45144</v>
      </c>
      <c r="I8" s="11">
        <v>45145</v>
      </c>
      <c r="J8" s="11">
        <v>45146</v>
      </c>
      <c r="K8" s="11">
        <v>45147</v>
      </c>
      <c r="L8" s="11">
        <v>45148</v>
      </c>
      <c r="M8" s="11">
        <v>45149</v>
      </c>
      <c r="N8" s="11">
        <v>45150</v>
      </c>
      <c r="O8" s="11">
        <v>45151</v>
      </c>
      <c r="P8" s="11">
        <v>45152</v>
      </c>
      <c r="Q8" s="11">
        <v>45153</v>
      </c>
      <c r="R8" s="11">
        <v>45154</v>
      </c>
      <c r="S8" s="11">
        <v>45155</v>
      </c>
      <c r="T8" s="11">
        <v>45156</v>
      </c>
      <c r="U8" s="11">
        <v>45157</v>
      </c>
      <c r="V8" s="11">
        <v>45158</v>
      </c>
      <c r="W8" s="11">
        <v>45159</v>
      </c>
      <c r="X8" s="11">
        <v>45160</v>
      </c>
      <c r="Y8" s="11">
        <v>45161</v>
      </c>
      <c r="Z8" s="11">
        <v>45162</v>
      </c>
      <c r="AA8" s="11">
        <v>45163</v>
      </c>
      <c r="AB8" s="11">
        <v>45164</v>
      </c>
      <c r="AC8" s="11">
        <v>45165</v>
      </c>
      <c r="AD8" s="11">
        <v>45166</v>
      </c>
      <c r="AE8" s="11">
        <v>45167</v>
      </c>
      <c r="AF8" s="11">
        <v>45168</v>
      </c>
      <c r="AG8" s="11">
        <v>45169</v>
      </c>
    </row>
    <row r="9" spans="1:36" ht="15.75" customHeight="1">
      <c r="A9" s="2" t="s">
        <v>34</v>
      </c>
      <c r="B9" s="1">
        <f>SUM(V9:AG9)</f>
        <v>586138</v>
      </c>
      <c r="C9" s="1">
        <f>SUMIFS('フォームの回答 1'!$E:$E,'フォームの回答 1'!$B:$B,C8,'フォームの回答 1'!$H:$H,$A9)</f>
        <v>0</v>
      </c>
      <c r="D9" s="1">
        <f>SUMIFS('フォームの回答 1'!$E:$E,'フォームの回答 1'!$B:$B,D8,'フォームの回答 1'!$H:$H,$A9)</f>
        <v>0</v>
      </c>
      <c r="E9" s="1">
        <f>SUMIFS('フォームの回答 1'!$E:$E,'フォームの回答 1'!$B:$B,E8,'フォームの回答 1'!$H:$H,$A9)</f>
        <v>0</v>
      </c>
      <c r="F9" s="1">
        <f>SUMIFS('フォームの回答 1'!$E:$E,'フォームの回答 1'!$B:$B,F8,'フォームの回答 1'!$H:$H,$A9)</f>
        <v>0</v>
      </c>
      <c r="G9" s="1">
        <f>SUMIFS('フォームの回答 1'!$E:$E,'フォームの回答 1'!$B:$B,G8,'フォームの回答 1'!$H:$H,$A9)</f>
        <v>0</v>
      </c>
      <c r="H9" s="1">
        <f>SUMIFS('フォームの回答 1'!$E:$E,'フォームの回答 1'!$B:$B,H8,'フォームの回答 1'!$H:$H,$A9)</f>
        <v>0</v>
      </c>
      <c r="I9" s="1">
        <f>SUMIFS('フォームの回答 1'!$E:$E,'フォームの回答 1'!$B:$B,I8,'フォームの回答 1'!$H:$H,$A9)</f>
        <v>0</v>
      </c>
      <c r="J9" s="1">
        <f>SUMIFS('フォームの回答 1'!$E:$E,'フォームの回答 1'!$B:$B,J8,'フォームの回答 1'!$H:$H,$A9)</f>
        <v>0</v>
      </c>
      <c r="K9" s="1">
        <f>SUMIFS('フォームの回答 1'!$E:$E,'フォームの回答 1'!$B:$B,K8,'フォームの回答 1'!$H:$H,$A9)</f>
        <v>0</v>
      </c>
      <c r="L9" s="1">
        <f>SUMIFS('フォームの回答 1'!$E:$E,'フォームの回答 1'!$B:$B,L8,'フォームの回答 1'!$H:$H,$A9)</f>
        <v>0</v>
      </c>
      <c r="M9" s="1">
        <f>SUMIFS('フォームの回答 1'!$E:$E,'フォームの回答 1'!$B:$B,M8,'フォームの回答 1'!$H:$H,$A9)</f>
        <v>0</v>
      </c>
      <c r="N9" s="1">
        <f>SUMIFS('フォームの回答 1'!$E:$E,'フォームの回答 1'!$B:$B,N8,'フォームの回答 1'!$H:$H,$A9)</f>
        <v>0</v>
      </c>
      <c r="O9" s="1">
        <f>SUMIFS('フォームの回答 1'!$E:$E,'フォームの回答 1'!$B:$B,O8,'フォームの回答 1'!$H:$H,$A9)</f>
        <v>0</v>
      </c>
      <c r="P9" s="1">
        <f>SUMIFS('フォームの回答 1'!$E:$E,'フォームの回答 1'!$B:$B,P8,'フォームの回答 1'!$H:$H,$A9)</f>
        <v>0</v>
      </c>
      <c r="Q9" s="1">
        <f>SUMIFS('フォームの回答 1'!$E:$E,'フォームの回答 1'!$B:$B,Q8,'フォームの回答 1'!$H:$H,$A9)</f>
        <v>0</v>
      </c>
      <c r="R9" s="1">
        <f>SUMIFS('フォームの回答 1'!$E:$E,'フォームの回答 1'!$B:$B,R8,'フォームの回答 1'!$H:$H,$A9)</f>
        <v>0</v>
      </c>
      <c r="S9" s="1">
        <f>SUMIFS('フォームの回答 1'!$E:$E,'フォームの回答 1'!$B:$B,S8,'フォームの回答 1'!$H:$H,$A9)</f>
        <v>0</v>
      </c>
      <c r="T9" s="1">
        <f>SUMIFS('フォームの回答 1'!$E:$E,'フォームの回答 1'!$B:$B,T8,'フォームの回答 1'!$H:$H,$A9)</f>
        <v>0</v>
      </c>
      <c r="U9" s="1">
        <f>SUMIFS('フォームの回答 1'!$E:$E,'フォームの回答 1'!$B:$B,U8,'フォームの回答 1'!$H:$H,$A9)</f>
        <v>0</v>
      </c>
      <c r="V9" s="1">
        <f>SUMIFS('フォームの回答 1'!$E:$E,'フォームの回答 1'!$B:$B,V8,'フォームの回答 1'!$H:$H,$A9)+AJ11</f>
        <v>199605</v>
      </c>
      <c r="W9" s="1">
        <f>SUMIFS('フォームの回答 1'!$E:$E,'フォームの回答 1'!$B:$B,W8,'フォームの回答 1'!$H:$H,$A9)</f>
        <v>7400</v>
      </c>
      <c r="X9" s="1">
        <f>SUMIFS('フォームの回答 1'!$E:$E,'フォームの回答 1'!$B:$B,X8,'フォームの回答 1'!$H:$H,$A9)</f>
        <v>0</v>
      </c>
      <c r="Y9" s="1">
        <f>SUMIFS('フォームの回答 1'!$E:$E,'フォームの回答 1'!$B:$B,Y8,'フォームの回答 1'!$H:$H,$A9)</f>
        <v>0</v>
      </c>
      <c r="Z9" s="1">
        <f>SUMIFS('フォームの回答 1'!$E:$E,'フォームの回答 1'!$B:$B,Z8,'フォームの回答 1'!$H:$H,$A9)</f>
        <v>0</v>
      </c>
      <c r="AA9" s="1">
        <f>SUMIFS('フォームの回答 1'!$E:$E,'フォームの回答 1'!$B:$B,AA8,'フォームの回答 1'!$H:$H,$A9)</f>
        <v>379133</v>
      </c>
      <c r="AB9" s="1">
        <f>SUMIFS('フォームの回答 1'!$E:$E,'フォームの回答 1'!$B:$B,AB8,'フォームの回答 1'!$H:$H,$A9)</f>
        <v>0</v>
      </c>
      <c r="AC9" s="1">
        <f>SUMIFS('フォームの回答 1'!$E:$E,'フォームの回答 1'!$B:$B,AC8,'フォームの回答 1'!$H:$H,$A9)</f>
        <v>0</v>
      </c>
      <c r="AD9" s="1">
        <f>SUMIFS('フォームの回答 1'!$E:$E,'フォームの回答 1'!$B:$B,AD8,'フォームの回答 1'!$H:$H,$A9)</f>
        <v>0</v>
      </c>
      <c r="AE9" s="1">
        <f>SUMIFS('フォームの回答 1'!$E:$E,'フォームの回答 1'!$B:$B,AE8,'フォームの回答 1'!$H:$H,$A9)</f>
        <v>0</v>
      </c>
      <c r="AF9" s="1">
        <f>SUMIFS('フォームの回答 1'!$E:$E,'フォームの回答 1'!$B:$B,AF8,'フォームの回答 1'!$H:$H,$A9)</f>
        <v>0</v>
      </c>
      <c r="AG9" s="1">
        <f>SUMIFS('フォームの回答 1'!$E:$E,'フォームの回答 1'!$B:$B,AG8,'フォームの回答 1'!$H:$H,$A9)</f>
        <v>0</v>
      </c>
    </row>
    <row r="10" spans="1:36" ht="15.75" customHeight="1">
      <c r="A10" s="2" t="s">
        <v>35</v>
      </c>
      <c r="B10" s="1">
        <f>SUM(V10:AG10)</f>
        <v>413156</v>
      </c>
      <c r="C10" s="1">
        <f>SUMIFS('フォームの回答 1'!$E:$E,'フォームの回答 1'!$B:$B,C8,'フォームの回答 1'!$H:$H,$A10,'フォームの回答 1'!$F:$F,"Cash")</f>
        <v>0</v>
      </c>
      <c r="D10" s="1">
        <f>SUMIFS('フォームの回答 1'!$E:$E,'フォームの回答 1'!$B:$B,D8,'フォームの回答 1'!$H:$H,$A10,'フォームの回答 1'!$F:$F,"Cash")</f>
        <v>1837</v>
      </c>
      <c r="E10" s="1">
        <f>SUMIFS('フォームの回答 1'!$E:$E,'フォームの回答 1'!$B:$B,E8,'フォームの回答 1'!$H:$H,$A10,'フォームの回答 1'!$F:$F,"Cash")</f>
        <v>110</v>
      </c>
      <c r="F10" s="1">
        <f>SUMIFS('フォームの回答 1'!$E:$E,'フォームの回答 1'!$B:$B,F8,'フォームの回答 1'!$H:$H,$A10,'フォームの回答 1'!$F:$F,"Cash")</f>
        <v>405</v>
      </c>
      <c r="G10" s="1">
        <f>SUMIFS('フォームの回答 1'!$E:$E,'フォームの回答 1'!$B:$B,G8,'フォームの回答 1'!$H:$H,$A10,'フォームの回答 1'!$F:$F,"Cash")</f>
        <v>1541</v>
      </c>
      <c r="H10" s="1">
        <f>SUMIFS('フォームの回答 1'!$E:$E,'フォームの回答 1'!$B:$B,H8,'フォームの回答 1'!$H:$H,$A10,'フォームの回答 1'!$F:$F,"Cash")</f>
        <v>2878</v>
      </c>
      <c r="I10" s="1">
        <f>SUMIFS('フォームの回答 1'!$E:$E,'フォームの回答 1'!$B:$B,I8,'フォームの回答 1'!$H:$H,$A10,'フォームの回答 1'!$F:$F,"Cash")</f>
        <v>6010</v>
      </c>
      <c r="J10" s="1">
        <f>SUMIFS('フォームの回答 1'!$E:$E,'フォームの回答 1'!$B:$B,J8,'フォームの回答 1'!$H:$H,$A10,'フォームの回答 1'!$F:$F,"Cash")</f>
        <v>1791</v>
      </c>
      <c r="K10" s="1">
        <f>SUMIFS('フォームの回答 1'!$E:$E,'フォームの回答 1'!$B:$B,K8,'フォームの回答 1'!$H:$H,$A10,'フォームの回答 1'!$F:$F,"Cash")</f>
        <v>1885</v>
      </c>
      <c r="L10" s="1">
        <f>SUMIFS('フォームの回答 1'!$E:$E,'フォームの回答 1'!$B:$B,L8,'フォームの回答 1'!$H:$H,$A10,'フォームの回答 1'!$F:$F,"Cash")</f>
        <v>3285</v>
      </c>
      <c r="M10" s="1">
        <f>SUMIFS('フォームの回答 1'!$E:$E,'フォームの回答 1'!$B:$B,M8,'フォームの回答 1'!$H:$H,$A10,'フォームの回答 1'!$F:$F,"Cash")</f>
        <v>1659</v>
      </c>
      <c r="N10" s="1">
        <f>SUMIFS('フォームの回答 1'!$E:$E,'フォームの回答 1'!$B:$B,N8,'フォームの回答 1'!$H:$H,$A10,'フォームの回答 1'!$F:$F,"Cash")</f>
        <v>0</v>
      </c>
      <c r="O10" s="1">
        <f>SUMIFS('フォームの回答 1'!$E:$E,'フォームの回答 1'!$B:$B,O8,'フォームの回答 1'!$H:$H,$A10,'フォームの回答 1'!$F:$F,"Cash")</f>
        <v>3305</v>
      </c>
      <c r="P10" s="1">
        <f>SUMIFS('フォームの回答 1'!$E:$E,'フォームの回答 1'!$B:$B,P8,'フォームの回答 1'!$H:$H,$A10,'フォームの回答 1'!$F:$F,"Cash")</f>
        <v>0</v>
      </c>
      <c r="Q10" s="1">
        <f>SUMIFS('フォームの回答 1'!$E:$E,'フォームの回答 1'!$B:$B,Q8,'フォームの回答 1'!$H:$H,$A10,'フォームの回答 1'!$F:$F,"Cash")</f>
        <v>3389</v>
      </c>
      <c r="R10" s="1">
        <f>SUMIFS('フォームの回答 1'!$E:$E,'フォームの回答 1'!$B:$B,R8,'フォームの回答 1'!$H:$H,$A10,'フォームの回答 1'!$F:$F,"Cash")</f>
        <v>1817</v>
      </c>
      <c r="S10" s="1">
        <f>SUMIFS('フォームの回答 1'!$E:$E,'フォームの回答 1'!$B:$B,S8,'フォームの回答 1'!$H:$H,$A10,'フォームの回答 1'!$F:$F,"Cash")</f>
        <v>582</v>
      </c>
      <c r="T10" s="1">
        <f>SUMIFS('フォームの回答 1'!$E:$E,'フォームの回答 1'!$B:$B,T8,'フォームの回答 1'!$H:$H,$A10,'フォームの回答 1'!$F:$F,"Cash")</f>
        <v>1162</v>
      </c>
      <c r="U10" s="1">
        <f>SUMIFS('フォームの回答 1'!$E:$E,'フォームの回答 1'!$B:$B,U8,'フォームの回答 1'!$H:$H,$A10,'フォームの回答 1'!$F:$F,"Cash")</f>
        <v>2382</v>
      </c>
      <c r="V10" s="1">
        <f>SUMIFS('フォームの回答 1'!$E:$E,'フォームの回答 1'!$B:$B,V8,'フォームの回答 1'!$H:$H,$A10,'フォームの回答 1'!$F:$F,"Cash")</f>
        <v>0</v>
      </c>
      <c r="W10" s="1">
        <f>SUMIFS('フォームの回答 1'!$E:$E,'フォームの回答 1'!$B:$B,W8,'フォームの回答 1'!$H:$H,$A10,'フォームの回答 1'!$F:$F,"Cash")</f>
        <v>920</v>
      </c>
      <c r="X10" s="1">
        <f>SUMIFS('フォームの回答 1'!$E:$E,'フォームの回答 1'!$B:$B,X8,'フォームの回答 1'!$H:$H,$A10,'フォームの回答 1'!$F:$F,"Cash")</f>
        <v>2254</v>
      </c>
      <c r="Y10" s="1">
        <f>SUMIFS('フォームの回答 1'!$E:$E,'フォームの回答 1'!$B:$B,Y8,'フォームの回答 1'!$H:$H,$A10,'フォームの回答 1'!$F:$F,"Cash")</f>
        <v>1310</v>
      </c>
      <c r="Z10" s="1">
        <f>SUMIFS('フォームの回答 1'!$E:$E,'フォームの回答 1'!$B:$B,Z8,'フォームの回答 1'!$H:$H,$A10,'フォームの回答 1'!$F:$F,"Cash")</f>
        <v>2262</v>
      </c>
      <c r="AA10" s="1">
        <f>SUMIFS('フォームの回答 1'!$E:$E,'フォームの回答 1'!$B:$B,AA8,'フォームの回答 1'!$H:$H,$A10,'フォームの回答 1'!$F:$F,"Cash")</f>
        <v>1090</v>
      </c>
      <c r="AB10" s="1">
        <f>SUMIFS('フォームの回答 1'!$E:$E,'フォームの回答 1'!$B:$B,AB8,'フォームの回答 1'!$H:$H,$A10,'フォームの回答 1'!$F:$F,"Cash")</f>
        <v>3979</v>
      </c>
      <c r="AC10" s="1">
        <f>SUMIFS('フォームの回答 1'!$E:$E,'フォームの回答 1'!$B:$B,AC8,'フォームの回答 1'!$H:$H,$A10,'フォームの回答 1'!$F:$F,"Cash")+AJ10</f>
        <v>179508</v>
      </c>
      <c r="AD10" s="1">
        <f>SUMIFS('フォームの回答 1'!$E:$E,'フォームの回答 1'!$B:$B,AD8,'フォームの回答 1'!$H:$H,$A10,'フォームの回答 1'!$F:$F,"Cash")</f>
        <v>125300</v>
      </c>
      <c r="AE10" s="1">
        <f>SUMIFS('フォームの回答 1'!$E:$E,'フォームの回答 1'!$B:$B,AE8,'フォームの回答 1'!$H:$H,$A10,'フォームの回答 1'!$F:$F,"Cash")</f>
        <v>93812</v>
      </c>
      <c r="AF10" s="1">
        <f>SUMIFS('フォームの回答 1'!$E:$E,'フォームの回答 1'!$B:$B,AF8,'フォームの回答 1'!$H:$H,$A10,'フォームの回答 1'!$F:$F,"Cash")</f>
        <v>1590</v>
      </c>
      <c r="AG10" s="1">
        <f>SUMIFS('フォームの回答 1'!$E:$E,'フォームの回答 1'!$B:$B,AG8,'フォームの回答 1'!$H:$H,$A10,'フォームの回答 1'!$F:$F,"Cash")</f>
        <v>1131</v>
      </c>
      <c r="AI10" s="2" t="s">
        <v>29</v>
      </c>
      <c r="AJ10" s="1">
        <f>SUM(AJ4:AJ5)</f>
        <v>178701</v>
      </c>
    </row>
    <row r="11" spans="1:36" ht="15.75" customHeight="1">
      <c r="A11" s="2" t="s">
        <v>32</v>
      </c>
      <c r="C11" s="1">
        <f>AG5+C9-C10</f>
        <v>71973</v>
      </c>
      <c r="D11" s="1">
        <f t="shared" ref="D11:AG11" si="1">C11+D9-D10</f>
        <v>70136</v>
      </c>
      <c r="E11" s="1">
        <f t="shared" si="1"/>
        <v>70026</v>
      </c>
      <c r="F11" s="1">
        <f t="shared" si="1"/>
        <v>69621</v>
      </c>
      <c r="G11" s="1">
        <f t="shared" si="1"/>
        <v>68080</v>
      </c>
      <c r="H11" s="1">
        <f t="shared" si="1"/>
        <v>65202</v>
      </c>
      <c r="I11" s="1">
        <f t="shared" si="1"/>
        <v>59192</v>
      </c>
      <c r="J11" s="1">
        <f t="shared" si="1"/>
        <v>57401</v>
      </c>
      <c r="K11" s="1">
        <f t="shared" si="1"/>
        <v>55516</v>
      </c>
      <c r="L11" s="1">
        <f t="shared" si="1"/>
        <v>52231</v>
      </c>
      <c r="M11" s="1">
        <f t="shared" si="1"/>
        <v>50572</v>
      </c>
      <c r="N11" s="1">
        <f t="shared" si="1"/>
        <v>50572</v>
      </c>
      <c r="O11" s="1">
        <f t="shared" si="1"/>
        <v>47267</v>
      </c>
      <c r="P11" s="1">
        <f t="shared" si="1"/>
        <v>47267</v>
      </c>
      <c r="Q11" s="1">
        <f t="shared" si="1"/>
        <v>43878</v>
      </c>
      <c r="R11" s="1">
        <f t="shared" si="1"/>
        <v>42061</v>
      </c>
      <c r="S11" s="1">
        <f t="shared" si="1"/>
        <v>41479</v>
      </c>
      <c r="T11" s="1">
        <f t="shared" si="1"/>
        <v>40317</v>
      </c>
      <c r="U11" s="1">
        <f t="shared" si="1"/>
        <v>37935</v>
      </c>
      <c r="V11" s="1">
        <f t="shared" si="1"/>
        <v>237540</v>
      </c>
      <c r="W11" s="1">
        <f t="shared" si="1"/>
        <v>244020</v>
      </c>
      <c r="X11" s="1">
        <f t="shared" si="1"/>
        <v>241766</v>
      </c>
      <c r="Y11" s="1">
        <f t="shared" si="1"/>
        <v>240456</v>
      </c>
      <c r="Z11" s="1">
        <f t="shared" si="1"/>
        <v>238194</v>
      </c>
      <c r="AA11" s="1">
        <f t="shared" si="1"/>
        <v>616237</v>
      </c>
      <c r="AB11" s="1">
        <f t="shared" si="1"/>
        <v>612258</v>
      </c>
      <c r="AC11" s="1">
        <f t="shared" si="1"/>
        <v>432750</v>
      </c>
      <c r="AD11" s="1">
        <f t="shared" si="1"/>
        <v>307450</v>
      </c>
      <c r="AE11" s="1">
        <f t="shared" si="1"/>
        <v>213638</v>
      </c>
      <c r="AF11" s="1">
        <f t="shared" si="1"/>
        <v>212048</v>
      </c>
      <c r="AG11" s="1">
        <f t="shared" si="1"/>
        <v>210917</v>
      </c>
      <c r="AI11" s="2" t="s">
        <v>81</v>
      </c>
      <c r="AJ11" s="1">
        <v>199605</v>
      </c>
    </row>
    <row r="12" spans="1:36" ht="15.75" customHeight="1">
      <c r="AI12" s="2" t="s">
        <v>82</v>
      </c>
      <c r="AJ12" s="1">
        <v>288710</v>
      </c>
    </row>
    <row r="13" spans="1:36" ht="15.75" customHeight="1">
      <c r="B13" s="20" t="s">
        <v>70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I13" s="2" t="s">
        <v>83</v>
      </c>
      <c r="AJ13" s="1">
        <f>+SUMIFS('フォームの回答 1'!E:E,'フォームの回答 1'!B:B,"&gt;=2023/07/28",'フォームの回答 1'!H:H,"支出",'フォームの回答 1'!F:F,"Credit")-SUMIFS('フォームの回答 1'!E:E,'フォームの回答 1'!B:B,"&gt;2023/08/28",'フォームの回答 1'!H:H,"支出",'フォームの回答 1'!F:F,"Credit")</f>
        <v>149272</v>
      </c>
    </row>
    <row r="14" spans="1:36" ht="15.75" customHeight="1">
      <c r="B14" s="2" t="s">
        <v>29</v>
      </c>
      <c r="C14" s="11">
        <v>45170</v>
      </c>
      <c r="D14" s="11">
        <v>45171</v>
      </c>
      <c r="E14" s="11">
        <v>45172</v>
      </c>
      <c r="F14" s="11">
        <v>45173</v>
      </c>
      <c r="G14" s="11">
        <v>45174</v>
      </c>
      <c r="H14" s="11">
        <v>45175</v>
      </c>
      <c r="I14" s="11">
        <v>45176</v>
      </c>
      <c r="J14" s="11">
        <v>45177</v>
      </c>
      <c r="K14" s="11">
        <v>45178</v>
      </c>
      <c r="L14" s="11">
        <v>45179</v>
      </c>
      <c r="M14" s="11">
        <v>45180</v>
      </c>
      <c r="N14" s="11">
        <v>45181</v>
      </c>
      <c r="O14" s="11">
        <v>45182</v>
      </c>
      <c r="P14" s="11">
        <v>45183</v>
      </c>
      <c r="Q14" s="11">
        <v>45184</v>
      </c>
      <c r="R14" s="11">
        <v>45185</v>
      </c>
      <c r="S14" s="11">
        <v>45186</v>
      </c>
      <c r="T14" s="11">
        <v>45187</v>
      </c>
      <c r="U14" s="11">
        <v>45188</v>
      </c>
      <c r="V14" s="11">
        <v>45189</v>
      </c>
      <c r="W14" s="11">
        <v>45190</v>
      </c>
      <c r="X14" s="11">
        <v>45191</v>
      </c>
      <c r="Y14" s="11">
        <v>45192</v>
      </c>
      <c r="Z14" s="11">
        <v>45193</v>
      </c>
      <c r="AA14" s="11">
        <v>45194</v>
      </c>
      <c r="AB14" s="11">
        <v>45195</v>
      </c>
      <c r="AC14" s="11">
        <v>45196</v>
      </c>
      <c r="AD14" s="11">
        <v>45197</v>
      </c>
      <c r="AE14" s="11">
        <v>45198</v>
      </c>
      <c r="AF14" s="11">
        <v>45199</v>
      </c>
      <c r="AG14" s="11"/>
      <c r="AI14" s="2" t="s">
        <v>84</v>
      </c>
      <c r="AJ14" s="1">
        <v>240217</v>
      </c>
    </row>
    <row r="15" spans="1:36" ht="15.75" customHeight="1">
      <c r="A15" s="2" t="s">
        <v>34</v>
      </c>
      <c r="B15" s="1">
        <f>SUM(V15:AG15)</f>
        <v>438710</v>
      </c>
      <c r="C15" s="1">
        <f>SUMIFS('フォームの回答 1'!$E:$E,'フォームの回答 1'!$B:$B,C14,'フォームの回答 1'!$H:$H,$A15)</f>
        <v>0</v>
      </c>
      <c r="D15" s="1">
        <f>SUMIFS('フォームの回答 1'!$E:$E,'フォームの回答 1'!$B:$B,D14,'フォームの回答 1'!$H:$H,$A15)</f>
        <v>3000</v>
      </c>
      <c r="E15" s="1">
        <f>SUMIFS('フォームの回答 1'!$E:$E,'フォームの回答 1'!$B:$B,E14,'フォームの回答 1'!$H:$H,$A15)</f>
        <v>0</v>
      </c>
      <c r="F15" s="1">
        <f>SUMIFS('フォームの回答 1'!$E:$E,'フォームの回答 1'!$B:$B,F14,'フォームの回答 1'!$H:$H,$A15)</f>
        <v>0</v>
      </c>
      <c r="G15" s="1">
        <f>SUMIFS('フォームの回答 1'!$E:$E,'フォームの回答 1'!$B:$B,G14,'フォームの回答 1'!$H:$H,$A15)</f>
        <v>25710</v>
      </c>
      <c r="H15" s="1">
        <f>SUMIFS('フォームの回答 1'!$E:$E,'フォームの回答 1'!$B:$B,H14,'フォームの回答 1'!$H:$H,$A15)</f>
        <v>0</v>
      </c>
      <c r="I15" s="1">
        <f>SUMIFS('フォームの回答 1'!$E:$E,'フォームの回答 1'!$B:$B,I14,'フォームの回答 1'!$H:$H,$A15)</f>
        <v>0</v>
      </c>
      <c r="J15" s="1">
        <f>SUMIFS('フォームの回答 1'!$E:$E,'フォームの回答 1'!$B:$B,J14,'フォームの回答 1'!$H:$H,$A15)</f>
        <v>0</v>
      </c>
      <c r="K15" s="1">
        <f>SUMIFS('フォームの回答 1'!$E:$E,'フォームの回答 1'!$B:$B,K14,'フォームの回答 1'!$H:$H,$A15)</f>
        <v>0</v>
      </c>
      <c r="L15" s="1">
        <f>SUMIFS('フォームの回答 1'!$E:$E,'フォームの回答 1'!$B:$B,L14,'フォームの回答 1'!$H:$H,$A15)</f>
        <v>0</v>
      </c>
      <c r="M15" s="1">
        <f>SUMIFS('フォームの回答 1'!$E:$E,'フォームの回答 1'!$B:$B,M14,'フォームの回答 1'!$H:$H,$A15)</f>
        <v>0</v>
      </c>
      <c r="N15" s="1">
        <f>SUMIFS('フォームの回答 1'!$E:$E,'フォームの回答 1'!$B:$B,N14,'フォームの回答 1'!$H:$H,$A15)</f>
        <v>0</v>
      </c>
      <c r="O15" s="1">
        <f>SUMIFS('フォームの回答 1'!$E:$E,'フォームの回答 1'!$B:$B,O14,'フォームの回答 1'!$H:$H,$A15)</f>
        <v>0</v>
      </c>
      <c r="P15" s="1">
        <f>SUMIFS('フォームの回答 1'!$E:$E,'フォームの回答 1'!$B:$B,P14,'フォームの回答 1'!$H:$H,$A15)</f>
        <v>0</v>
      </c>
      <c r="Q15" s="1">
        <f>SUMIFS('フォームの回答 1'!$E:$E,'フォームの回答 1'!$B:$B,Q14,'フォームの回答 1'!$H:$H,$A15)</f>
        <v>0</v>
      </c>
      <c r="R15" s="1">
        <f>SUMIFS('フォームの回答 1'!$E:$E,'フォームの回答 1'!$B:$B,R14,'フォームの回答 1'!$H:$H,$A15)</f>
        <v>0</v>
      </c>
      <c r="S15" s="1">
        <f>SUMIFS('フォームの回答 1'!$E:$E,'フォームの回答 1'!$B:$B,S14,'フォームの回答 1'!$H:$H,$A15)</f>
        <v>0</v>
      </c>
      <c r="T15" s="1">
        <f>SUMIFS('フォームの回答 1'!$E:$E,'フォームの回答 1'!$B:$B,T14,'フォームの回答 1'!$H:$H,$A15)</f>
        <v>0</v>
      </c>
      <c r="U15" s="1">
        <f>SUMIFS('フォームの回答 1'!$E:$E,'フォームの回答 1'!$B:$B,U14,'フォームの回答 1'!$H:$H,$A15)</f>
        <v>0</v>
      </c>
      <c r="V15" s="1">
        <f>SUMIFS('フォームの回答 1'!$E:$E,'フォームの回答 1'!$B:$B,V14,'フォームの回答 1'!$H:$H,$A15)</f>
        <v>0</v>
      </c>
      <c r="W15" s="1">
        <f>SUMIFS('フォームの回答 1'!$E:$E,'フォームの回答 1'!$B:$B,W14,'フォームの回答 1'!$H:$H,$A15)</f>
        <v>0</v>
      </c>
      <c r="X15" s="1">
        <f>SUMIFS('フォームの回答 1'!$E:$E,'フォームの回答 1'!$B:$B,X14,'フォームの回答 1'!$H:$H,$A15)</f>
        <v>0</v>
      </c>
      <c r="Y15" s="1">
        <f>SUMIFS('フォームの回答 1'!$E:$E,'フォームの回答 1'!$B:$B,Y14,'フォームの回答 1'!$H:$H,$A15)</f>
        <v>0</v>
      </c>
      <c r="Z15" s="1">
        <f>SUMIFS('フォームの回答 1'!$E:$E,'フォームの回答 1'!$B:$B,Z14,'フォームの回答 1'!$H:$H,$A15)</f>
        <v>0</v>
      </c>
      <c r="AA15" s="1">
        <f>SUMIFS('フォームの回答 1'!$E:$E,'フォームの回答 1'!$B:$B,AA14,'フォームの回答 1'!$H:$H,$A15)</f>
        <v>288710</v>
      </c>
      <c r="AB15" s="1">
        <f>SUMIFS('フォームの回答 1'!$E:$E,'フォームの回答 1'!$B:$B,AB14,'フォームの回答 1'!$H:$H,$A15)+AJ23</f>
        <v>150000</v>
      </c>
      <c r="AC15" s="1">
        <f>SUMIFS('フォームの回答 1'!$E:$E,'フォームの回答 1'!$B:$B,AC14,'フォームの回答 1'!$H:$H,$A15)</f>
        <v>0</v>
      </c>
      <c r="AD15" s="1">
        <f>SUMIFS('フォームの回答 1'!$E:$E,'フォームの回答 1'!$B:$B,AD14,'フォームの回答 1'!$H:$H,$A15)</f>
        <v>0</v>
      </c>
      <c r="AE15" s="1">
        <f>SUMIFS('フォームの回答 1'!$E:$E,'フォームの回答 1'!$B:$B,AE14,'フォームの回答 1'!$H:$H,$A15)</f>
        <v>0</v>
      </c>
      <c r="AF15" s="1">
        <f>SUMIFS('フォームの回答 1'!$E:$E,'フォームの回答 1'!$B:$B,AF14,'フォームの回答 1'!$H:$H,$A15)</f>
        <v>0</v>
      </c>
      <c r="AG15" s="1"/>
      <c r="AJ15" s="1"/>
    </row>
    <row r="16" spans="1:36" ht="15.75" customHeight="1">
      <c r="A16" s="2" t="s">
        <v>35</v>
      </c>
      <c r="B16" s="1">
        <f>SUM(V16:AG16)</f>
        <v>445183</v>
      </c>
      <c r="C16" s="1">
        <f>SUMIFS('フォームの回答 1'!$E:$E,'フォームの回答 1'!$B:$B,C14,'フォームの回答 1'!$H:$H,$A16,'フォームの回答 1'!$F:$F,"Cash")</f>
        <v>940</v>
      </c>
      <c r="D16" s="1">
        <f>SUMIFS('フォームの回答 1'!$E:$E,'フォームの回答 1'!$B:$B,D14,'フォームの回答 1'!$H:$H,$A16,'フォームの回答 1'!$F:$F,"Cash")</f>
        <v>10063</v>
      </c>
      <c r="E16" s="1">
        <f>SUMIFS('フォームの回答 1'!$E:$E,'フォームの回答 1'!$B:$B,E14,'フォームの回答 1'!$H:$H,$A16,'フォームの回答 1'!$F:$F,"Cash")</f>
        <v>4039</v>
      </c>
      <c r="F16" s="1">
        <f>SUMIFS('フォームの回答 1'!$E:$E,'フォームの回答 1'!$B:$B,F14,'フォームの回答 1'!$H:$H,$A16,'フォームの回答 1'!$F:$F,"Cash")</f>
        <v>1610</v>
      </c>
      <c r="G16" s="1">
        <f>SUMIFS('フォームの回答 1'!$E:$E,'フォームの回答 1'!$B:$B,G14,'フォームの回答 1'!$H:$H,$A16,'フォームの回答 1'!$F:$F,"Cash")</f>
        <v>676</v>
      </c>
      <c r="H16" s="1">
        <f>SUMIFS('フォームの回答 1'!$E:$E,'フォームの回答 1'!$B:$B,H14,'フォームの回答 1'!$H:$H,$A16,'フォームの回答 1'!$F:$F,"Cash")</f>
        <v>1888</v>
      </c>
      <c r="I16" s="1">
        <f>SUMIFS('フォームの回答 1'!$E:$E,'フォームの回答 1'!$B:$B,I14,'フォームの回答 1'!$H:$H,$A16,'フォームの回答 1'!$F:$F,"Cash")</f>
        <v>2231</v>
      </c>
      <c r="J16" s="1">
        <f>SUMIFS('フォームの回答 1'!$E:$E,'フォームの回答 1'!$B:$B,J14,'フォームの回答 1'!$H:$H,$A16,'フォームの回答 1'!$F:$F,"Cash")</f>
        <v>457</v>
      </c>
      <c r="K16" s="1">
        <f>SUMIFS('フォームの回答 1'!$E:$E,'フォームの回答 1'!$B:$B,K14,'フォームの回答 1'!$H:$H,$A16,'フォームの回答 1'!$F:$F,"Cash")</f>
        <v>2650</v>
      </c>
      <c r="L16" s="1">
        <f>SUMIFS('フォームの回答 1'!$E:$E,'フォームの回答 1'!$B:$B,L14,'フォームの回答 1'!$H:$H,$A16,'フォームの回答 1'!$F:$F,"Cash")</f>
        <v>1283</v>
      </c>
      <c r="M16" s="1">
        <f>SUMIFS('フォームの回答 1'!$E:$E,'フォームの回答 1'!$B:$B,M14,'フォームの回答 1'!$H:$H,$A16,'フォームの回答 1'!$F:$F,"Cash")</f>
        <v>50300</v>
      </c>
      <c r="N16" s="1">
        <f>SUMIFS('フォームの回答 1'!$E:$E,'フォームの回答 1'!$B:$B,N14,'フォームの回答 1'!$H:$H,$A16,'フォームの回答 1'!$F:$F,"Cash")</f>
        <v>2636</v>
      </c>
      <c r="O16" s="1">
        <f>SUMIFS('フォームの回答 1'!$E:$E,'フォームの回答 1'!$B:$B,O14,'フォームの回答 1'!$H:$H,$A16,'フォームの回答 1'!$F:$F,"Cash")</f>
        <v>1310</v>
      </c>
      <c r="P16" s="1">
        <f>SUMIFS('フォームの回答 1'!$E:$E,'フォームの回答 1'!$B:$B,P14,'フォームの回答 1'!$H:$H,$A16,'フォームの回答 1'!$F:$F,"Cash")</f>
        <v>6600</v>
      </c>
      <c r="Q16" s="1">
        <f>SUMIFS('フォームの回答 1'!$E:$E,'フォームの回答 1'!$B:$B,Q14,'フォームの回答 1'!$H:$H,$A16,'フォームの回答 1'!$F:$F,"Cash")</f>
        <v>2292</v>
      </c>
      <c r="R16" s="1">
        <f>SUMIFS('フォームの回答 1'!$E:$E,'フォームの回答 1'!$B:$B,R14,'フォームの回答 1'!$H:$H,$A16,'フォームの回答 1'!$F:$F,"Cash")</f>
        <v>9190</v>
      </c>
      <c r="S16" s="1">
        <f>SUMIFS('フォームの回答 1'!$E:$E,'フォームの回答 1'!$B:$B,S14,'フォームの回答 1'!$H:$H,$A16,'フォームの回答 1'!$F:$F,"Cash")</f>
        <v>4669</v>
      </c>
      <c r="T16" s="1">
        <f>SUMIFS('フォームの回答 1'!$E:$E,'フォームの回答 1'!$B:$B,T14,'フォームの回答 1'!$H:$H,$A16,'フォームの回答 1'!$F:$F,"Cash")</f>
        <v>3994</v>
      </c>
      <c r="U16" s="1">
        <f>SUMIFS('フォームの回答 1'!$E:$E,'フォームの回答 1'!$B:$B,U14,'フォームの回答 1'!$H:$H,$A16,'フォームの回答 1'!$F:$F,"Cash")</f>
        <v>6237</v>
      </c>
      <c r="V16" s="1">
        <f>SUMIFS('フォームの回答 1'!$E:$E,'フォームの回答 1'!$B:$B,V14,'フォームの回答 1'!$H:$H,$A16,'フォームの回答 1'!$F:$F,"Cash")</f>
        <v>3080</v>
      </c>
      <c r="W16" s="1">
        <f>SUMIFS('フォームの回答 1'!$E:$E,'フォームの回答 1'!$B:$B,W14,'フォームの回答 1'!$H:$H,$A16,'フォームの回答 1'!$F:$F,"Cash")</f>
        <v>4669</v>
      </c>
      <c r="X16" s="1">
        <f>SUMIFS('フォームの回答 1'!$E:$E,'フォームの回答 1'!$B:$B,X14,'フォームの回答 1'!$H:$H,$A16,'フォームの回答 1'!$F:$F,"Cash")</f>
        <v>0</v>
      </c>
      <c r="Y16" s="1">
        <f>SUMIFS('フォームの回答 1'!$E:$E,'フォームの回答 1'!$B:$B,Y14,'フォームの回答 1'!$H:$H,$A16,'フォームの回答 1'!$F:$F,"Cash")</f>
        <v>3626</v>
      </c>
      <c r="Z16" s="1">
        <f>SUMIFS('フォームの回答 1'!$E:$E,'フォームの回答 1'!$B:$B,Z14,'フォームの回答 1'!$H:$H,$A16,'フォームの回答 1'!$F:$F,"Cash")</f>
        <v>1371</v>
      </c>
      <c r="AA16" s="1">
        <f>SUMIFS('フォームの回答 1'!$E:$E,'フォームの回答 1'!$B:$B,AA14,'フォームの回答 1'!$H:$H,$A16,'フォームの回答 1'!$F:$F,"Cash")</f>
        <v>1420</v>
      </c>
      <c r="AB16" s="1">
        <f>SUMIFS('フォームの回答 1'!$E:$E,'フォームの回答 1'!$B:$B,AB14,'フォームの回答 1'!$H:$H,$A16,'フォームの回答 1'!$F:$F,"Cash")</f>
        <v>4164</v>
      </c>
      <c r="AC16" s="1">
        <f>SUMIFS('フォームの回答 1'!$E:$E,'フォームの回答 1'!$B:$B,AC14,'フォームの回答 1'!$H:$H,$A16,'フォームの回答 1'!$F:$F,"Cash")+AJ14</f>
        <v>411947</v>
      </c>
      <c r="AD16" s="1">
        <f>SUMIFS('フォームの回答 1'!$E:$E,'フォームの回答 1'!$B:$B,AD14,'フォームの回答 1'!$H:$H,$A16,'フォームの回答 1'!$F:$F,"Cash")</f>
        <v>5387</v>
      </c>
      <c r="AE16" s="1">
        <f>SUMIFS('フォームの回答 1'!$E:$E,'フォームの回答 1'!$B:$B,AE14,'フォームの回答 1'!$H:$H,$A16,'フォームの回答 1'!$F:$F,"Cash")</f>
        <v>8576</v>
      </c>
      <c r="AF16" s="1">
        <f>SUMIFS('フォームの回答 1'!$E:$E,'フォームの回答 1'!$B:$B,AF14,'フォームの回答 1'!$H:$H,$A16,'フォームの回答 1'!$F:$F,"Cash")</f>
        <v>943</v>
      </c>
      <c r="AG16" s="1"/>
      <c r="AI16" s="2" t="s">
        <v>85</v>
      </c>
      <c r="AJ16" s="1">
        <v>17270</v>
      </c>
    </row>
    <row r="17" spans="1:38" ht="15.75" customHeight="1">
      <c r="A17" s="2" t="s">
        <v>32</v>
      </c>
      <c r="C17" s="1">
        <f>AG11+C15-C16</f>
        <v>209977</v>
      </c>
      <c r="D17" s="1">
        <f t="shared" ref="D17:AF17" si="2">C17+D15-D16</f>
        <v>202914</v>
      </c>
      <c r="E17" s="1">
        <f t="shared" si="2"/>
        <v>198875</v>
      </c>
      <c r="F17" s="1">
        <f t="shared" si="2"/>
        <v>197265</v>
      </c>
      <c r="G17" s="1">
        <f t="shared" si="2"/>
        <v>222299</v>
      </c>
      <c r="H17" s="1">
        <f t="shared" si="2"/>
        <v>220411</v>
      </c>
      <c r="I17" s="1">
        <f t="shared" si="2"/>
        <v>218180</v>
      </c>
      <c r="J17" s="1">
        <f t="shared" si="2"/>
        <v>217723</v>
      </c>
      <c r="K17" s="1">
        <f t="shared" si="2"/>
        <v>215073</v>
      </c>
      <c r="L17" s="1">
        <f t="shared" si="2"/>
        <v>213790</v>
      </c>
      <c r="M17" s="1">
        <f t="shared" si="2"/>
        <v>163490</v>
      </c>
      <c r="N17" s="1">
        <f t="shared" si="2"/>
        <v>160854</v>
      </c>
      <c r="O17" s="1">
        <f t="shared" si="2"/>
        <v>159544</v>
      </c>
      <c r="P17" s="1">
        <f t="shared" si="2"/>
        <v>152944</v>
      </c>
      <c r="Q17" s="1">
        <f t="shared" si="2"/>
        <v>150652</v>
      </c>
      <c r="R17" s="1">
        <f t="shared" si="2"/>
        <v>141462</v>
      </c>
      <c r="S17" s="1">
        <f t="shared" si="2"/>
        <v>136793</v>
      </c>
      <c r="T17" s="1">
        <f t="shared" si="2"/>
        <v>132799</v>
      </c>
      <c r="U17" s="1">
        <f t="shared" si="2"/>
        <v>126562</v>
      </c>
      <c r="V17" s="1">
        <f t="shared" si="2"/>
        <v>123482</v>
      </c>
      <c r="W17" s="1">
        <f t="shared" si="2"/>
        <v>118813</v>
      </c>
      <c r="X17" s="1">
        <f t="shared" si="2"/>
        <v>118813</v>
      </c>
      <c r="Y17" s="1">
        <f t="shared" si="2"/>
        <v>115187</v>
      </c>
      <c r="Z17" s="1">
        <f t="shared" si="2"/>
        <v>113816</v>
      </c>
      <c r="AA17" s="1">
        <f t="shared" si="2"/>
        <v>401106</v>
      </c>
      <c r="AB17" s="1">
        <f t="shared" si="2"/>
        <v>546942</v>
      </c>
      <c r="AC17" s="1">
        <f t="shared" si="2"/>
        <v>134995</v>
      </c>
      <c r="AD17" s="1">
        <f t="shared" si="2"/>
        <v>129608</v>
      </c>
      <c r="AE17" s="1">
        <f t="shared" si="2"/>
        <v>121032</v>
      </c>
      <c r="AF17" s="1">
        <f t="shared" si="2"/>
        <v>120089</v>
      </c>
      <c r="AJ17" s="1"/>
    </row>
    <row r="18" spans="1:38" ht="15.75" customHeight="1">
      <c r="AJ18" s="1"/>
    </row>
    <row r="19" spans="1:38" ht="15.75" customHeight="1">
      <c r="B19" s="20" t="s">
        <v>72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I19" s="2" t="s">
        <v>83</v>
      </c>
      <c r="AJ19" s="1">
        <f>+SUMIFS('フォームの回答 1'!E:E,'フォームの回答 1'!B:B,"&gt;=2023/07/28",'フォームの回答 1'!H:H,"支出",'フォームの回答 1'!F:F,"Credit")-SUMIFS('フォームの回答 1'!E:E,'フォームの回答 1'!B:B,"&gt;2023/08/28",'フォームの回答 1'!H:H,"支出",'フォームの回答 1'!F:F,"Credit")</f>
        <v>149272</v>
      </c>
    </row>
    <row r="20" spans="1:38" ht="15.75" customHeight="1">
      <c r="B20" s="2" t="s">
        <v>29</v>
      </c>
      <c r="C20" s="11">
        <v>45200</v>
      </c>
      <c r="D20" s="11">
        <v>45201</v>
      </c>
      <c r="E20" s="11">
        <v>45202</v>
      </c>
      <c r="F20" s="11">
        <v>45203</v>
      </c>
      <c r="G20" s="11">
        <v>45204</v>
      </c>
      <c r="H20" s="11">
        <v>45205</v>
      </c>
      <c r="I20" s="11">
        <v>45206</v>
      </c>
      <c r="J20" s="11">
        <v>45207</v>
      </c>
      <c r="K20" s="11">
        <v>45208</v>
      </c>
      <c r="L20" s="11">
        <v>45209</v>
      </c>
      <c r="M20" s="11">
        <v>45210</v>
      </c>
      <c r="N20" s="11">
        <v>45211</v>
      </c>
      <c r="O20" s="11">
        <v>45212</v>
      </c>
      <c r="P20" s="11">
        <v>45213</v>
      </c>
      <c r="Q20" s="11">
        <v>45214</v>
      </c>
      <c r="R20" s="11">
        <v>45215</v>
      </c>
      <c r="S20" s="11">
        <v>45216</v>
      </c>
      <c r="T20" s="11">
        <v>45217</v>
      </c>
      <c r="U20" s="11">
        <v>45218</v>
      </c>
      <c r="V20" s="11">
        <v>45219</v>
      </c>
      <c r="W20" s="11">
        <v>45220</v>
      </c>
      <c r="X20" s="11">
        <v>45221</v>
      </c>
      <c r="Y20" s="11">
        <v>45222</v>
      </c>
      <c r="Z20" s="11">
        <v>45223</v>
      </c>
      <c r="AA20" s="11">
        <v>45224</v>
      </c>
      <c r="AB20" s="11">
        <v>45225</v>
      </c>
      <c r="AC20" s="11">
        <v>45226</v>
      </c>
      <c r="AD20" s="11">
        <v>45227</v>
      </c>
      <c r="AE20" s="11">
        <v>45228</v>
      </c>
      <c r="AF20" s="11">
        <v>45229</v>
      </c>
      <c r="AG20" s="11">
        <v>45230</v>
      </c>
      <c r="AI20" s="2" t="s">
        <v>84</v>
      </c>
      <c r="AJ20" s="1">
        <v>181969</v>
      </c>
      <c r="AL20" s="14"/>
    </row>
    <row r="21" spans="1:38" ht="15.75" customHeight="1">
      <c r="A21" s="2" t="s">
        <v>34</v>
      </c>
      <c r="B21" s="1">
        <f>SUM(V21:AG21)</f>
        <v>288710</v>
      </c>
      <c r="C21" s="1">
        <f>SUMIFS('フォームの回答 1'!$E:$E,'フォームの回答 1'!$B:$B,C20,'フォームの回答 1'!$H:$H,$A21)</f>
        <v>0</v>
      </c>
      <c r="D21" s="1">
        <f>SUMIFS('フォームの回答 1'!$E:$E,'フォームの回答 1'!$B:$B,D20,'フォームの回答 1'!$H:$H,$A21)</f>
        <v>0</v>
      </c>
      <c r="E21" s="1">
        <f>SUMIFS('フォームの回答 1'!$E:$E,'フォームの回答 1'!$B:$B,E20,'フォームの回答 1'!$H:$H,$A21)</f>
        <v>0</v>
      </c>
      <c r="F21" s="1">
        <f>SUMIFS('フォームの回答 1'!$E:$E,'フォームの回答 1'!$B:$B,F20,'フォームの回答 1'!$H:$H,$A21)</f>
        <v>9500</v>
      </c>
      <c r="G21" s="1">
        <f>SUMIFS('フォームの回答 1'!$E:$E,'フォームの回答 1'!$B:$B,G20,'フォームの回答 1'!$H:$H,$A21)</f>
        <v>0</v>
      </c>
      <c r="H21" s="1">
        <f>SUMIFS('フォームの回答 1'!$E:$E,'フォームの回答 1'!$B:$B,H20,'フォームの回答 1'!$H:$H,$A21)</f>
        <v>0</v>
      </c>
      <c r="I21" s="1">
        <f>SUMIFS('フォームの回答 1'!$E:$E,'フォームの回答 1'!$B:$B,I20,'フォームの回答 1'!$H:$H,$A21)</f>
        <v>0</v>
      </c>
      <c r="J21" s="1">
        <f>SUMIFS('フォームの回答 1'!$E:$E,'フォームの回答 1'!$B:$B,J20,'フォームの回答 1'!$H:$H,$A21)</f>
        <v>0</v>
      </c>
      <c r="K21" s="1">
        <f>SUMIFS('フォームの回答 1'!$E:$E,'フォームの回答 1'!$B:$B,K20,'フォームの回答 1'!$H:$H,$A21)</f>
        <v>0</v>
      </c>
      <c r="L21" s="1">
        <f>SUMIFS('フォームの回答 1'!$E:$E,'フォームの回答 1'!$B:$B,L20,'フォームの回答 1'!$H:$H,$A21)</f>
        <v>0</v>
      </c>
      <c r="M21" s="1">
        <f>SUMIFS('フォームの回答 1'!$E:$E,'フォームの回答 1'!$B:$B,M20,'フォームの回答 1'!$H:$H,$A21)</f>
        <v>0</v>
      </c>
      <c r="N21" s="1">
        <f>SUMIFS('フォームの回答 1'!$E:$E,'フォームの回答 1'!$B:$B,N20,'フォームの回答 1'!$H:$H,$A21)</f>
        <v>0</v>
      </c>
      <c r="O21" s="1">
        <f>SUMIFS('フォームの回答 1'!$E:$E,'フォームの回答 1'!$B:$B,O20,'フォームの回答 1'!$H:$H,$A21)</f>
        <v>0</v>
      </c>
      <c r="P21" s="1">
        <f>SUMIFS('フォームの回答 1'!$E:$E,'フォームの回答 1'!$B:$B,P20,'フォームの回答 1'!$H:$H,$A21)</f>
        <v>0</v>
      </c>
      <c r="Q21" s="1">
        <f>SUMIFS('フォームの回答 1'!$E:$E,'フォームの回答 1'!$B:$B,Q20,'フォームの回答 1'!$H:$H,$A21)</f>
        <v>0</v>
      </c>
      <c r="R21" s="1">
        <f>SUMIFS('フォームの回答 1'!$E:$E,'フォームの回答 1'!$B:$B,R20,'フォームの回答 1'!$H:$H,$A21)</f>
        <v>0</v>
      </c>
      <c r="S21" s="1">
        <f>SUMIFS('フォームの回答 1'!$E:$E,'フォームの回答 1'!$B:$B,S20,'フォームの回答 1'!$H:$H,$A21)</f>
        <v>0</v>
      </c>
      <c r="T21" s="1">
        <f>SUMIFS('フォームの回答 1'!$E:$E,'フォームの回答 1'!$B:$B,T20,'フォームの回答 1'!$H:$H,$A21)</f>
        <v>4000</v>
      </c>
      <c r="U21" s="1">
        <f>SUMIFS('フォームの回答 1'!$E:$E,'フォームの回答 1'!$B:$B,U20,'フォームの回答 1'!$H:$H,$A21)</f>
        <v>0</v>
      </c>
      <c r="V21" s="1">
        <f>SUMIFS('フォームの回答 1'!$E:$E,'フォームの回答 1'!$B:$B,V20,'フォームの回答 1'!$H:$H,$A21)</f>
        <v>0</v>
      </c>
      <c r="W21" s="1">
        <f>SUMIFS('フォームの回答 1'!$E:$E,'フォームの回答 1'!$B:$B,W20,'フォームの回答 1'!$H:$H,$A21)</f>
        <v>0</v>
      </c>
      <c r="X21" s="1">
        <f>SUMIFS('フォームの回答 1'!$E:$E,'フォームの回答 1'!$B:$B,X20,'フォームの回答 1'!$H:$H,$A21)</f>
        <v>0</v>
      </c>
      <c r="Y21" s="1">
        <f>SUMIFS('フォームの回答 1'!$E:$E,'フォームの回答 1'!$B:$B,Y20,'フォームの回答 1'!$H:$H,$A21)</f>
        <v>0</v>
      </c>
      <c r="Z21" s="1">
        <f>SUMIFS('フォームの回答 1'!$E:$E,'フォームの回答 1'!$B:$B,Z20,'フォームの回答 1'!$H:$H,$A21)</f>
        <v>0</v>
      </c>
      <c r="AA21" s="1">
        <f>SUMIFS('フォームの回答 1'!$E:$E,'フォームの回答 1'!$B:$B,AA20,'フォームの回答 1'!$H:$H,$A21)</f>
        <v>288710</v>
      </c>
      <c r="AB21" s="1">
        <f>SUMIFS('フォームの回答 1'!$E:$E,'フォームの回答 1'!$B:$B,AB20,'フォームの回答 1'!$H:$H,$A21)</f>
        <v>0</v>
      </c>
      <c r="AC21" s="1">
        <f>SUMIFS('フォームの回答 1'!$E:$E,'フォームの回答 1'!$B:$B,AC20,'フォームの回答 1'!$H:$H,$A21)</f>
        <v>0</v>
      </c>
      <c r="AD21" s="1">
        <f>SUMIFS('フォームの回答 1'!$E:$E,'フォームの回答 1'!$B:$B,AD20,'フォームの回答 1'!$H:$H,$A21)</f>
        <v>0</v>
      </c>
      <c r="AE21" s="1">
        <f>SUMIFS('フォームの回答 1'!$E:$E,'フォームの回答 1'!$B:$B,AE20,'フォームの回答 1'!$H:$H,$A21)</f>
        <v>0</v>
      </c>
      <c r="AF21" s="1">
        <f>SUMIFS('フォームの回答 1'!$E:$E,'フォームの回答 1'!$B:$B,AF20,'フォームの回答 1'!$H:$H,$A21)</f>
        <v>0</v>
      </c>
      <c r="AG21" s="1">
        <f>SUMIFS('フォームの回答 1'!$E:$E,'フォームの回答 1'!$B:$B,AG20,'フォームの回答 1'!$H:$H,$A21)</f>
        <v>0</v>
      </c>
    </row>
    <row r="22" spans="1:38" ht="15.75" customHeight="1">
      <c r="A22" s="2" t="s">
        <v>35</v>
      </c>
      <c r="B22" s="1">
        <f>SUM(V22:AG22)</f>
        <v>321679</v>
      </c>
      <c r="C22" s="1">
        <f>SUMIFS('フォームの回答 1'!$E:$E,'フォームの回答 1'!$B:$B,C20,'フォームの回答 1'!$H:$H,$A22,'フォームの回答 1'!$F:$F,"Cash")</f>
        <v>3146</v>
      </c>
      <c r="D22" s="1">
        <f>SUMIFS('フォームの回答 1'!$E:$E,'フォームの回答 1'!$B:$B,D20,'フォームの回答 1'!$H:$H,$A22,'フォームの回答 1'!$F:$F,"Cash")</f>
        <v>2259</v>
      </c>
      <c r="E22" s="1">
        <f>SUMIFS('フォームの回答 1'!$E:$E,'フォームの回答 1'!$B:$B,E20,'フォームの回答 1'!$H:$H,$A22,'フォームの回答 1'!$F:$F,"Cash")</f>
        <v>2110</v>
      </c>
      <c r="F22" s="1">
        <f>SUMIFS('フォームの回答 1'!$E:$E,'フォームの回答 1'!$B:$B,F20,'フォームの回答 1'!$H:$H,$A22,'フォームの回答 1'!$F:$F,"Cash")</f>
        <v>1704</v>
      </c>
      <c r="G22" s="1">
        <f>SUMIFS('フォームの回答 1'!$E:$E,'フォームの回答 1'!$B:$B,G20,'フォームの回答 1'!$H:$H,$A22,'フォームの回答 1'!$F:$F,"Cash")</f>
        <v>1765</v>
      </c>
      <c r="H22" s="1">
        <f>SUMIFS('フォームの回答 1'!$E:$E,'フォームの回答 1'!$B:$B,H20,'フォームの回答 1'!$H:$H,$A22,'フォームの回答 1'!$F:$F,"Cash")</f>
        <v>3480</v>
      </c>
      <c r="I22" s="1">
        <f>SUMIFS('フォームの回答 1'!$E:$E,'フォームの回答 1'!$B:$B,I20,'フォームの回答 1'!$H:$H,$A22,'フォームの回答 1'!$F:$F,"Cash")</f>
        <v>2791</v>
      </c>
      <c r="J22" s="1">
        <f>SUMIFS('フォームの回答 1'!$E:$E,'フォームの回答 1'!$B:$B,J20,'フォームの回答 1'!$H:$H,$A22,'フォームの回答 1'!$F:$F,"Cash")</f>
        <v>2320</v>
      </c>
      <c r="K22" s="1">
        <f>SUMIFS('フォームの回答 1'!$E:$E,'フォームの回答 1'!$B:$B,K20,'フォームの回答 1'!$H:$H,$A22,'フォームの回答 1'!$F:$F,"Cash")</f>
        <v>3787</v>
      </c>
      <c r="L22" s="1">
        <f>SUMIFS('フォームの回答 1'!$E:$E,'フォームの回答 1'!$B:$B,L20,'フォームの回答 1'!$H:$H,$A22,'フォームの回答 1'!$F:$F,"Cash")</f>
        <v>1210</v>
      </c>
      <c r="M22" s="1">
        <f>SUMIFS('フォームの回答 1'!$E:$E,'フォームの回答 1'!$B:$B,M20,'フォームの回答 1'!$H:$H,$A22,'フォームの回答 1'!$F:$F,"Cash")</f>
        <v>1080</v>
      </c>
      <c r="N22" s="1">
        <f>SUMIFS('フォームの回答 1'!$E:$E,'フォームの回答 1'!$B:$B,N20,'フォームの回答 1'!$H:$H,$A22,'フォームの回答 1'!$F:$F,"Cash")</f>
        <v>4610</v>
      </c>
      <c r="O22" s="1">
        <f>SUMIFS('フォームの回答 1'!$E:$E,'フォームの回答 1'!$B:$B,O20,'フォームの回答 1'!$H:$H,$A22,'フォームの回答 1'!$F:$F,"Cash")</f>
        <v>1887</v>
      </c>
      <c r="P22" s="1">
        <f>SUMIFS('フォームの回答 1'!$E:$E,'フォームの回答 1'!$B:$B,P20,'フォームの回答 1'!$H:$H,$A22,'フォームの回答 1'!$F:$F,"Cash")</f>
        <v>1925</v>
      </c>
      <c r="Q22" s="1">
        <f>SUMIFS('フォームの回答 1'!$E:$E,'フォームの回答 1'!$B:$B,Q20,'フォームの回答 1'!$H:$H,$A22,'フォームの回答 1'!$F:$F,"Cash")</f>
        <v>6730</v>
      </c>
      <c r="R22" s="1">
        <f>SUMIFS('フォームの回答 1'!$E:$E,'フォームの回答 1'!$B:$B,R20,'フォームの回答 1'!$H:$H,$A22,'フォームの回答 1'!$F:$F,"Cash")</f>
        <v>1310</v>
      </c>
      <c r="S22" s="1">
        <f>SUMIFS('フォームの回答 1'!$E:$E,'フォームの回答 1'!$B:$B,S20,'フォームの回答 1'!$H:$H,$A22,'フォームの回答 1'!$F:$F,"Cash")</f>
        <v>1676</v>
      </c>
      <c r="T22" s="1">
        <f>SUMIFS('フォームの回答 1'!$E:$E,'フォームの回答 1'!$B:$B,T20,'フォームの回答 1'!$H:$H,$A22,'フォームの回答 1'!$F:$F,"Cash")</f>
        <v>10641</v>
      </c>
      <c r="U22" s="1">
        <f>SUMIFS('フォームの回答 1'!$E:$E,'フォームの回答 1'!$B:$B,U20,'フォームの回答 1'!$H:$H,$A22,'フォームの回答 1'!$F:$F,"Cash")</f>
        <v>1633</v>
      </c>
      <c r="V22" s="1">
        <f>SUMIFS('フォームの回答 1'!$E:$E,'フォームの回答 1'!$B:$B,V20,'フォームの回答 1'!$H:$H,$A22,'フォームの回答 1'!$F:$F,"Cash")</f>
        <v>31910</v>
      </c>
      <c r="W22" s="1">
        <f>SUMIFS('フォームの回答 1'!$E:$E,'フォームの回答 1'!$B:$B,W20,'フォームの回答 1'!$H:$H,$A22,'フォームの回答 1'!$F:$F,"Cash")</f>
        <v>2698</v>
      </c>
      <c r="X22" s="1">
        <f>SUMIFS('フォームの回答 1'!$E:$E,'フォームの回答 1'!$B:$B,X20,'フォームの回答 1'!$H:$H,$A22,'フォームの回答 1'!$F:$F,"Cash")</f>
        <v>3228</v>
      </c>
      <c r="Y22" s="1">
        <f>SUMIFS('フォームの回答 1'!$E:$E,'フォームの回答 1'!$B:$B,Y20,'フォームの回答 1'!$H:$H,$A22,'フォームの回答 1'!$F:$F,"Cash")</f>
        <v>613</v>
      </c>
      <c r="Z22" s="1">
        <f>SUMIFS('フォームの回答 1'!$E:$E,'フォームの回答 1'!$B:$B,Z20,'フォームの回答 1'!$H:$H,$A22,'フォームの回答 1'!$F:$F,"Cash")</f>
        <v>1110</v>
      </c>
      <c r="AA22" s="1">
        <f>SUMIFS('フォームの回答 1'!$E:$E,'フォームの回答 1'!$B:$B,AA20,'フォームの回答 1'!$H:$H,$A22,'フォームの回答 1'!$F:$F,"Cash")</f>
        <v>110</v>
      </c>
      <c r="AB22" s="1">
        <f>SUMIFS('フォームの回答 1'!$E:$E,'フォームの回答 1'!$B:$B,AB20,'フォームの回答 1'!$H:$H,$A22,'フォームの回答 1'!$F:$F,"Cash")</f>
        <v>2729</v>
      </c>
      <c r="AC22" s="1">
        <f>SUMIFS('フォームの回答 1'!$E:$E,'フォームの回答 1'!$B:$B,AC20,'フォームの回答 1'!$H:$H,$A22,'フォームの回答 1'!$F:$F,"Cash")+AJ22</f>
        <v>270489</v>
      </c>
      <c r="AD22" s="1">
        <f>SUMIFS('フォームの回答 1'!$E:$E,'フォームの回答 1'!$B:$B,AD20,'フォームの回答 1'!$H:$H,$A22,'フォームの回答 1'!$F:$F,"Cash")</f>
        <v>3286</v>
      </c>
      <c r="AE22" s="1">
        <f>SUMIFS('フォームの回答 1'!$E:$E,'フォームの回答 1'!$B:$B,AE20,'フォームの回答 1'!$H:$H,$A22,'フォームの回答 1'!$F:$F,"Cash")</f>
        <v>2526</v>
      </c>
      <c r="AF22" s="1">
        <f>SUMIFS('フォームの回答 1'!$E:$E,'フォームの回答 1'!$B:$B,AF20,'フォームの回答 1'!$H:$H,$A22,'フォームの回答 1'!$F:$F,"Cash")</f>
        <v>1160</v>
      </c>
      <c r="AG22" s="1">
        <f>SUMIFS('フォームの回答 1'!$E:$E,'フォームの回答 1'!$B:$B,AG20,'フォームの回答 1'!$H:$H,$A22,'フォームの回答 1'!$F:$F,"Cash")</f>
        <v>1820</v>
      </c>
      <c r="AI22" s="2" t="s">
        <v>86</v>
      </c>
      <c r="AJ22" s="1">
        <v>135039</v>
      </c>
    </row>
    <row r="23" spans="1:38" ht="15.75" customHeight="1">
      <c r="A23" s="2" t="s">
        <v>32</v>
      </c>
      <c r="C23" s="1">
        <f>AF17+C21-C22</f>
        <v>116943</v>
      </c>
      <c r="D23" s="1">
        <f t="shared" ref="D23:AG23" si="3">C23+D21-D22</f>
        <v>114684</v>
      </c>
      <c r="E23" s="1">
        <f t="shared" si="3"/>
        <v>112574</v>
      </c>
      <c r="F23" s="1">
        <f t="shared" si="3"/>
        <v>120370</v>
      </c>
      <c r="G23" s="1">
        <f t="shared" si="3"/>
        <v>118605</v>
      </c>
      <c r="H23" s="1">
        <f t="shared" si="3"/>
        <v>115125</v>
      </c>
      <c r="I23" s="1">
        <f t="shared" si="3"/>
        <v>112334</v>
      </c>
      <c r="J23" s="1">
        <f t="shared" si="3"/>
        <v>110014</v>
      </c>
      <c r="K23" s="1">
        <f t="shared" si="3"/>
        <v>106227</v>
      </c>
      <c r="L23" s="1">
        <f t="shared" si="3"/>
        <v>105017</v>
      </c>
      <c r="M23" s="1">
        <f t="shared" si="3"/>
        <v>103937</v>
      </c>
      <c r="N23" s="1">
        <f t="shared" si="3"/>
        <v>99327</v>
      </c>
      <c r="O23" s="1">
        <f t="shared" si="3"/>
        <v>97440</v>
      </c>
      <c r="P23" s="1">
        <f t="shared" si="3"/>
        <v>95515</v>
      </c>
      <c r="Q23" s="1">
        <f t="shared" si="3"/>
        <v>88785</v>
      </c>
      <c r="R23" s="1">
        <f t="shared" si="3"/>
        <v>87475</v>
      </c>
      <c r="S23" s="1">
        <f t="shared" si="3"/>
        <v>85799</v>
      </c>
      <c r="T23" s="1">
        <f t="shared" si="3"/>
        <v>79158</v>
      </c>
      <c r="U23" s="1">
        <f t="shared" si="3"/>
        <v>77525</v>
      </c>
      <c r="V23" s="1">
        <f t="shared" si="3"/>
        <v>45615</v>
      </c>
      <c r="W23" s="1">
        <f t="shared" si="3"/>
        <v>42917</v>
      </c>
      <c r="X23" s="1">
        <f t="shared" si="3"/>
        <v>39689</v>
      </c>
      <c r="Y23" s="1">
        <f t="shared" si="3"/>
        <v>39076</v>
      </c>
      <c r="Z23" s="1">
        <f t="shared" si="3"/>
        <v>37966</v>
      </c>
      <c r="AA23" s="1">
        <f t="shared" si="3"/>
        <v>326566</v>
      </c>
      <c r="AB23" s="1">
        <f t="shared" si="3"/>
        <v>323837</v>
      </c>
      <c r="AC23" s="1">
        <f t="shared" si="3"/>
        <v>53348</v>
      </c>
      <c r="AD23" s="1">
        <f t="shared" si="3"/>
        <v>50062</v>
      </c>
      <c r="AE23" s="1">
        <f t="shared" si="3"/>
        <v>47536</v>
      </c>
      <c r="AF23" s="1">
        <f t="shared" si="3"/>
        <v>46376</v>
      </c>
      <c r="AG23" s="1">
        <f t="shared" si="3"/>
        <v>44556</v>
      </c>
      <c r="AI23" s="2" t="s">
        <v>87</v>
      </c>
      <c r="AJ23" s="1">
        <v>0</v>
      </c>
    </row>
    <row r="25" spans="1:38" ht="15.75" customHeight="1">
      <c r="B25" s="20" t="s">
        <v>74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12"/>
      <c r="AI25" s="2" t="s">
        <v>88</v>
      </c>
      <c r="AJ25" s="1">
        <v>152031</v>
      </c>
    </row>
    <row r="26" spans="1:38" ht="15.75" customHeight="1">
      <c r="B26" s="2" t="s">
        <v>29</v>
      </c>
      <c r="C26" s="11">
        <v>45231</v>
      </c>
      <c r="D26" s="11">
        <v>45232</v>
      </c>
      <c r="E26" s="11">
        <v>45233</v>
      </c>
      <c r="F26" s="11">
        <v>45234</v>
      </c>
      <c r="G26" s="11">
        <v>45235</v>
      </c>
      <c r="H26" s="11">
        <v>45236</v>
      </c>
      <c r="I26" s="11">
        <v>45237</v>
      </c>
      <c r="J26" s="11">
        <v>45238</v>
      </c>
      <c r="K26" s="11">
        <v>45239</v>
      </c>
      <c r="L26" s="11">
        <v>45240</v>
      </c>
      <c r="M26" s="11">
        <v>45241</v>
      </c>
      <c r="N26" s="11">
        <v>45242</v>
      </c>
      <c r="O26" s="11">
        <v>45243</v>
      </c>
      <c r="P26" s="11">
        <v>45244</v>
      </c>
      <c r="Q26" s="11">
        <v>45245</v>
      </c>
      <c r="R26" s="11">
        <v>45246</v>
      </c>
      <c r="S26" s="11">
        <v>45247</v>
      </c>
      <c r="T26" s="11">
        <v>45248</v>
      </c>
      <c r="U26" s="11">
        <v>45249</v>
      </c>
      <c r="V26" s="11">
        <v>45250</v>
      </c>
      <c r="W26" s="11">
        <v>45251</v>
      </c>
      <c r="X26" s="11">
        <v>45252</v>
      </c>
      <c r="Y26" s="11">
        <v>45253</v>
      </c>
      <c r="Z26" s="11">
        <v>45254</v>
      </c>
      <c r="AA26" s="11">
        <v>45255</v>
      </c>
      <c r="AB26" s="11">
        <v>45256</v>
      </c>
      <c r="AC26" s="11">
        <v>45257</v>
      </c>
      <c r="AD26" s="11">
        <v>45258</v>
      </c>
      <c r="AE26" s="11">
        <v>45259</v>
      </c>
      <c r="AF26" s="11">
        <v>45260</v>
      </c>
      <c r="AG26" s="11"/>
    </row>
    <row r="27" spans="1:38" ht="15.75" customHeight="1">
      <c r="A27" s="2" t="s">
        <v>34</v>
      </c>
      <c r="B27" s="1">
        <f>SUM(V27:AG27)</f>
        <v>323083</v>
      </c>
      <c r="C27" s="1">
        <f>SUMIFS('フォームの回答 1'!$E:$E,'フォームの回答 1'!$B:$B,C26,'フォームの回答 1'!$H:$H,$A27)</f>
        <v>0</v>
      </c>
      <c r="D27" s="1">
        <f>SUMIFS('フォームの回答 1'!$E:$E,'フォームの回答 1'!$B:$B,D26,'フォームの回答 1'!$H:$H,$A27)</f>
        <v>0</v>
      </c>
      <c r="E27" s="1">
        <f>SUMIFS('フォームの回答 1'!$E:$E,'フォームの回答 1'!$B:$B,E26,'フォームの回答 1'!$H:$H,$A27)</f>
        <v>0</v>
      </c>
      <c r="F27" s="1">
        <f>SUMIFS('フォームの回答 1'!$E:$E,'フォームの回答 1'!$B:$B,F26,'フォームの回答 1'!$H:$H,$A27)</f>
        <v>0</v>
      </c>
      <c r="G27" s="1">
        <f>SUMIFS('フォームの回答 1'!$E:$E,'フォームの回答 1'!$B:$B,G26,'フォームの回答 1'!$H:$H,$A27)</f>
        <v>0</v>
      </c>
      <c r="H27" s="1">
        <f>SUMIFS('フォームの回答 1'!$E:$E,'フォームの回答 1'!$B:$B,H26,'フォームの回答 1'!$H:$H,$A27)</f>
        <v>0</v>
      </c>
      <c r="I27" s="1">
        <f>SUMIFS('フォームの回答 1'!$E:$E,'フォームの回答 1'!$B:$B,I26,'フォームの回答 1'!$H:$H,$A27)</f>
        <v>14640</v>
      </c>
      <c r="J27" s="1">
        <f>SUMIFS('フォームの回答 1'!$E:$E,'フォームの回答 1'!$B:$B,J26,'フォームの回答 1'!$H:$H,$A27)</f>
        <v>0</v>
      </c>
      <c r="K27" s="1">
        <f>SUMIFS('フォームの回答 1'!$E:$E,'フォームの回答 1'!$B:$B,K26,'フォームの回答 1'!$H:$H,$A27)</f>
        <v>0</v>
      </c>
      <c r="L27" s="1">
        <f>SUMIFS('フォームの回答 1'!$E:$E,'フォームの回答 1'!$B:$B,L26,'フォームの回答 1'!$H:$H,$A27)</f>
        <v>0</v>
      </c>
      <c r="M27" s="1">
        <f>SUMIFS('フォームの回答 1'!$E:$E,'フォームの回答 1'!$B:$B,M26,'フォームの回答 1'!$H:$H,$A27)</f>
        <v>0</v>
      </c>
      <c r="N27" s="1">
        <f>SUMIFS('フォームの回答 1'!$E:$E,'フォームの回答 1'!$B:$B,N26,'フォームの回答 1'!$H:$H,$A27)</f>
        <v>0</v>
      </c>
      <c r="O27" s="1">
        <f>SUMIFS('フォームの回答 1'!$E:$E,'フォームの回答 1'!$B:$B,O26,'フォームの回答 1'!$H:$H,$A27)</f>
        <v>0</v>
      </c>
      <c r="P27" s="1">
        <f>SUMIFS('フォームの回答 1'!$E:$E,'フォームの回答 1'!$B:$B,P26,'フォームの回答 1'!$H:$H,$A27)</f>
        <v>0</v>
      </c>
      <c r="Q27" s="1">
        <f>SUMIFS('フォームの回答 1'!$E:$E,'フォームの回答 1'!$B:$B,Q26,'フォームの回答 1'!$H:$H,$A27)</f>
        <v>0</v>
      </c>
      <c r="R27" s="1">
        <f>SUMIFS('フォームの回答 1'!$E:$E,'フォームの回答 1'!$B:$B,R26,'フォームの回答 1'!$H:$H,$A27)</f>
        <v>0</v>
      </c>
      <c r="S27" s="1">
        <f>SUMIFS('フォームの回答 1'!$E:$E,'フォームの回答 1'!$B:$B,S26,'フォームの回答 1'!$H:$H,$A27)</f>
        <v>0</v>
      </c>
      <c r="T27" s="1">
        <f>SUMIFS('フォームの回答 1'!$E:$E,'フォームの回答 1'!$B:$B,T26,'フォームの回答 1'!$H:$H,$A27)</f>
        <v>0</v>
      </c>
      <c r="U27" s="1">
        <f>SUMIFS('フォームの回答 1'!$E:$E,'フォームの回答 1'!$B:$B,U26,'フォームの回答 1'!$H:$H,$A27)</f>
        <v>0</v>
      </c>
      <c r="V27" s="1">
        <f>SUMIFS('フォームの回答 1'!$E:$E,'フォームの回答 1'!$B:$B,V26,'フォームの回答 1'!$H:$H,$A27)</f>
        <v>0</v>
      </c>
      <c r="W27" s="1">
        <f>SUMIFS('フォームの回答 1'!$E:$E,'フォームの回答 1'!$B:$B,W26,'フォームの回答 1'!$H:$H,$A27)</f>
        <v>0</v>
      </c>
      <c r="X27" s="1">
        <f>SUMIFS('フォームの回答 1'!$E:$E,'フォームの回答 1'!$B:$B,X26,'フォームの回答 1'!$H:$H,$A27)</f>
        <v>0</v>
      </c>
      <c r="Y27" s="1">
        <f>SUMIFS('フォームの回答 1'!$E:$E,'フォームの回答 1'!$B:$B,Y26,'フォームの回答 1'!$H:$H,$A27)</f>
        <v>0</v>
      </c>
      <c r="Z27" s="1">
        <f>SUMIFS('フォームの回答 1'!$E:$E,'フォームの回答 1'!$B:$B,Z26,'フォームの回答 1'!$H:$H,$A27)</f>
        <v>323083</v>
      </c>
      <c r="AA27" s="1">
        <f>SUMIFS('フォームの回答 1'!$E:$E,'フォームの回答 1'!$B:$B,AA26,'フォームの回答 1'!$H:$H,$A27)+AJ18</f>
        <v>0</v>
      </c>
      <c r="AB27" s="1">
        <f>SUMIFS('フォームの回答 1'!$E:$E,'フォームの回答 1'!$B:$B,AB26,'フォームの回答 1'!$H:$H,$A27)</f>
        <v>0</v>
      </c>
      <c r="AC27" s="1">
        <f>SUMIFS('フォームの回答 1'!$E:$E,'フォームの回答 1'!$B:$B,AC26,'フォームの回答 1'!$H:$H,$A27)</f>
        <v>0</v>
      </c>
      <c r="AD27" s="1">
        <f>SUMIFS('フォームの回答 1'!$E:$E,'フォームの回答 1'!$B:$B,AD26,'フォームの回答 1'!$H:$H,$A27)</f>
        <v>0</v>
      </c>
      <c r="AE27" s="1">
        <f>SUMIFS('フォームの回答 1'!$E:$E,'フォームの回答 1'!$B:$B,AE26,'フォームの回答 1'!$H:$H,$A27)</f>
        <v>0</v>
      </c>
      <c r="AF27" s="1">
        <f>SUMIFS('フォームの回答 1'!$E:$E,'フォームの回答 1'!$B:$B,AF26,'フォームの回答 1'!$H:$H,$A27)</f>
        <v>0</v>
      </c>
      <c r="AG27" s="1"/>
    </row>
    <row r="28" spans="1:38" ht="15.75" customHeight="1">
      <c r="A28" s="2" t="s">
        <v>35</v>
      </c>
      <c r="B28" s="1">
        <f>SUM(C28:AG28)</f>
        <v>379050</v>
      </c>
      <c r="C28" s="1">
        <f>SUMIFS('フォームの回答 1'!$E:$E,'フォームの回答 1'!$B:$B,C26,'フォームの回答 1'!$H:$H,$A28,'フォームの回答 1'!$F:$F,"Cash")</f>
        <v>1376</v>
      </c>
      <c r="D28" s="1">
        <f>SUMIFS('フォームの回答 1'!$E:$E,'フォームの回答 1'!$B:$B,D26,'フォームの回答 1'!$H:$H,$A28,'フォームの回答 1'!$F:$F,"Cash")</f>
        <v>318</v>
      </c>
      <c r="E28" s="1">
        <f>SUMIFS('フォームの回答 1'!$E:$E,'フォームの回答 1'!$B:$B,E26,'フォームの回答 1'!$H:$H,$A28,'フォームの回答 1'!$F:$F,"Cash")</f>
        <v>1401</v>
      </c>
      <c r="F28" s="1">
        <f>SUMIFS('フォームの回答 1'!$E:$E,'フォームの回答 1'!$B:$B,F26,'フォームの回答 1'!$H:$H,$A28,'フォームの回答 1'!$F:$F,"Cash")</f>
        <v>2942</v>
      </c>
      <c r="G28" s="1">
        <f>SUMIFS('フォームの回答 1'!$E:$E,'フォームの回答 1'!$B:$B,G26,'フォームの回答 1'!$H:$H,$A28,'フォームの回答 1'!$F:$F,"Cash")</f>
        <v>2994</v>
      </c>
      <c r="H28" s="1">
        <f>SUMIFS('フォームの回答 1'!$E:$E,'フォームの回答 1'!$B:$B,H26,'フォームの回答 1'!$H:$H,$A28,'フォームの回答 1'!$F:$F,"Cash")</f>
        <v>1210</v>
      </c>
      <c r="I28" s="1">
        <f>SUMIFS('フォームの回答 1'!$E:$E,'フォームの回答 1'!$B:$B,I26,'フォームの回答 1'!$H:$H,$A28,'フォームの回答 1'!$F:$F,"Cash")</f>
        <v>2050</v>
      </c>
      <c r="J28" s="1">
        <f>SUMIFS('フォームの回答 1'!$E:$E,'フォームの回答 1'!$B:$B,J26,'フォームの回答 1'!$H:$H,$A28,'フォームの回答 1'!$F:$F,"Cash")</f>
        <v>1603</v>
      </c>
      <c r="K28" s="1">
        <f>SUMIFS('フォームの回答 1'!$E:$E,'フォームの回答 1'!$B:$B,K26,'フォームの回答 1'!$H:$H,$A28,'フォームの回答 1'!$F:$F,"Cash")</f>
        <v>1610</v>
      </c>
      <c r="L28" s="1">
        <f>SUMIFS('フォームの回答 1'!$E:$E,'フォームの回答 1'!$B:$B,L26,'フォームの回答 1'!$H:$H,$A28,'フォームの回答 1'!$F:$F,"Cash")</f>
        <v>2244</v>
      </c>
      <c r="M28" s="1">
        <f>SUMIFS('フォームの回答 1'!$E:$E,'フォームの回答 1'!$B:$B,M26,'フォームの回答 1'!$H:$H,$A28,'フォームの回答 1'!$F:$F,"Cash")</f>
        <v>1164</v>
      </c>
      <c r="N28" s="1">
        <f>SUMIFS('フォームの回答 1'!$E:$E,'フォームの回答 1'!$B:$B,N26,'フォームの回答 1'!$H:$H,$A28,'フォームの回答 1'!$F:$F,"Cash")</f>
        <v>3473</v>
      </c>
      <c r="O28" s="1">
        <f>SUMIFS('フォームの回答 1'!$E:$E,'フォームの回答 1'!$B:$B,O26,'フォームの回答 1'!$H:$H,$A28,'フォームの回答 1'!$F:$F,"Cash")</f>
        <v>1410</v>
      </c>
      <c r="P28" s="1">
        <f>SUMIFS('フォームの回答 1'!$E:$E,'フォームの回答 1'!$B:$B,P26,'フォームの回答 1'!$H:$H,$A28,'フォームの回答 1'!$F:$F,"Cash")</f>
        <v>1548</v>
      </c>
      <c r="Q28" s="1">
        <f>SUMIFS('フォームの回答 1'!$E:$E,'フォームの回答 1'!$B:$B,Q26,'フォームの回答 1'!$H:$H,$A28,'フォームの回答 1'!$F:$F,"Cash")</f>
        <v>1888</v>
      </c>
      <c r="R28" s="1">
        <f>SUMIFS('フォームの回答 1'!$E:$E,'フォームの回答 1'!$B:$B,R26,'フォームの回答 1'!$H:$H,$A28,'フォームの回答 1'!$F:$F,"Cash")</f>
        <v>1376</v>
      </c>
      <c r="S28" s="1">
        <f>SUMIFS('フォームの回答 1'!$E:$E,'フォームの回答 1'!$B:$B,S26,'フォームの回答 1'!$H:$H,$A28,'フォームの回答 1'!$F:$F,"Cash")</f>
        <v>5919</v>
      </c>
      <c r="T28" s="1">
        <f>SUMIFS('フォームの回答 1'!$E:$E,'フォームの回答 1'!$B:$B,T26,'フォームの回答 1'!$H:$H,$A28,'フォームの回答 1'!$F:$F,"Cash")</f>
        <v>4211</v>
      </c>
      <c r="U28" s="1">
        <f>SUMIFS('フォームの回答 1'!$E:$E,'フォームの回答 1'!$B:$B,U26,'フォームの回答 1'!$H:$H,$A28,'フォームの回答 1'!$F:$F,"Cash")</f>
        <v>2766</v>
      </c>
      <c r="V28" s="1">
        <f>SUMIFS('フォームの回答 1'!$E:$E,'フォームの回答 1'!$B:$B,V26,'フォームの回答 1'!$H:$H,$A28,'フォームの回答 1'!$F:$F,"Cash")</f>
        <v>1695</v>
      </c>
      <c r="W28" s="1">
        <f>SUMIFS('フォームの回答 1'!$E:$E,'フォームの回答 1'!$B:$B,W26,'フォームの回答 1'!$H:$H,$A28,'フォームの回答 1'!$F:$F,"Cash")</f>
        <v>1090</v>
      </c>
      <c r="X28" s="1">
        <f>SUMIFS('フォームの回答 1'!$E:$E,'フォームの回答 1'!$B:$B,X26,'フォームの回答 1'!$H:$H,$A28,'フォームの回答 1'!$F:$F,"Cash")</f>
        <v>694</v>
      </c>
      <c r="Y28" s="1">
        <f>SUMIFS('フォームの回答 1'!$E:$E,'フォームの回答 1'!$B:$B,Y26,'フォームの回答 1'!$H:$H,$A28,'フォームの回答 1'!$F:$F,"Cash")</f>
        <v>1603</v>
      </c>
      <c r="Z28" s="1">
        <f>SUMIFS('フォームの回答 1'!$E:$E,'フォームの回答 1'!$B:$B,Z26,'フォームの回答 1'!$H:$H,$A28,'フォームの回答 1'!$F:$F,"Cash")</f>
        <v>1884</v>
      </c>
      <c r="AA28" s="1">
        <f>SUMIFS('フォームの回答 1'!$E:$E,'フォームの回答 1'!$B:$B,AA26,'フォームの回答 1'!$H:$H,$A28,'フォームの回答 1'!$F:$F,"Cash")</f>
        <v>1539</v>
      </c>
      <c r="AB28" s="1">
        <f>SUMIFS('フォームの回答 1'!$E:$E,'フォームの回答 1'!$B:$B,AB26,'フォームの回答 1'!$H:$H,$A28,'フォームの回答 1'!$F:$F,"Cash")</f>
        <v>2286</v>
      </c>
      <c r="AC28" s="1">
        <f>SUMIFS('フォームの回答 1'!$E:$E,'フォームの回答 1'!$B:$B,AC26,'フォームの回答 1'!$H:$H,$A28,'フォームの回答 1'!$F:$F,"Cash")+AJ25</f>
        <v>317361</v>
      </c>
      <c r="AD28" s="1">
        <f>SUMIFS('フォームの回答 1'!$E:$E,'フォームの回答 1'!$B:$B,AD26,'フォームの回答 1'!$H:$H,$A28,'フォームの回答 1'!$F:$F,"Cash")</f>
        <v>3325</v>
      </c>
      <c r="AE28" s="1">
        <f>SUMIFS('フォームの回答 1'!$E:$E,'フォームの回答 1'!$B:$B,AE26,'フォームの回答 1'!$H:$H,$A28,'フォームの回答 1'!$F:$F,"Cash")</f>
        <v>3966</v>
      </c>
      <c r="AF28" s="1">
        <f>SUMIFS('フォームの回答 1'!$E:$E,'フォームの回答 1'!$B:$B,AF26,'フォームの回答 1'!$H:$H,$A28,'フォームの回答 1'!$F:$F,"Cash")</f>
        <v>2104</v>
      </c>
      <c r="AG28" s="1"/>
    </row>
    <row r="29" spans="1:38" ht="15.75" customHeight="1">
      <c r="A29" s="2" t="s">
        <v>32</v>
      </c>
      <c r="C29" s="1">
        <f>AG23+C27-C28</f>
        <v>43180</v>
      </c>
      <c r="D29" s="1">
        <f t="shared" ref="D29:AF29" si="4">C29+D27-D28</f>
        <v>42862</v>
      </c>
      <c r="E29" s="1">
        <f t="shared" si="4"/>
        <v>41461</v>
      </c>
      <c r="F29" s="1">
        <f t="shared" si="4"/>
        <v>38519</v>
      </c>
      <c r="G29" s="1">
        <f t="shared" si="4"/>
        <v>35525</v>
      </c>
      <c r="H29" s="1">
        <f t="shared" si="4"/>
        <v>34315</v>
      </c>
      <c r="I29" s="1">
        <f t="shared" si="4"/>
        <v>46905</v>
      </c>
      <c r="J29" s="1">
        <f t="shared" si="4"/>
        <v>45302</v>
      </c>
      <c r="K29" s="1">
        <f t="shared" si="4"/>
        <v>43692</v>
      </c>
      <c r="L29" s="1">
        <f t="shared" si="4"/>
        <v>41448</v>
      </c>
      <c r="M29" s="1">
        <f t="shared" si="4"/>
        <v>40284</v>
      </c>
      <c r="N29" s="1">
        <f t="shared" si="4"/>
        <v>36811</v>
      </c>
      <c r="O29" s="1">
        <f t="shared" si="4"/>
        <v>35401</v>
      </c>
      <c r="P29" s="1">
        <f t="shared" si="4"/>
        <v>33853</v>
      </c>
      <c r="Q29" s="1">
        <f t="shared" si="4"/>
        <v>31965</v>
      </c>
      <c r="R29" s="1">
        <f t="shared" si="4"/>
        <v>30589</v>
      </c>
      <c r="S29" s="1">
        <f t="shared" si="4"/>
        <v>24670</v>
      </c>
      <c r="T29" s="1">
        <f t="shared" si="4"/>
        <v>20459</v>
      </c>
      <c r="U29" s="1">
        <f t="shared" si="4"/>
        <v>17693</v>
      </c>
      <c r="V29" s="1">
        <f t="shared" si="4"/>
        <v>15998</v>
      </c>
      <c r="W29" s="1">
        <f t="shared" si="4"/>
        <v>14908</v>
      </c>
      <c r="X29" s="1">
        <f t="shared" si="4"/>
        <v>14214</v>
      </c>
      <c r="Y29" s="1">
        <f t="shared" si="4"/>
        <v>12611</v>
      </c>
      <c r="Z29" s="1">
        <f t="shared" si="4"/>
        <v>333810</v>
      </c>
      <c r="AA29" s="1">
        <f t="shared" si="4"/>
        <v>332271</v>
      </c>
      <c r="AB29" s="1">
        <f t="shared" si="4"/>
        <v>329985</v>
      </c>
      <c r="AC29" s="1">
        <f t="shared" si="4"/>
        <v>12624</v>
      </c>
      <c r="AD29" s="1">
        <f t="shared" si="4"/>
        <v>9299</v>
      </c>
      <c r="AE29" s="1">
        <f t="shared" si="4"/>
        <v>5333</v>
      </c>
      <c r="AF29" s="1">
        <f t="shared" si="4"/>
        <v>3229</v>
      </c>
    </row>
    <row r="31" spans="1:38" ht="15.75" customHeight="1">
      <c r="B31" s="20" t="s">
        <v>76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I31" s="2" t="s">
        <v>89</v>
      </c>
      <c r="AJ31" s="1">
        <v>123446</v>
      </c>
    </row>
    <row r="32" spans="1:38" ht="15.75" customHeight="1">
      <c r="B32" s="2" t="s">
        <v>29</v>
      </c>
      <c r="C32" s="11">
        <v>45261</v>
      </c>
      <c r="D32" s="11">
        <v>45262</v>
      </c>
      <c r="E32" s="11">
        <v>45263</v>
      </c>
      <c r="F32" s="11">
        <v>45264</v>
      </c>
      <c r="G32" s="11">
        <v>45265</v>
      </c>
      <c r="H32" s="11">
        <v>45266</v>
      </c>
      <c r="I32" s="11">
        <v>45267</v>
      </c>
      <c r="J32" s="11">
        <v>45268</v>
      </c>
      <c r="K32" s="11">
        <v>45269</v>
      </c>
      <c r="L32" s="11">
        <v>45270</v>
      </c>
      <c r="M32" s="11">
        <v>45271</v>
      </c>
      <c r="N32" s="11">
        <v>45272</v>
      </c>
      <c r="O32" s="11">
        <v>45273</v>
      </c>
      <c r="P32" s="11">
        <v>45274</v>
      </c>
      <c r="Q32" s="11">
        <v>45275</v>
      </c>
      <c r="R32" s="11">
        <v>45276</v>
      </c>
      <c r="S32" s="11">
        <v>45277</v>
      </c>
      <c r="T32" s="11">
        <v>45278</v>
      </c>
      <c r="U32" s="11">
        <v>45279</v>
      </c>
      <c r="V32" s="11">
        <v>45280</v>
      </c>
      <c r="W32" s="11">
        <v>45281</v>
      </c>
      <c r="X32" s="11">
        <v>45282</v>
      </c>
      <c r="Y32" s="11">
        <v>45283</v>
      </c>
      <c r="Z32" s="11">
        <v>45284</v>
      </c>
      <c r="AA32" s="11">
        <v>45285</v>
      </c>
      <c r="AB32" s="11">
        <v>45286</v>
      </c>
      <c r="AC32" s="11">
        <v>45287</v>
      </c>
      <c r="AD32" s="11">
        <v>45288</v>
      </c>
      <c r="AE32" s="11">
        <v>45289</v>
      </c>
      <c r="AF32" s="11">
        <v>45290</v>
      </c>
      <c r="AG32" s="11">
        <v>45291</v>
      </c>
    </row>
    <row r="33" spans="1:33" ht="15.75" customHeight="1">
      <c r="A33" s="2" t="s">
        <v>34</v>
      </c>
      <c r="B33" s="1">
        <f>SUM(V33:AG33)</f>
        <v>347889</v>
      </c>
      <c r="C33" s="1">
        <f>SUMIFS('フォームの回答 1'!$E:$E,'フォームの回答 1'!$B:$B,C32,'フォームの回答 1'!$H:$H,$A33)</f>
        <v>50000</v>
      </c>
      <c r="D33" s="1">
        <f>SUMIFS('フォームの回答 1'!$E:$E,'フォームの回答 1'!$B:$B,D32,'フォームの回答 1'!$H:$H,$A33)</f>
        <v>0</v>
      </c>
      <c r="E33" s="1">
        <f>SUMIFS('フォームの回答 1'!$E:$E,'フォームの回答 1'!$B:$B,E32,'フォームの回答 1'!$H:$H,$A33)</f>
        <v>0</v>
      </c>
      <c r="F33" s="1">
        <f>SUMIFS('フォームの回答 1'!$E:$E,'フォームの回答 1'!$B:$B,F32,'フォームの回答 1'!$H:$H,$A33)</f>
        <v>0</v>
      </c>
      <c r="G33" s="1">
        <f>SUMIFS('フォームの回答 1'!$E:$E,'フォームの回答 1'!$B:$B,G32,'フォームの回答 1'!$H:$H,$A33)</f>
        <v>0</v>
      </c>
      <c r="H33" s="1">
        <f>SUMIFS('フォームの回答 1'!$E:$E,'フォームの回答 1'!$B:$B,H32,'フォームの回答 1'!$H:$H,$A33)</f>
        <v>17620</v>
      </c>
      <c r="I33" s="1">
        <f>SUMIFS('フォームの回答 1'!$E:$E,'フォームの回答 1'!$B:$B,I32,'フォームの回答 1'!$H:$H,$A33)</f>
        <v>0</v>
      </c>
      <c r="J33" s="1">
        <f>SUMIFS('フォームの回答 1'!$E:$E,'フォームの回答 1'!$B:$B,J32,'フォームの回答 1'!$H:$H,$A33)</f>
        <v>0</v>
      </c>
      <c r="K33" s="1">
        <f>SUMIFS('フォームの回答 1'!$E:$E,'フォームの回答 1'!$B:$B,K32,'フォームの回答 1'!$H:$H,$A33)</f>
        <v>0</v>
      </c>
      <c r="L33" s="1">
        <f>SUMIFS('フォームの回答 1'!$E:$E,'フォームの回答 1'!$B:$B,L32,'フォームの回答 1'!$H:$H,$A33)</f>
        <v>0</v>
      </c>
      <c r="M33" s="1">
        <f>SUMIFS('フォームの回答 1'!$E:$E,'フォームの回答 1'!$B:$B,M32,'フォームの回答 1'!$H:$H,$A33)</f>
        <v>0</v>
      </c>
      <c r="N33" s="1">
        <f>SUMIFS('フォームの回答 1'!$E:$E,'フォームの回答 1'!$B:$B,N32,'フォームの回答 1'!$H:$H,$A33)</f>
        <v>0</v>
      </c>
      <c r="O33" s="1">
        <f>SUMIFS('フォームの回答 1'!$E:$E,'フォームの回答 1'!$B:$B,O32,'フォームの回答 1'!$H:$H,$A33)</f>
        <v>0</v>
      </c>
      <c r="P33" s="1">
        <f>SUMIFS('フォームの回答 1'!$E:$E,'フォームの回答 1'!$B:$B,P32,'フォームの回答 1'!$H:$H,$A33)</f>
        <v>0</v>
      </c>
      <c r="Q33" s="1">
        <f>SUMIFS('フォームの回答 1'!$E:$E,'フォームの回答 1'!$B:$B,Q32,'フォームの回答 1'!$H:$H,$A33)</f>
        <v>0</v>
      </c>
      <c r="R33" s="1">
        <f>SUMIFS('フォームの回答 1'!$E:$E,'フォームの回答 1'!$B:$B,R32,'フォームの回答 1'!$H:$H,$A33)</f>
        <v>0</v>
      </c>
      <c r="S33" s="1">
        <f>SUMIFS('フォームの回答 1'!$E:$E,'フォームの回答 1'!$B:$B,S32,'フォームの回答 1'!$H:$H,$A33)</f>
        <v>0</v>
      </c>
      <c r="T33" s="1">
        <f>SUMIFS('フォームの回答 1'!$E:$E,'フォームの回答 1'!$B:$B,T32,'フォームの回答 1'!$H:$H,$A33)</f>
        <v>0</v>
      </c>
      <c r="U33" s="1">
        <f>SUMIFS('フォームの回答 1'!$E:$E,'フォームの回答 1'!$B:$B,U32,'フォームの回答 1'!$H:$H,$A33)</f>
        <v>0</v>
      </c>
      <c r="V33" s="1">
        <f>SUMIFS('フォームの回答 1'!$E:$E,'フォームの回答 1'!$B:$B,V32,'フォームの回答 1'!$H:$H,$A33)</f>
        <v>20000</v>
      </c>
      <c r="W33" s="1">
        <f>SUMIFS('フォームの回答 1'!$E:$E,'フォームの回答 1'!$B:$B,W32,'フォームの回答 1'!$H:$H,$A33)</f>
        <v>0</v>
      </c>
      <c r="X33" s="1">
        <f>SUMIFS('フォームの回答 1'!$E:$E,'フォームの回答 1'!$B:$B,X32,'フォームの回答 1'!$H:$H,$A33)</f>
        <v>0</v>
      </c>
      <c r="Y33" s="1">
        <f>SUMIFS('フォームの回答 1'!$E:$E,'フォームの回答 1'!$B:$B,Y32,'フォームの回答 1'!$H:$H,$A33)</f>
        <v>0</v>
      </c>
      <c r="Z33" s="1">
        <f>SUMIFS('フォームの回答 1'!$E:$E,'フォームの回答 1'!$B:$B,Z32,'フォームの回答 1'!$H:$H,$A33)</f>
        <v>0</v>
      </c>
      <c r="AA33" s="1">
        <f>SUMIFS('フォームの回答 1'!$E:$E,'フォームの回答 1'!$B:$B,AA32,'フォームの回答 1'!$H:$H,$A33)+AJ24</f>
        <v>297889</v>
      </c>
      <c r="AB33" s="1">
        <f>SUMIFS('フォームの回答 1'!$E:$E,'フォームの回答 1'!$B:$B,AB32,'フォームの回答 1'!$H:$H,$A33)</f>
        <v>0</v>
      </c>
      <c r="AC33" s="1">
        <f>SUMIFS('フォームの回答 1'!$E:$E,'フォームの回答 1'!$B:$B,AC32,'フォームの回答 1'!$H:$H,$A33)</f>
        <v>0</v>
      </c>
      <c r="AD33" s="1">
        <f>SUMIFS('フォームの回答 1'!$E:$E,'フォームの回答 1'!$B:$B,AD32,'フォームの回答 1'!$H:$H,$A33)</f>
        <v>0</v>
      </c>
      <c r="AE33" s="1">
        <f>SUMIFS('フォームの回答 1'!$E:$E,'フォームの回答 1'!$B:$B,AE32,'フォームの回答 1'!$H:$H,$A33)</f>
        <v>0</v>
      </c>
      <c r="AF33" s="1">
        <f>SUMIFS('フォームの回答 1'!$E:$E,'フォームの回答 1'!$B:$B,AF32,'フォームの回答 1'!$H:$H,$A33)</f>
        <v>0</v>
      </c>
      <c r="AG33" s="1">
        <f>SUMIFS('フォームの回答 1'!$E:$E,'フォームの回答 1'!$B:$B,AG32,'フォームの回答 1'!$H:$H,$A33)</f>
        <v>30000</v>
      </c>
    </row>
    <row r="34" spans="1:33" ht="15.75" customHeight="1">
      <c r="A34" s="2" t="s">
        <v>35</v>
      </c>
      <c r="B34" s="1">
        <f>SUM(C34:AG34)</f>
        <v>363468</v>
      </c>
      <c r="C34" s="1">
        <f>SUMIFS('フォームの回答 1'!$E:$E,'フォームの回答 1'!$B:$B,C32,'フォームの回答 1'!$H:$H,$A34,'フォームの回答 1'!$F:$F,"Cash")</f>
        <v>2378</v>
      </c>
      <c r="D34" s="1">
        <f>SUMIFS('フォームの回答 1'!$E:$E,'フォームの回答 1'!$B:$B,D32,'フォームの回答 1'!$H:$H,$A34,'フォームの回答 1'!$F:$F,"Cash")</f>
        <v>1212</v>
      </c>
      <c r="E34" s="1">
        <f>SUMIFS('フォームの回答 1'!$E:$E,'フォームの回答 1'!$B:$B,E32,'フォームの回答 1'!$H:$H,$A34,'フォームの回答 1'!$F:$F,"Cash")</f>
        <v>2367</v>
      </c>
      <c r="F34" s="1">
        <f>SUMIFS('フォームの回答 1'!$E:$E,'フォームの回答 1'!$B:$B,F32,'フォームの回答 1'!$H:$H,$A34,'フォームの回答 1'!$F:$F,"Cash")</f>
        <v>5280</v>
      </c>
      <c r="G34" s="1">
        <f>SUMIFS('フォームの回答 1'!$E:$E,'フォームの回答 1'!$B:$B,G32,'フォームの回答 1'!$H:$H,$A34,'フォームの回答 1'!$F:$F,"Cash")</f>
        <v>1700</v>
      </c>
      <c r="H34" s="1">
        <f>SUMIFS('フォームの回答 1'!$E:$E,'フォームの回答 1'!$B:$B,H32,'フォームの回答 1'!$H:$H,$A34,'フォームの回答 1'!$F:$F,"Cash")</f>
        <v>643</v>
      </c>
      <c r="I34" s="1">
        <f>SUMIFS('フォームの回答 1'!$E:$E,'フォームの回答 1'!$B:$B,I32,'フォームの回答 1'!$H:$H,$A34,'フォームの回答 1'!$F:$F,"Cash")</f>
        <v>990</v>
      </c>
      <c r="J34" s="1">
        <f>SUMIFS('フォームの回答 1'!$E:$E,'フォームの回答 1'!$B:$B,J32,'フォームの回答 1'!$H:$H,$A34,'フォームの回答 1'!$F:$F,"Cash")</f>
        <v>2355</v>
      </c>
      <c r="K34" s="1">
        <f>SUMIFS('フォームの回答 1'!$E:$E,'フォームの回答 1'!$B:$B,K32,'フォームの回答 1'!$H:$H,$A34,'フォームの回答 1'!$F:$F,"Cash")</f>
        <v>6786</v>
      </c>
      <c r="L34" s="1">
        <f>SUMIFS('フォームの回答 1'!$E:$E,'フォームの回答 1'!$B:$B,L32,'フォームの回答 1'!$H:$H,$A34,'フォームの回答 1'!$F:$F,"Cash")</f>
        <v>1511</v>
      </c>
      <c r="M34" s="1">
        <f>SUMIFS('フォームの回答 1'!$E:$E,'フォームの回答 1'!$B:$B,M32,'フォームの回答 1'!$H:$H,$A34,'フォームの回答 1'!$F:$F,"Cash")</f>
        <v>1410</v>
      </c>
      <c r="N34" s="1">
        <f>SUMIFS('フォームの回答 1'!$E:$E,'フォームの回答 1'!$B:$B,N32,'フォームの回答 1'!$H:$H,$A34,'フォームの回答 1'!$F:$F,"Cash")</f>
        <v>1707</v>
      </c>
      <c r="O34" s="1">
        <f>SUMIFS('フォームの回答 1'!$E:$E,'フォームの回答 1'!$B:$B,O32,'フォームの回答 1'!$H:$H,$A34,'フォームの回答 1'!$F:$F,"Cash")</f>
        <v>1415</v>
      </c>
      <c r="P34" s="1">
        <f>SUMIFS('フォームの回答 1'!$E:$E,'フォームの回答 1'!$B:$B,P32,'フォームの回答 1'!$H:$H,$A34,'フォームの回答 1'!$F:$F,"Cash")</f>
        <v>1310</v>
      </c>
      <c r="Q34" s="1">
        <f>SUMIFS('フォームの回答 1'!$E:$E,'フォームの回答 1'!$B:$B,Q32,'フォームの回答 1'!$H:$H,$A34,'フォームの回答 1'!$F:$F,"Cash")</f>
        <v>4846</v>
      </c>
      <c r="R34" s="1">
        <f>SUMIFS('フォームの回答 1'!$E:$E,'フォームの回答 1'!$B:$B,R32,'フォームの回答 1'!$H:$H,$A34,'フォームの回答 1'!$F:$F,"Cash")</f>
        <v>13527</v>
      </c>
      <c r="S34" s="1">
        <f>SUMIFS('フォームの回答 1'!$E:$E,'フォームの回答 1'!$B:$B,S32,'フォームの回答 1'!$H:$H,$A34,'フォームの回答 1'!$F:$F,"Cash")</f>
        <v>2652</v>
      </c>
      <c r="T34" s="1">
        <f>SUMIFS('フォームの回答 1'!$E:$E,'フォームの回答 1'!$B:$B,T32,'フォームの回答 1'!$H:$H,$A34,'フォームの回答 1'!$F:$F,"Cash")</f>
        <v>1555</v>
      </c>
      <c r="U34" s="1">
        <f>SUMIFS('フォームの回答 1'!$E:$E,'フォームの回答 1'!$B:$B,U32,'フォームの回答 1'!$H:$H,$A34,'フォームの回答 1'!$F:$F,"Cash")</f>
        <v>2044</v>
      </c>
      <c r="V34" s="1">
        <f>SUMIFS('フォームの回答 1'!$E:$E,'フォームの回答 1'!$B:$B,V32,'フォームの回答 1'!$H:$H,$A34,'フォームの回答 1'!$F:$F,"Cash")</f>
        <v>2294</v>
      </c>
      <c r="W34" s="1">
        <f>SUMIFS('フォームの回答 1'!$E:$E,'フォームの回答 1'!$B:$B,W32,'フォームの回答 1'!$H:$H,$A34,'フォームの回答 1'!$F:$F,"Cash")</f>
        <v>1090</v>
      </c>
      <c r="X34" s="1">
        <f>SUMIFS('フォームの回答 1'!$E:$E,'フォームの回答 1'!$B:$B,X32,'フォームの回答 1'!$H:$H,$A34,'フォームの回答 1'!$F:$F,"Cash")</f>
        <v>116</v>
      </c>
      <c r="Y34" s="1">
        <f>SUMIFS('フォームの回答 1'!$E:$E,'フォームの回答 1'!$B:$B,Y32,'フォームの回答 1'!$H:$H,$A34,'フォームの回答 1'!$F:$F,"Cash")</f>
        <v>1775</v>
      </c>
      <c r="Z34" s="1">
        <f>SUMIFS('フォームの回答 1'!$E:$E,'フォームの回答 1'!$B:$B,Z32,'フォームの回答 1'!$H:$H,$A34,'フォームの回答 1'!$F:$F,"Cash")</f>
        <v>1918</v>
      </c>
      <c r="AA34" s="1">
        <f>SUMIFS('フォームの回答 1'!$E:$E,'フォームの回答 1'!$B:$B,AA32,'フォームの回答 1'!$H:$H,$A34,'フォームの回答 1'!$F:$F,"Cash")</f>
        <v>2462</v>
      </c>
      <c r="AB34" s="1">
        <f>SUMIFS('フォームの回答 1'!$E:$E,'フォームの回答 1'!$B:$B,AB32,'フォームの回答 1'!$H:$H,$A34,'フォームの回答 1'!$F:$F,"Cash")</f>
        <v>1100</v>
      </c>
      <c r="AC34" s="1">
        <f>SUMIFS('フォームの回答 1'!$E:$E,'フォームの回答 1'!$B:$B,AC32,'フォームの回答 1'!$H:$H,$A34,'フォームの回答 1'!$F:$F,"Cash")+AJ31</f>
        <v>288998</v>
      </c>
      <c r="AD34" s="1">
        <f>SUMIFS('フォームの回答 1'!$E:$E,'フォームの回答 1'!$B:$B,AD32,'フォームの回答 1'!$H:$H,$A34,'フォームの回答 1'!$F:$F,"Cash")</f>
        <v>1769</v>
      </c>
      <c r="AE34" s="1">
        <f>SUMIFS('フォームの回答 1'!$E:$E,'フォームの回答 1'!$B:$B,AE32,'フォームの回答 1'!$H:$H,$A34,'フォームの回答 1'!$F:$F,"Cash")</f>
        <v>3247</v>
      </c>
      <c r="AF34" s="1">
        <f>SUMIFS('フォームの回答 1'!$E:$E,'フォームの回答 1'!$B:$B,AF32,'フォームの回答 1'!$H:$H,$A34,'フォームの回答 1'!$F:$F,"Cash")</f>
        <v>2841</v>
      </c>
      <c r="AG34" s="1">
        <f>SUMIFS('フォームの回答 1'!$E:$E,'フォームの回答 1'!$B:$B,AG32,'フォームの回答 1'!$H:$H,$A34,'フォームの回答 1'!$F:$F,"Cash")</f>
        <v>170</v>
      </c>
    </row>
    <row r="35" spans="1:33" ht="15.75" customHeight="1">
      <c r="A35" s="2" t="s">
        <v>32</v>
      </c>
      <c r="C35" s="1">
        <f>AF29+C33-C34</f>
        <v>50851</v>
      </c>
      <c r="D35" s="1">
        <f t="shared" ref="D35:AG35" si="5">C35+D33-D34</f>
        <v>49639</v>
      </c>
      <c r="E35" s="1">
        <f t="shared" si="5"/>
        <v>47272</v>
      </c>
      <c r="F35" s="1">
        <f t="shared" si="5"/>
        <v>41992</v>
      </c>
      <c r="G35" s="1">
        <f t="shared" si="5"/>
        <v>40292</v>
      </c>
      <c r="H35" s="1">
        <f t="shared" si="5"/>
        <v>57269</v>
      </c>
      <c r="I35" s="1">
        <f t="shared" si="5"/>
        <v>56279</v>
      </c>
      <c r="J35" s="1">
        <f t="shared" si="5"/>
        <v>53924</v>
      </c>
      <c r="K35" s="1">
        <f t="shared" si="5"/>
        <v>47138</v>
      </c>
      <c r="L35" s="1">
        <f t="shared" si="5"/>
        <v>45627</v>
      </c>
      <c r="M35" s="1">
        <f t="shared" si="5"/>
        <v>44217</v>
      </c>
      <c r="N35" s="1">
        <f t="shared" si="5"/>
        <v>42510</v>
      </c>
      <c r="O35" s="1">
        <f t="shared" si="5"/>
        <v>41095</v>
      </c>
      <c r="P35" s="1">
        <f t="shared" si="5"/>
        <v>39785</v>
      </c>
      <c r="Q35" s="1">
        <f t="shared" si="5"/>
        <v>34939</v>
      </c>
      <c r="R35" s="1">
        <f t="shared" si="5"/>
        <v>21412</v>
      </c>
      <c r="S35" s="1">
        <f t="shared" si="5"/>
        <v>18760</v>
      </c>
      <c r="T35" s="1">
        <f t="shared" si="5"/>
        <v>17205</v>
      </c>
      <c r="U35" s="1">
        <f t="shared" si="5"/>
        <v>15161</v>
      </c>
      <c r="V35" s="1">
        <f t="shared" si="5"/>
        <v>32867</v>
      </c>
      <c r="W35" s="1">
        <f t="shared" si="5"/>
        <v>31777</v>
      </c>
      <c r="X35" s="1">
        <f t="shared" si="5"/>
        <v>31661</v>
      </c>
      <c r="Y35" s="1">
        <f t="shared" si="5"/>
        <v>29886</v>
      </c>
      <c r="Z35" s="1">
        <f t="shared" si="5"/>
        <v>27968</v>
      </c>
      <c r="AA35" s="1">
        <f t="shared" si="5"/>
        <v>323395</v>
      </c>
      <c r="AB35" s="1">
        <f t="shared" si="5"/>
        <v>322295</v>
      </c>
      <c r="AC35" s="1">
        <f t="shared" si="5"/>
        <v>33297</v>
      </c>
      <c r="AD35" s="1">
        <f t="shared" si="5"/>
        <v>31528</v>
      </c>
      <c r="AE35" s="1">
        <f t="shared" si="5"/>
        <v>28281</v>
      </c>
      <c r="AF35" s="1">
        <f t="shared" si="5"/>
        <v>25440</v>
      </c>
      <c r="AG35" s="1">
        <f t="shared" si="5"/>
        <v>55270</v>
      </c>
    </row>
  </sheetData>
  <mergeCells count="6">
    <mergeCell ref="B31:AG31"/>
    <mergeCell ref="B1:AG1"/>
    <mergeCell ref="B7:AG7"/>
    <mergeCell ref="B13:AF13"/>
    <mergeCell ref="B19:AG19"/>
    <mergeCell ref="B25:AF25"/>
  </mergeCells>
  <phoneticPr fontId="4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I4234"/>
  <sheetViews>
    <sheetView tabSelected="1" workbookViewId="0">
      <pane ySplit="1" topLeftCell="A4092" activePane="bottomLeft" state="frozen"/>
      <selection pane="bottomLeft" activeCell="B4221" sqref="B4221"/>
    </sheetView>
  </sheetViews>
  <sheetFormatPr baseColWidth="10" defaultColWidth="12.6640625" defaultRowHeight="9" customHeight="1"/>
  <cols>
    <col min="1" max="15" width="18.83203125" customWidth="1"/>
  </cols>
  <sheetData>
    <row r="1" spans="1:9" ht="9" customHeight="1">
      <c r="A1" s="2" t="s">
        <v>90</v>
      </c>
      <c r="B1" s="2" t="s">
        <v>91</v>
      </c>
      <c r="C1" s="2" t="s">
        <v>92</v>
      </c>
      <c r="D1" s="2" t="s">
        <v>93</v>
      </c>
      <c r="E1" s="1" t="s">
        <v>2</v>
      </c>
      <c r="F1" s="2" t="s">
        <v>94</v>
      </c>
      <c r="G1" s="2" t="s">
        <v>95</v>
      </c>
      <c r="H1" s="2" t="s">
        <v>96</v>
      </c>
      <c r="I1" s="2" t="s">
        <v>97</v>
      </c>
    </row>
    <row r="2" spans="1:9" ht="13" hidden="1">
      <c r="A2" s="15">
        <v>45133.804154201389</v>
      </c>
      <c r="B2" s="16">
        <v>45127</v>
      </c>
      <c r="C2" s="2" t="s">
        <v>98</v>
      </c>
      <c r="E2" s="1">
        <v>72283</v>
      </c>
      <c r="H2" s="2" t="s">
        <v>34</v>
      </c>
    </row>
    <row r="3" spans="1:9" ht="13" hidden="1">
      <c r="A3" s="15">
        <v>45135.87136449074</v>
      </c>
      <c r="B3" s="16">
        <v>45127</v>
      </c>
      <c r="C3" s="2" t="s">
        <v>99</v>
      </c>
      <c r="D3" s="2" t="s">
        <v>40</v>
      </c>
      <c r="E3" s="2">
        <v>1000</v>
      </c>
      <c r="F3" s="2" t="s">
        <v>100</v>
      </c>
      <c r="H3" s="2" t="s">
        <v>35</v>
      </c>
    </row>
    <row r="4" spans="1:9" ht="13" hidden="1">
      <c r="A4" s="15">
        <v>45133.808943657408</v>
      </c>
      <c r="B4" s="16">
        <v>45127</v>
      </c>
      <c r="C4" s="2" t="s">
        <v>101</v>
      </c>
      <c r="D4" s="2" t="s">
        <v>38</v>
      </c>
      <c r="E4" s="1">
        <v>336</v>
      </c>
      <c r="F4" s="2" t="s">
        <v>102</v>
      </c>
      <c r="G4" s="2" t="s">
        <v>103</v>
      </c>
      <c r="H4" s="2" t="s">
        <v>35</v>
      </c>
    </row>
    <row r="5" spans="1:9" ht="13" hidden="1">
      <c r="A5" s="15">
        <v>45133.810392905092</v>
      </c>
      <c r="B5" s="16">
        <v>45127</v>
      </c>
      <c r="C5" s="2" t="s">
        <v>24</v>
      </c>
      <c r="D5" s="2" t="s">
        <v>49</v>
      </c>
      <c r="E5" s="1">
        <v>1100</v>
      </c>
      <c r="F5" s="2" t="s">
        <v>100</v>
      </c>
      <c r="H5" s="2" t="s">
        <v>35</v>
      </c>
    </row>
    <row r="6" spans="1:9" ht="13" hidden="1">
      <c r="A6" s="15">
        <v>45133.808075011577</v>
      </c>
      <c r="B6" s="16">
        <v>45127</v>
      </c>
      <c r="C6" s="2" t="s">
        <v>104</v>
      </c>
      <c r="D6" s="2" t="s">
        <v>45</v>
      </c>
      <c r="E6" s="1">
        <v>2485</v>
      </c>
      <c r="F6" s="2" t="s">
        <v>102</v>
      </c>
      <c r="H6" s="2" t="s">
        <v>35</v>
      </c>
    </row>
    <row r="7" spans="1:9" ht="13" hidden="1">
      <c r="A7" s="15">
        <v>45133.809287905096</v>
      </c>
      <c r="B7" s="16">
        <v>45127</v>
      </c>
      <c r="C7" s="2" t="s">
        <v>105</v>
      </c>
      <c r="D7" s="2" t="s">
        <v>40</v>
      </c>
      <c r="E7" s="1">
        <v>2500</v>
      </c>
      <c r="F7" s="2" t="s">
        <v>100</v>
      </c>
      <c r="H7" s="2" t="s">
        <v>35</v>
      </c>
    </row>
    <row r="8" spans="1:9" ht="13" hidden="1">
      <c r="A8" s="15">
        <v>45133.807477986113</v>
      </c>
      <c r="B8" s="16">
        <v>45127</v>
      </c>
      <c r="C8" s="2" t="s">
        <v>106</v>
      </c>
      <c r="D8" s="2" t="s">
        <v>38</v>
      </c>
      <c r="E8" s="1">
        <v>270</v>
      </c>
      <c r="F8" s="2" t="s">
        <v>102</v>
      </c>
      <c r="G8" s="2" t="s">
        <v>107</v>
      </c>
      <c r="H8" s="2" t="s">
        <v>35</v>
      </c>
    </row>
    <row r="9" spans="1:9" ht="13" hidden="1">
      <c r="A9" s="15">
        <v>45133.80365746528</v>
      </c>
      <c r="B9" s="16">
        <v>45127</v>
      </c>
      <c r="C9" s="2" t="s">
        <v>31</v>
      </c>
      <c r="E9" s="1">
        <v>207477</v>
      </c>
      <c r="H9" s="2" t="s">
        <v>34</v>
      </c>
    </row>
    <row r="10" spans="1:9" ht="13" hidden="1">
      <c r="A10" s="15">
        <v>45135.871920081016</v>
      </c>
      <c r="B10" s="16">
        <v>45127</v>
      </c>
      <c r="C10" s="2" t="s">
        <v>108</v>
      </c>
      <c r="D10" s="2" t="s">
        <v>40</v>
      </c>
      <c r="E10" s="2">
        <v>1300</v>
      </c>
      <c r="F10" s="2" t="s">
        <v>100</v>
      </c>
      <c r="H10" s="2" t="s">
        <v>35</v>
      </c>
    </row>
    <row r="11" spans="1:9" ht="13" hidden="1">
      <c r="A11" s="15">
        <v>45133.811112662035</v>
      </c>
      <c r="B11" s="16">
        <v>45128</v>
      </c>
      <c r="C11" s="2" t="s">
        <v>109</v>
      </c>
      <c r="D11" s="2" t="s">
        <v>38</v>
      </c>
      <c r="E11" s="1">
        <v>607</v>
      </c>
      <c r="F11" s="2" t="s">
        <v>102</v>
      </c>
      <c r="G11" s="2" t="s">
        <v>103</v>
      </c>
      <c r="H11" s="2" t="s">
        <v>35</v>
      </c>
    </row>
    <row r="12" spans="1:9" ht="13" hidden="1">
      <c r="A12" s="15">
        <v>45133.810759849541</v>
      </c>
      <c r="B12" s="16">
        <v>45128</v>
      </c>
      <c r="C12" s="2" t="s">
        <v>110</v>
      </c>
      <c r="D12" s="2" t="s">
        <v>38</v>
      </c>
      <c r="E12" s="1">
        <v>356</v>
      </c>
      <c r="F12" s="2" t="s">
        <v>102</v>
      </c>
      <c r="G12" s="2" t="s">
        <v>103</v>
      </c>
      <c r="H12" s="2" t="s">
        <v>35</v>
      </c>
    </row>
    <row r="13" spans="1:9" ht="13" hidden="1">
      <c r="A13" s="15">
        <v>45133.813517997682</v>
      </c>
      <c r="B13" s="16">
        <v>45129</v>
      </c>
      <c r="C13" s="2" t="s">
        <v>111</v>
      </c>
      <c r="D13" s="2" t="s">
        <v>38</v>
      </c>
      <c r="E13" s="1">
        <v>1350</v>
      </c>
      <c r="F13" s="2" t="s">
        <v>102</v>
      </c>
      <c r="H13" s="2" t="s">
        <v>35</v>
      </c>
    </row>
    <row r="14" spans="1:9" ht="13" hidden="1">
      <c r="A14" s="15">
        <v>45133.811930902782</v>
      </c>
      <c r="B14" s="16">
        <v>45129</v>
      </c>
      <c r="C14" s="2" t="s">
        <v>112</v>
      </c>
      <c r="D14" s="2" t="s">
        <v>38</v>
      </c>
      <c r="E14" s="1">
        <v>250</v>
      </c>
      <c r="F14" s="2" t="s">
        <v>100</v>
      </c>
      <c r="G14" s="2" t="s">
        <v>113</v>
      </c>
      <c r="H14" s="2" t="s">
        <v>35</v>
      </c>
    </row>
    <row r="15" spans="1:9" ht="13" hidden="1">
      <c r="A15" s="15">
        <v>45133.814252071759</v>
      </c>
      <c r="B15" s="16">
        <v>45129</v>
      </c>
      <c r="C15" s="2" t="s">
        <v>114</v>
      </c>
      <c r="D15" s="2" t="s">
        <v>38</v>
      </c>
      <c r="E15" s="1">
        <v>320</v>
      </c>
      <c r="F15" s="2" t="s">
        <v>102</v>
      </c>
      <c r="G15" s="2" t="s">
        <v>107</v>
      </c>
      <c r="H15" s="2" t="s">
        <v>35</v>
      </c>
    </row>
    <row r="16" spans="1:9" ht="13" hidden="1">
      <c r="A16" s="15">
        <v>45133.813912002312</v>
      </c>
      <c r="B16" s="16">
        <v>45129</v>
      </c>
      <c r="C16" s="2" t="s">
        <v>115</v>
      </c>
      <c r="D16" s="2" t="s">
        <v>45</v>
      </c>
      <c r="E16" s="1">
        <v>577</v>
      </c>
      <c r="F16" s="2" t="s">
        <v>102</v>
      </c>
      <c r="H16" s="2" t="s">
        <v>35</v>
      </c>
    </row>
    <row r="17" spans="1:8" ht="13" hidden="1">
      <c r="A17" s="15">
        <v>45133.81491306713</v>
      </c>
      <c r="B17" s="16">
        <v>45129</v>
      </c>
      <c r="C17" s="2" t="s">
        <v>116</v>
      </c>
      <c r="D17" s="2" t="s">
        <v>38</v>
      </c>
      <c r="E17" s="1">
        <v>963</v>
      </c>
      <c r="F17" s="2" t="s">
        <v>102</v>
      </c>
      <c r="G17" s="2" t="s">
        <v>117</v>
      </c>
      <c r="H17" s="2" t="s">
        <v>35</v>
      </c>
    </row>
    <row r="18" spans="1:8" ht="13" hidden="1">
      <c r="A18" s="15">
        <v>45135.872474560187</v>
      </c>
      <c r="B18" s="16">
        <v>45129</v>
      </c>
      <c r="C18" s="2" t="s">
        <v>118</v>
      </c>
      <c r="D18" s="2" t="s">
        <v>40</v>
      </c>
      <c r="E18" s="2">
        <v>1300</v>
      </c>
      <c r="F18" s="2" t="s">
        <v>100</v>
      </c>
      <c r="H18" s="2" t="s">
        <v>35</v>
      </c>
    </row>
    <row r="19" spans="1:8" ht="13" hidden="1">
      <c r="A19" s="15">
        <v>45133.811516516202</v>
      </c>
      <c r="B19" s="16">
        <v>45129</v>
      </c>
      <c r="C19" s="2" t="s">
        <v>110</v>
      </c>
      <c r="D19" s="2" t="s">
        <v>38</v>
      </c>
      <c r="E19" s="1">
        <v>475</v>
      </c>
      <c r="F19" s="2" t="s">
        <v>102</v>
      </c>
      <c r="G19" s="2" t="s">
        <v>103</v>
      </c>
      <c r="H19" s="2" t="s">
        <v>35</v>
      </c>
    </row>
    <row r="20" spans="1:8" ht="13" hidden="1">
      <c r="A20" s="15">
        <v>45135.872904560187</v>
      </c>
      <c r="B20" s="16">
        <v>45130</v>
      </c>
      <c r="C20" s="2" t="s">
        <v>99</v>
      </c>
      <c r="D20" s="2" t="s">
        <v>40</v>
      </c>
      <c r="E20" s="2">
        <v>1000</v>
      </c>
      <c r="F20" s="2" t="s">
        <v>100</v>
      </c>
      <c r="H20" s="2" t="s">
        <v>35</v>
      </c>
    </row>
    <row r="21" spans="1:8" ht="13" hidden="1">
      <c r="A21" s="15">
        <v>45133.815873321757</v>
      </c>
      <c r="B21" s="16">
        <v>45130</v>
      </c>
      <c r="C21" s="2" t="s">
        <v>119</v>
      </c>
      <c r="D21" s="2" t="s">
        <v>38</v>
      </c>
      <c r="E21" s="1">
        <v>333</v>
      </c>
      <c r="F21" s="2" t="s">
        <v>102</v>
      </c>
      <c r="G21" s="2" t="s">
        <v>107</v>
      </c>
      <c r="H21" s="2" t="s">
        <v>35</v>
      </c>
    </row>
    <row r="22" spans="1:8" ht="13" hidden="1">
      <c r="A22" s="15">
        <v>45133.815542141208</v>
      </c>
      <c r="B22" s="16">
        <v>45130</v>
      </c>
      <c r="C22" s="2" t="s">
        <v>120</v>
      </c>
      <c r="D22" s="2" t="s">
        <v>39</v>
      </c>
      <c r="E22" s="1">
        <v>4000</v>
      </c>
      <c r="F22" s="2" t="s">
        <v>102</v>
      </c>
      <c r="H22" s="2" t="s">
        <v>35</v>
      </c>
    </row>
    <row r="23" spans="1:8" ht="13" hidden="1">
      <c r="A23" s="15">
        <v>45133.816826944443</v>
      </c>
      <c r="B23" s="16">
        <v>45131</v>
      </c>
      <c r="C23" s="2" t="s">
        <v>121</v>
      </c>
      <c r="D23" s="2" t="s">
        <v>39</v>
      </c>
      <c r="E23" s="1">
        <v>216</v>
      </c>
      <c r="F23" s="2" t="s">
        <v>102</v>
      </c>
      <c r="G23" s="2" t="s">
        <v>103</v>
      </c>
      <c r="H23" s="2" t="s">
        <v>35</v>
      </c>
    </row>
    <row r="24" spans="1:8" ht="13" hidden="1">
      <c r="A24" s="15">
        <v>45133.817197766199</v>
      </c>
      <c r="B24" s="16">
        <v>45131</v>
      </c>
      <c r="C24" s="2" t="s">
        <v>122</v>
      </c>
      <c r="D24" s="2" t="s">
        <v>38</v>
      </c>
      <c r="E24" s="1">
        <v>600</v>
      </c>
      <c r="F24" s="2" t="s">
        <v>102</v>
      </c>
      <c r="H24" s="2" t="s">
        <v>35</v>
      </c>
    </row>
    <row r="25" spans="1:8" ht="13" hidden="1">
      <c r="A25" s="15">
        <v>45133.819355312502</v>
      </c>
      <c r="B25" s="16">
        <v>45132</v>
      </c>
      <c r="C25" s="2" t="s">
        <v>123</v>
      </c>
      <c r="D25" s="2" t="s">
        <v>38</v>
      </c>
      <c r="E25" s="1">
        <v>400</v>
      </c>
      <c r="F25" s="2" t="s">
        <v>102</v>
      </c>
      <c r="G25" s="2" t="s">
        <v>107</v>
      </c>
      <c r="H25" s="2" t="s">
        <v>35</v>
      </c>
    </row>
    <row r="26" spans="1:8" ht="13" hidden="1">
      <c r="A26" s="15">
        <v>45133.817773437499</v>
      </c>
      <c r="B26" s="16">
        <v>45132</v>
      </c>
      <c r="C26" s="2" t="s">
        <v>124</v>
      </c>
      <c r="D26" s="2" t="s">
        <v>45</v>
      </c>
      <c r="E26" s="1">
        <v>300</v>
      </c>
      <c r="F26" s="2" t="s">
        <v>102</v>
      </c>
      <c r="G26" s="2" t="s">
        <v>117</v>
      </c>
      <c r="H26" s="2" t="s">
        <v>35</v>
      </c>
    </row>
    <row r="27" spans="1:8" ht="13" hidden="1">
      <c r="A27" s="15">
        <v>45133.818291354168</v>
      </c>
      <c r="B27" s="16">
        <v>45132</v>
      </c>
      <c r="C27" s="2" t="s">
        <v>125</v>
      </c>
      <c r="D27" s="2" t="s">
        <v>38</v>
      </c>
      <c r="E27" s="1">
        <v>1040</v>
      </c>
      <c r="F27" s="2" t="s">
        <v>102</v>
      </c>
      <c r="H27" s="2" t="s">
        <v>35</v>
      </c>
    </row>
    <row r="28" spans="1:8" ht="13" hidden="1">
      <c r="A28" s="15">
        <v>45133.820184571756</v>
      </c>
      <c r="B28" s="16">
        <v>45132</v>
      </c>
      <c r="C28" s="2" t="s">
        <v>126</v>
      </c>
      <c r="D28" s="2" t="s">
        <v>38</v>
      </c>
      <c r="E28" s="1">
        <v>640</v>
      </c>
      <c r="F28" s="2" t="s">
        <v>102</v>
      </c>
      <c r="H28" s="2" t="s">
        <v>35</v>
      </c>
    </row>
    <row r="29" spans="1:8" ht="13" hidden="1">
      <c r="A29" s="15">
        <v>45133.818050706017</v>
      </c>
      <c r="B29" s="16">
        <v>45132</v>
      </c>
      <c r="C29" s="2" t="s">
        <v>127</v>
      </c>
      <c r="D29" s="2" t="s">
        <v>45</v>
      </c>
      <c r="E29" s="1">
        <v>690</v>
      </c>
      <c r="F29" s="2" t="s">
        <v>102</v>
      </c>
      <c r="H29" s="2" t="s">
        <v>35</v>
      </c>
    </row>
    <row r="30" spans="1:8" ht="13" hidden="1">
      <c r="A30" s="15">
        <v>45143.645334675923</v>
      </c>
      <c r="B30" s="16">
        <v>45133</v>
      </c>
      <c r="C30" s="2" t="s">
        <v>128</v>
      </c>
      <c r="D30" s="2" t="s">
        <v>45</v>
      </c>
      <c r="E30" s="2">
        <v>157</v>
      </c>
      <c r="F30" s="2" t="s">
        <v>100</v>
      </c>
      <c r="G30" s="2" t="s">
        <v>129</v>
      </c>
      <c r="H30" s="2" t="s">
        <v>35</v>
      </c>
    </row>
    <row r="31" spans="1:8" ht="13" hidden="1">
      <c r="A31" s="15">
        <v>45143.646203171302</v>
      </c>
      <c r="B31" s="16">
        <v>45133</v>
      </c>
      <c r="C31" s="2" t="s">
        <v>130</v>
      </c>
      <c r="D31" s="2" t="s">
        <v>45</v>
      </c>
      <c r="E31" s="2">
        <v>791</v>
      </c>
      <c r="F31" s="2" t="s">
        <v>100</v>
      </c>
      <c r="G31" s="2" t="s">
        <v>129</v>
      </c>
      <c r="H31" s="2" t="s">
        <v>35</v>
      </c>
    </row>
    <row r="32" spans="1:8" ht="13" hidden="1">
      <c r="A32" s="15">
        <v>45133.820657152777</v>
      </c>
      <c r="B32" s="16">
        <v>45133</v>
      </c>
      <c r="C32" s="2" t="s">
        <v>131</v>
      </c>
      <c r="D32" s="2" t="s">
        <v>44</v>
      </c>
      <c r="E32" s="1">
        <v>7570</v>
      </c>
      <c r="F32" s="2" t="s">
        <v>100</v>
      </c>
      <c r="G32" s="2" t="s">
        <v>132</v>
      </c>
      <c r="H32" s="2" t="s">
        <v>35</v>
      </c>
    </row>
    <row r="33" spans="1:8" ht="13" hidden="1">
      <c r="A33" s="15">
        <v>45133.761331539354</v>
      </c>
      <c r="B33" s="16">
        <v>45133</v>
      </c>
      <c r="C33" s="2" t="s">
        <v>133</v>
      </c>
      <c r="D33" s="2" t="s">
        <v>47</v>
      </c>
      <c r="E33" s="1">
        <v>14000</v>
      </c>
      <c r="F33" s="2" t="s">
        <v>102</v>
      </c>
      <c r="H33" s="2" t="s">
        <v>35</v>
      </c>
    </row>
    <row r="34" spans="1:8" ht="13" hidden="1">
      <c r="A34" s="15">
        <v>45143.645782673615</v>
      </c>
      <c r="B34" s="16">
        <v>45133</v>
      </c>
      <c r="C34" s="2" t="s">
        <v>134</v>
      </c>
      <c r="D34" s="2" t="s">
        <v>45</v>
      </c>
      <c r="E34" s="2">
        <v>567</v>
      </c>
      <c r="F34" s="2" t="s">
        <v>100</v>
      </c>
      <c r="G34" s="2" t="s">
        <v>129</v>
      </c>
      <c r="H34" s="2" t="s">
        <v>35</v>
      </c>
    </row>
    <row r="35" spans="1:8" ht="13" hidden="1">
      <c r="A35" s="15">
        <v>45135.864484953709</v>
      </c>
      <c r="B35" s="16">
        <v>45134</v>
      </c>
      <c r="C35" s="2" t="s">
        <v>135</v>
      </c>
      <c r="D35" s="2" t="s">
        <v>45</v>
      </c>
      <c r="E35" s="2">
        <v>220</v>
      </c>
      <c r="F35" s="2" t="s">
        <v>102</v>
      </c>
      <c r="G35" s="2" t="s">
        <v>136</v>
      </c>
      <c r="H35" s="2" t="s">
        <v>35</v>
      </c>
    </row>
    <row r="36" spans="1:8" ht="13" hidden="1">
      <c r="A36" s="15">
        <v>45135.865481134257</v>
      </c>
      <c r="B36" s="16">
        <v>45134</v>
      </c>
      <c r="C36" s="2" t="s">
        <v>137</v>
      </c>
      <c r="D36" s="2" t="s">
        <v>45</v>
      </c>
      <c r="E36" s="2">
        <v>1104</v>
      </c>
      <c r="F36" s="2" t="s">
        <v>102</v>
      </c>
      <c r="G36" s="2" t="s">
        <v>136</v>
      </c>
      <c r="H36" s="2" t="s">
        <v>35</v>
      </c>
    </row>
    <row r="37" spans="1:8" ht="13" hidden="1">
      <c r="A37" s="15">
        <v>45133.845810949075</v>
      </c>
      <c r="B37" s="16">
        <v>45134</v>
      </c>
      <c r="C37" s="2" t="s">
        <v>138</v>
      </c>
      <c r="D37" s="2" t="s">
        <v>5</v>
      </c>
      <c r="E37" s="1">
        <v>35820</v>
      </c>
      <c r="F37" s="2" t="s">
        <v>102</v>
      </c>
      <c r="H37" s="2" t="s">
        <v>35</v>
      </c>
    </row>
    <row r="38" spans="1:8" ht="13" hidden="1">
      <c r="A38" s="15">
        <v>45135.864846157405</v>
      </c>
      <c r="B38" s="16">
        <v>45134</v>
      </c>
      <c r="C38" s="2" t="s">
        <v>139</v>
      </c>
      <c r="D38" s="2" t="s">
        <v>38</v>
      </c>
      <c r="E38" s="2">
        <v>138</v>
      </c>
      <c r="F38" s="2" t="s">
        <v>102</v>
      </c>
      <c r="G38" s="2" t="s">
        <v>107</v>
      </c>
      <c r="H38" s="2" t="s">
        <v>35</v>
      </c>
    </row>
    <row r="39" spans="1:8" ht="13" hidden="1">
      <c r="A39" s="15">
        <v>45141.933071747684</v>
      </c>
      <c r="B39" s="16">
        <v>45134</v>
      </c>
      <c r="C39" s="2" t="s">
        <v>133</v>
      </c>
      <c r="D39" s="2" t="s">
        <v>47</v>
      </c>
      <c r="E39" s="2">
        <v>14000</v>
      </c>
      <c r="F39" s="2" t="s">
        <v>102</v>
      </c>
      <c r="H39" s="2" t="s">
        <v>35</v>
      </c>
    </row>
    <row r="40" spans="1:8" ht="13" hidden="1">
      <c r="A40" s="15">
        <v>45143.648257187495</v>
      </c>
      <c r="B40" s="16">
        <v>45134</v>
      </c>
      <c r="C40" s="2" t="s">
        <v>140</v>
      </c>
      <c r="D40" s="2" t="s">
        <v>38</v>
      </c>
      <c r="E40" s="2">
        <v>3150</v>
      </c>
      <c r="F40" s="2" t="s">
        <v>100</v>
      </c>
      <c r="H40" s="2" t="s">
        <v>35</v>
      </c>
    </row>
    <row r="41" spans="1:8" ht="13" hidden="1">
      <c r="A41" s="15">
        <v>45133.857349965278</v>
      </c>
      <c r="B41" s="16">
        <v>45134</v>
      </c>
      <c r="C41" s="2" t="s">
        <v>141</v>
      </c>
      <c r="D41" s="2" t="s">
        <v>50</v>
      </c>
      <c r="E41" s="1">
        <v>146365</v>
      </c>
      <c r="F41" s="2" t="s">
        <v>102</v>
      </c>
      <c r="H41" s="2" t="s">
        <v>35</v>
      </c>
    </row>
    <row r="42" spans="1:8" ht="13" hidden="1">
      <c r="A42" s="15">
        <v>45133.844761585649</v>
      </c>
      <c r="B42" s="16">
        <v>45134</v>
      </c>
      <c r="C42" s="2" t="s">
        <v>142</v>
      </c>
      <c r="D42" s="2" t="s">
        <v>45</v>
      </c>
      <c r="E42" s="1">
        <v>7480</v>
      </c>
      <c r="F42" s="2" t="s">
        <v>102</v>
      </c>
      <c r="H42" s="2" t="s">
        <v>35</v>
      </c>
    </row>
    <row r="43" spans="1:8" ht="13" hidden="1">
      <c r="A43" s="15">
        <v>45143.647817407407</v>
      </c>
      <c r="B43" s="16">
        <v>45134</v>
      </c>
      <c r="C43" s="2" t="s">
        <v>143</v>
      </c>
      <c r="D43" s="2" t="s">
        <v>40</v>
      </c>
      <c r="E43" s="2">
        <v>1000</v>
      </c>
      <c r="F43" s="2" t="s">
        <v>100</v>
      </c>
      <c r="H43" s="2" t="s">
        <v>35</v>
      </c>
    </row>
    <row r="44" spans="1:8" ht="13" hidden="1">
      <c r="A44" s="15">
        <v>45143.648961990737</v>
      </c>
      <c r="B44" s="16">
        <v>45134</v>
      </c>
      <c r="C44" s="2" t="s">
        <v>143</v>
      </c>
      <c r="D44" s="2" t="s">
        <v>40</v>
      </c>
      <c r="E44" s="2">
        <v>1000</v>
      </c>
      <c r="F44" s="2" t="s">
        <v>100</v>
      </c>
      <c r="H44" s="2" t="s">
        <v>35</v>
      </c>
    </row>
    <row r="45" spans="1:8" ht="13" hidden="1">
      <c r="A45" s="15">
        <v>45135.865961643518</v>
      </c>
      <c r="B45" s="16">
        <v>45134</v>
      </c>
      <c r="C45" s="2" t="s">
        <v>144</v>
      </c>
      <c r="D45" s="2" t="s">
        <v>38</v>
      </c>
      <c r="E45" s="2">
        <v>411</v>
      </c>
      <c r="F45" s="2" t="s">
        <v>102</v>
      </c>
      <c r="G45" s="2" t="s">
        <v>145</v>
      </c>
      <c r="H45" s="2" t="s">
        <v>35</v>
      </c>
    </row>
    <row r="46" spans="1:8" ht="13" hidden="1">
      <c r="A46" s="15">
        <v>45135.864107152782</v>
      </c>
      <c r="B46" s="16">
        <v>45134</v>
      </c>
      <c r="C46" s="2" t="s">
        <v>114</v>
      </c>
      <c r="D46" s="2" t="s">
        <v>38</v>
      </c>
      <c r="E46" s="2">
        <v>127</v>
      </c>
      <c r="F46" s="2" t="s">
        <v>102</v>
      </c>
      <c r="G46" s="2" t="s">
        <v>107</v>
      </c>
      <c r="H46" s="2" t="s">
        <v>35</v>
      </c>
    </row>
    <row r="47" spans="1:8" ht="13" hidden="1">
      <c r="A47" s="15">
        <v>45133.821101423615</v>
      </c>
      <c r="B47" s="16">
        <v>45134</v>
      </c>
      <c r="C47" s="2" t="s">
        <v>146</v>
      </c>
      <c r="D47" s="2" t="s">
        <v>47</v>
      </c>
      <c r="E47" s="1">
        <v>3400</v>
      </c>
      <c r="F47" s="2" t="s">
        <v>102</v>
      </c>
      <c r="H47" s="2" t="s">
        <v>35</v>
      </c>
    </row>
    <row r="48" spans="1:8" ht="13" hidden="1">
      <c r="A48" s="15">
        <v>45133.858325069443</v>
      </c>
      <c r="B48" s="16">
        <v>45134</v>
      </c>
      <c r="C48" s="2" t="s">
        <v>147</v>
      </c>
      <c r="D48" s="2" t="s">
        <v>50</v>
      </c>
      <c r="E48" s="1">
        <v>10607</v>
      </c>
      <c r="F48" s="2" t="s">
        <v>102</v>
      </c>
      <c r="H48" s="2" t="s">
        <v>35</v>
      </c>
    </row>
    <row r="49" spans="1:8" ht="13" hidden="1">
      <c r="A49" s="15">
        <v>45135.863361898148</v>
      </c>
      <c r="B49" s="16">
        <v>45134</v>
      </c>
      <c r="C49" s="2" t="s">
        <v>148</v>
      </c>
      <c r="D49" s="2" t="s">
        <v>39</v>
      </c>
      <c r="E49" s="2">
        <v>800</v>
      </c>
      <c r="F49" s="2" t="s">
        <v>102</v>
      </c>
      <c r="G49" s="2" t="s">
        <v>113</v>
      </c>
      <c r="H49" s="2" t="s">
        <v>35</v>
      </c>
    </row>
    <row r="50" spans="1:8" ht="13" hidden="1">
      <c r="A50" s="15">
        <v>45143.648665567132</v>
      </c>
      <c r="B50" s="16">
        <v>45134</v>
      </c>
      <c r="C50" s="2" t="s">
        <v>116</v>
      </c>
      <c r="D50" s="2" t="s">
        <v>38</v>
      </c>
      <c r="E50" s="2">
        <v>1678</v>
      </c>
      <c r="F50" s="2" t="s">
        <v>100</v>
      </c>
      <c r="G50" s="2" t="s">
        <v>145</v>
      </c>
      <c r="H50" s="2" t="s">
        <v>35</v>
      </c>
    </row>
    <row r="51" spans="1:8" ht="13" hidden="1">
      <c r="A51" s="15">
        <v>45133.845174201386</v>
      </c>
      <c r="B51" s="16">
        <v>45134</v>
      </c>
      <c r="C51" s="2" t="s">
        <v>9</v>
      </c>
      <c r="D51" s="2" t="s">
        <v>47</v>
      </c>
      <c r="E51" s="1">
        <v>13600</v>
      </c>
      <c r="F51" s="2" t="s">
        <v>102</v>
      </c>
      <c r="H51" s="2" t="s">
        <v>35</v>
      </c>
    </row>
    <row r="52" spans="1:8" ht="13" hidden="1">
      <c r="A52" s="15">
        <v>45143.64690521991</v>
      </c>
      <c r="B52" s="16">
        <v>45134</v>
      </c>
      <c r="C52" s="2" t="s">
        <v>149</v>
      </c>
      <c r="D52" s="2" t="s">
        <v>45</v>
      </c>
      <c r="E52" s="2">
        <v>3298</v>
      </c>
      <c r="F52" s="2" t="s">
        <v>100</v>
      </c>
      <c r="G52" s="2" t="s">
        <v>150</v>
      </c>
      <c r="H52" s="2" t="s">
        <v>35</v>
      </c>
    </row>
    <row r="53" spans="1:8" ht="13" hidden="1">
      <c r="A53" s="15">
        <v>45143.647352094908</v>
      </c>
      <c r="B53" s="16">
        <v>45134</v>
      </c>
      <c r="C53" s="2" t="s">
        <v>151</v>
      </c>
      <c r="D53" s="2" t="s">
        <v>152</v>
      </c>
      <c r="E53" s="2">
        <v>1000</v>
      </c>
      <c r="F53" s="2" t="s">
        <v>100</v>
      </c>
      <c r="H53" s="2" t="s">
        <v>35</v>
      </c>
    </row>
    <row r="54" spans="1:8" ht="13" hidden="1">
      <c r="A54" s="15">
        <v>45135.869133101849</v>
      </c>
      <c r="B54" s="16">
        <v>45135</v>
      </c>
      <c r="C54" s="2" t="s">
        <v>153</v>
      </c>
      <c r="D54" s="2" t="s">
        <v>152</v>
      </c>
      <c r="E54" s="2">
        <v>6100</v>
      </c>
      <c r="F54" s="2" t="s">
        <v>102</v>
      </c>
      <c r="H54" s="2" t="s">
        <v>35</v>
      </c>
    </row>
    <row r="55" spans="1:8" ht="13" hidden="1">
      <c r="A55" s="15">
        <v>45136.692311064813</v>
      </c>
      <c r="B55" s="16">
        <v>45135</v>
      </c>
      <c r="C55" s="2" t="s">
        <v>154</v>
      </c>
      <c r="D55" s="2" t="s">
        <v>38</v>
      </c>
      <c r="E55" s="2">
        <v>500</v>
      </c>
      <c r="F55" s="2" t="s">
        <v>102</v>
      </c>
      <c r="H55" s="2" t="s">
        <v>35</v>
      </c>
    </row>
    <row r="56" spans="1:8" ht="13" hidden="1">
      <c r="A56" s="15">
        <v>45144.899356898153</v>
      </c>
      <c r="B56" s="16">
        <v>45135</v>
      </c>
      <c r="C56" s="2" t="s">
        <v>155</v>
      </c>
      <c r="D56" s="2" t="s">
        <v>39</v>
      </c>
      <c r="E56" s="2">
        <v>300</v>
      </c>
      <c r="F56" s="2" t="s">
        <v>100</v>
      </c>
      <c r="H56" s="2" t="s">
        <v>35</v>
      </c>
    </row>
    <row r="57" spans="1:8" ht="13" hidden="1">
      <c r="A57" s="15">
        <v>45135.866612291662</v>
      </c>
      <c r="B57" s="16">
        <v>45135</v>
      </c>
      <c r="C57" s="2" t="s">
        <v>156</v>
      </c>
      <c r="D57" s="2" t="s">
        <v>45</v>
      </c>
      <c r="E57" s="2">
        <v>2090</v>
      </c>
      <c r="F57" s="2" t="s">
        <v>102</v>
      </c>
      <c r="G57" s="2" t="s">
        <v>136</v>
      </c>
      <c r="H57" s="2" t="s">
        <v>35</v>
      </c>
    </row>
    <row r="58" spans="1:8" ht="13" hidden="1">
      <c r="A58" s="15">
        <v>45135.868693993056</v>
      </c>
      <c r="B58" s="16">
        <v>45135</v>
      </c>
      <c r="C58" s="2" t="s">
        <v>157</v>
      </c>
      <c r="E58" s="2">
        <v>4800</v>
      </c>
      <c r="H58" s="2" t="s">
        <v>34</v>
      </c>
    </row>
    <row r="59" spans="1:8" ht="13" hidden="1">
      <c r="A59" s="15">
        <v>45144.898194861111</v>
      </c>
      <c r="B59" s="16">
        <v>45135</v>
      </c>
      <c r="C59" s="2" t="s">
        <v>158</v>
      </c>
      <c r="D59" s="2" t="s">
        <v>49</v>
      </c>
      <c r="E59" s="2">
        <v>4980</v>
      </c>
      <c r="F59" s="2" t="s">
        <v>100</v>
      </c>
      <c r="G59" s="2" t="s">
        <v>159</v>
      </c>
      <c r="H59" s="2" t="s">
        <v>35</v>
      </c>
    </row>
    <row r="60" spans="1:8" ht="13" hidden="1">
      <c r="A60" s="15">
        <v>45135.867062453704</v>
      </c>
      <c r="B60" s="16">
        <v>45135</v>
      </c>
      <c r="C60" s="2" t="s">
        <v>116</v>
      </c>
      <c r="D60" s="2" t="s">
        <v>38</v>
      </c>
      <c r="E60" s="2">
        <v>1945</v>
      </c>
      <c r="F60" s="2" t="s">
        <v>102</v>
      </c>
      <c r="G60" s="2" t="s">
        <v>145</v>
      </c>
      <c r="H60" s="2" t="s">
        <v>35</v>
      </c>
    </row>
    <row r="61" spans="1:8" ht="13" hidden="1">
      <c r="A61" s="15">
        <v>45135.867992592597</v>
      </c>
      <c r="B61" s="16">
        <v>45135</v>
      </c>
      <c r="C61" s="2" t="s">
        <v>116</v>
      </c>
      <c r="D61" s="2" t="s">
        <v>38</v>
      </c>
      <c r="E61" s="2">
        <v>1200</v>
      </c>
      <c r="F61" s="2" t="s">
        <v>102</v>
      </c>
      <c r="G61" s="2" t="s">
        <v>145</v>
      </c>
      <c r="H61" s="2" t="s">
        <v>35</v>
      </c>
    </row>
    <row r="62" spans="1:8" ht="13" hidden="1">
      <c r="A62" s="15">
        <v>45135.86759760417</v>
      </c>
      <c r="B62" s="16">
        <v>45135</v>
      </c>
      <c r="C62" s="2" t="s">
        <v>160</v>
      </c>
      <c r="D62" s="2" t="s">
        <v>45</v>
      </c>
      <c r="E62" s="2">
        <v>2603</v>
      </c>
      <c r="F62" s="2" t="s">
        <v>100</v>
      </c>
      <c r="G62" s="2" t="s">
        <v>161</v>
      </c>
      <c r="H62" s="2" t="s">
        <v>35</v>
      </c>
    </row>
    <row r="63" spans="1:8" ht="13" hidden="1">
      <c r="A63" s="15">
        <v>45136.692619317131</v>
      </c>
      <c r="B63" s="16">
        <v>45136</v>
      </c>
      <c r="C63" s="2" t="s">
        <v>162</v>
      </c>
      <c r="D63" s="2" t="s">
        <v>38</v>
      </c>
      <c r="E63" s="2">
        <v>805</v>
      </c>
      <c r="F63" s="2" t="s">
        <v>102</v>
      </c>
      <c r="H63" s="2" t="s">
        <v>35</v>
      </c>
    </row>
    <row r="64" spans="1:8" ht="13" hidden="1">
      <c r="A64" s="15">
        <v>45137.929630243059</v>
      </c>
      <c r="B64" s="16">
        <v>45136</v>
      </c>
      <c r="C64" s="2" t="s">
        <v>163</v>
      </c>
      <c r="D64" s="2" t="s">
        <v>38</v>
      </c>
      <c r="E64" s="2">
        <v>1680</v>
      </c>
      <c r="F64" s="2" t="s">
        <v>102</v>
      </c>
      <c r="G64" s="2" t="s">
        <v>164</v>
      </c>
      <c r="H64" s="2" t="s">
        <v>35</v>
      </c>
    </row>
    <row r="65" spans="1:8" ht="13" hidden="1">
      <c r="A65" s="15">
        <v>45144.900407615743</v>
      </c>
      <c r="B65" s="16">
        <v>45136</v>
      </c>
      <c r="C65" s="2" t="s">
        <v>165</v>
      </c>
      <c r="D65" s="2" t="s">
        <v>45</v>
      </c>
      <c r="E65" s="2">
        <v>4990</v>
      </c>
      <c r="F65" s="2" t="s">
        <v>100</v>
      </c>
      <c r="G65" s="2" t="s">
        <v>129</v>
      </c>
      <c r="H65" s="2" t="s">
        <v>35</v>
      </c>
    </row>
    <row r="66" spans="1:8" ht="13" hidden="1">
      <c r="A66" s="15">
        <v>45144.899912858797</v>
      </c>
      <c r="B66" s="16">
        <v>45136</v>
      </c>
      <c r="C66" s="2" t="s">
        <v>166</v>
      </c>
      <c r="D66" s="2" t="s">
        <v>45</v>
      </c>
      <c r="E66" s="2">
        <v>7179</v>
      </c>
      <c r="F66" s="2" t="s">
        <v>100</v>
      </c>
      <c r="G66" s="2" t="s">
        <v>129</v>
      </c>
      <c r="H66" s="2" t="s">
        <v>35</v>
      </c>
    </row>
    <row r="67" spans="1:8" ht="13" hidden="1">
      <c r="A67" s="15">
        <v>45137.930058206017</v>
      </c>
      <c r="B67" s="16">
        <v>45136</v>
      </c>
      <c r="C67" s="2" t="s">
        <v>116</v>
      </c>
      <c r="D67" s="2" t="s">
        <v>38</v>
      </c>
      <c r="E67" s="2">
        <v>2833</v>
      </c>
      <c r="F67" s="2" t="s">
        <v>102</v>
      </c>
      <c r="G67" s="2" t="s">
        <v>145</v>
      </c>
      <c r="H67" s="2" t="s">
        <v>35</v>
      </c>
    </row>
    <row r="68" spans="1:8" ht="13" hidden="1">
      <c r="A68" s="15">
        <v>45144.900925451388</v>
      </c>
      <c r="B68" s="16">
        <v>45136</v>
      </c>
      <c r="C68" s="2" t="s">
        <v>167</v>
      </c>
      <c r="D68" s="2" t="s">
        <v>45</v>
      </c>
      <c r="E68" s="2">
        <v>5739</v>
      </c>
      <c r="F68" s="2" t="s">
        <v>100</v>
      </c>
      <c r="G68" s="2" t="s">
        <v>150</v>
      </c>
      <c r="H68" s="2" t="s">
        <v>35</v>
      </c>
    </row>
    <row r="69" spans="1:8" ht="13" hidden="1">
      <c r="A69" s="15">
        <v>45137.930401793987</v>
      </c>
      <c r="B69" s="16">
        <v>45137</v>
      </c>
      <c r="C69" s="2" t="s">
        <v>168</v>
      </c>
      <c r="D69" s="2" t="s">
        <v>45</v>
      </c>
      <c r="E69" s="2">
        <v>220</v>
      </c>
      <c r="F69" s="2" t="s">
        <v>102</v>
      </c>
      <c r="G69" s="2" t="s">
        <v>169</v>
      </c>
      <c r="H69" s="2" t="s">
        <v>35</v>
      </c>
    </row>
    <row r="70" spans="1:8" ht="13" hidden="1">
      <c r="A70" s="15">
        <v>45144.901421354167</v>
      </c>
      <c r="B70" s="16">
        <v>45137</v>
      </c>
      <c r="C70" s="2" t="s">
        <v>170</v>
      </c>
      <c r="D70" s="2" t="s">
        <v>43</v>
      </c>
      <c r="E70" s="2">
        <v>1980</v>
      </c>
      <c r="F70" s="2" t="s">
        <v>100</v>
      </c>
      <c r="G70" s="2" t="s">
        <v>171</v>
      </c>
      <c r="H70" s="2" t="s">
        <v>35</v>
      </c>
    </row>
    <row r="71" spans="1:8" ht="13" hidden="1">
      <c r="A71" s="15">
        <v>45137.930729780091</v>
      </c>
      <c r="B71" s="16">
        <v>45137</v>
      </c>
      <c r="C71" s="2" t="s">
        <v>116</v>
      </c>
      <c r="D71" s="2" t="s">
        <v>38</v>
      </c>
      <c r="E71" s="2">
        <v>876</v>
      </c>
      <c r="F71" s="2" t="s">
        <v>102</v>
      </c>
      <c r="G71" s="2" t="s">
        <v>145</v>
      </c>
      <c r="H71" s="2" t="s">
        <v>35</v>
      </c>
    </row>
    <row r="72" spans="1:8" ht="13" hidden="1">
      <c r="A72" s="15">
        <v>45141.933912164357</v>
      </c>
      <c r="B72" s="16">
        <v>45138</v>
      </c>
      <c r="C72" s="2" t="s">
        <v>172</v>
      </c>
      <c r="D72" s="2" t="s">
        <v>39</v>
      </c>
      <c r="E72" s="2">
        <v>4580</v>
      </c>
      <c r="F72" s="2" t="s">
        <v>102</v>
      </c>
      <c r="H72" s="2" t="s">
        <v>35</v>
      </c>
    </row>
    <row r="73" spans="1:8" ht="13" hidden="1">
      <c r="A73" s="15">
        <v>45141.936064363428</v>
      </c>
      <c r="B73" s="16">
        <v>45138</v>
      </c>
      <c r="C73" s="2" t="s">
        <v>173</v>
      </c>
      <c r="E73" s="2">
        <v>10021</v>
      </c>
      <c r="H73" s="2" t="s">
        <v>34</v>
      </c>
    </row>
    <row r="74" spans="1:8" ht="13" hidden="1">
      <c r="A74" s="15">
        <v>45178.81791179398</v>
      </c>
      <c r="B74" s="16">
        <v>45138</v>
      </c>
      <c r="C74" s="2" t="s">
        <v>174</v>
      </c>
      <c r="D74" s="2" t="s">
        <v>39</v>
      </c>
      <c r="E74" s="2">
        <v>250</v>
      </c>
      <c r="F74" s="2" t="s">
        <v>100</v>
      </c>
      <c r="H74" s="2" t="s">
        <v>35</v>
      </c>
    </row>
    <row r="75" spans="1:8" ht="13" hidden="1">
      <c r="A75" s="15">
        <v>45144.901853090283</v>
      </c>
      <c r="B75" s="16">
        <v>45138</v>
      </c>
      <c r="C75" s="2" t="s">
        <v>143</v>
      </c>
      <c r="D75" s="2" t="s">
        <v>40</v>
      </c>
      <c r="E75" s="2">
        <v>1000</v>
      </c>
      <c r="F75" s="2" t="s">
        <v>100</v>
      </c>
      <c r="H75" s="2" t="s">
        <v>35</v>
      </c>
    </row>
    <row r="76" spans="1:8" ht="13" hidden="1">
      <c r="A76" s="15">
        <v>45141.933452291662</v>
      </c>
      <c r="B76" s="16">
        <v>45138</v>
      </c>
      <c r="C76" s="2" t="s">
        <v>175</v>
      </c>
      <c r="D76" s="2" t="s">
        <v>45</v>
      </c>
      <c r="E76" s="2">
        <v>440</v>
      </c>
      <c r="F76" s="2" t="s">
        <v>102</v>
      </c>
      <c r="G76" s="2" t="s">
        <v>136</v>
      </c>
      <c r="H76" s="2" t="s">
        <v>35</v>
      </c>
    </row>
    <row r="77" spans="1:8" ht="13" hidden="1">
      <c r="A77" s="15">
        <v>45141.932709722227</v>
      </c>
      <c r="B77" s="16">
        <v>45138</v>
      </c>
      <c r="C77" s="2" t="s">
        <v>116</v>
      </c>
      <c r="D77" s="2" t="s">
        <v>38</v>
      </c>
      <c r="E77" s="2">
        <v>490</v>
      </c>
      <c r="F77" s="2" t="s">
        <v>102</v>
      </c>
      <c r="G77" s="2" t="s">
        <v>145</v>
      </c>
      <c r="H77" s="2" t="s">
        <v>35</v>
      </c>
    </row>
    <row r="78" spans="1:8" ht="13" hidden="1">
      <c r="A78" s="15">
        <v>45144.902299861111</v>
      </c>
      <c r="B78" s="16">
        <v>45138</v>
      </c>
      <c r="C78" s="2" t="s">
        <v>176</v>
      </c>
      <c r="D78" s="2" t="s">
        <v>41</v>
      </c>
      <c r="E78" s="2">
        <v>2704</v>
      </c>
      <c r="F78" s="2" t="s">
        <v>100</v>
      </c>
      <c r="G78" s="2" t="s">
        <v>177</v>
      </c>
      <c r="H78" s="2" t="s">
        <v>35</v>
      </c>
    </row>
    <row r="79" spans="1:8" ht="13" hidden="1">
      <c r="A79" s="15">
        <v>45144.902978275466</v>
      </c>
      <c r="B79" s="16">
        <v>45139</v>
      </c>
      <c r="C79" s="2" t="s">
        <v>178</v>
      </c>
      <c r="D79" s="2" t="s">
        <v>49</v>
      </c>
      <c r="E79" s="2">
        <v>700</v>
      </c>
      <c r="F79" s="2" t="s">
        <v>100</v>
      </c>
      <c r="G79" s="2" t="s">
        <v>179</v>
      </c>
      <c r="H79" s="2" t="s">
        <v>35</v>
      </c>
    </row>
    <row r="80" spans="1:8" ht="13" hidden="1">
      <c r="A80" s="15">
        <v>45144.903400625</v>
      </c>
      <c r="B80" s="16">
        <v>45139</v>
      </c>
      <c r="C80" s="2" t="s">
        <v>10</v>
      </c>
      <c r="D80" s="2" t="s">
        <v>45</v>
      </c>
      <c r="E80" s="2">
        <v>280</v>
      </c>
      <c r="F80" s="2" t="s">
        <v>100</v>
      </c>
      <c r="H80" s="2" t="s">
        <v>35</v>
      </c>
    </row>
    <row r="81" spans="1:8" ht="13" hidden="1">
      <c r="A81" s="15">
        <v>45144.90381747685</v>
      </c>
      <c r="B81" s="16">
        <v>45140</v>
      </c>
      <c r="C81" s="2" t="s">
        <v>180</v>
      </c>
      <c r="D81" s="2" t="s">
        <v>40</v>
      </c>
      <c r="E81" s="2">
        <v>1000</v>
      </c>
      <c r="F81" s="2" t="s">
        <v>100</v>
      </c>
      <c r="H81" s="2" t="s">
        <v>35</v>
      </c>
    </row>
    <row r="82" spans="1:8" ht="13" hidden="1">
      <c r="A82" s="15">
        <v>45144.904100995365</v>
      </c>
      <c r="B82" s="16">
        <v>45140</v>
      </c>
      <c r="C82" s="2" t="s">
        <v>181</v>
      </c>
      <c r="D82" s="2" t="s">
        <v>40</v>
      </c>
      <c r="E82" s="2">
        <v>1605</v>
      </c>
      <c r="F82" s="2" t="s">
        <v>100</v>
      </c>
      <c r="H82" s="2" t="s">
        <v>35</v>
      </c>
    </row>
    <row r="83" spans="1:8" ht="13" hidden="1">
      <c r="A83" s="15">
        <v>45141.934350312498</v>
      </c>
      <c r="B83" s="16">
        <v>45140</v>
      </c>
      <c r="C83" s="2" t="s">
        <v>182</v>
      </c>
      <c r="D83" s="2" t="s">
        <v>38</v>
      </c>
      <c r="E83" s="2">
        <v>1100</v>
      </c>
      <c r="F83" s="2" t="s">
        <v>102</v>
      </c>
      <c r="H83" s="2" t="s">
        <v>35</v>
      </c>
    </row>
    <row r="84" spans="1:8" ht="13" hidden="1">
      <c r="A84" s="15">
        <v>45141.93478762731</v>
      </c>
      <c r="B84" s="16">
        <v>45140</v>
      </c>
      <c r="C84" s="2" t="s">
        <v>116</v>
      </c>
      <c r="D84" s="2" t="s">
        <v>38</v>
      </c>
      <c r="E84" s="2">
        <v>737</v>
      </c>
      <c r="F84" s="2" t="s">
        <v>102</v>
      </c>
      <c r="G84" s="2" t="s">
        <v>145</v>
      </c>
      <c r="H84" s="2" t="s">
        <v>35</v>
      </c>
    </row>
    <row r="85" spans="1:8" ht="13" hidden="1">
      <c r="A85" s="15">
        <v>45144.904379976855</v>
      </c>
      <c r="B85" s="16">
        <v>45141</v>
      </c>
      <c r="C85" s="2" t="s">
        <v>180</v>
      </c>
      <c r="D85" s="2" t="s">
        <v>40</v>
      </c>
      <c r="E85" s="2">
        <v>1000</v>
      </c>
      <c r="F85" s="2" t="s">
        <v>100</v>
      </c>
      <c r="H85" s="2" t="s">
        <v>35</v>
      </c>
    </row>
    <row r="86" spans="1:8" ht="13" hidden="1">
      <c r="A86" s="15">
        <v>45141.935635543981</v>
      </c>
      <c r="B86" s="16">
        <v>45141</v>
      </c>
      <c r="C86" s="2" t="s">
        <v>112</v>
      </c>
      <c r="D86" s="2" t="s">
        <v>38</v>
      </c>
      <c r="E86" s="2">
        <v>110</v>
      </c>
      <c r="F86" s="2" t="s">
        <v>102</v>
      </c>
      <c r="H86" s="2" t="s">
        <v>35</v>
      </c>
    </row>
    <row r="87" spans="1:8" ht="13" hidden="1">
      <c r="A87" s="15">
        <v>45144.905701469906</v>
      </c>
      <c r="B87" s="16">
        <v>45141</v>
      </c>
      <c r="C87" s="2" t="s">
        <v>183</v>
      </c>
      <c r="D87" s="2" t="s">
        <v>46</v>
      </c>
      <c r="E87" s="2">
        <v>1980</v>
      </c>
      <c r="F87" s="2" t="s">
        <v>100</v>
      </c>
      <c r="G87" s="2" t="s">
        <v>129</v>
      </c>
      <c r="H87" s="2" t="s">
        <v>35</v>
      </c>
    </row>
    <row r="88" spans="1:8" ht="13" hidden="1">
      <c r="A88" s="15">
        <v>45141.935354803238</v>
      </c>
      <c r="B88" s="16">
        <v>45141</v>
      </c>
      <c r="C88" s="2" t="s">
        <v>184</v>
      </c>
      <c r="D88" s="2" t="s">
        <v>38</v>
      </c>
      <c r="E88" s="2">
        <v>1300</v>
      </c>
      <c r="F88" s="2" t="s">
        <v>100</v>
      </c>
      <c r="H88" s="2" t="s">
        <v>35</v>
      </c>
    </row>
    <row r="89" spans="1:8" ht="13" hidden="1">
      <c r="A89" s="15">
        <v>45144.906100949069</v>
      </c>
      <c r="B89" s="16">
        <v>45142</v>
      </c>
      <c r="C89" s="2" t="s">
        <v>183</v>
      </c>
      <c r="D89" s="2" t="s">
        <v>46</v>
      </c>
      <c r="E89" s="2">
        <v>4950</v>
      </c>
      <c r="F89" s="2" t="s">
        <v>100</v>
      </c>
      <c r="G89" s="2" t="s">
        <v>129</v>
      </c>
      <c r="H89" s="2" t="s">
        <v>35</v>
      </c>
    </row>
    <row r="90" spans="1:8" ht="13" hidden="1">
      <c r="A90" s="15">
        <v>45143.643170405092</v>
      </c>
      <c r="B90" s="16">
        <v>45142</v>
      </c>
      <c r="C90" s="2" t="s">
        <v>116</v>
      </c>
      <c r="D90" s="2" t="s">
        <v>38</v>
      </c>
      <c r="E90" s="2">
        <v>405</v>
      </c>
      <c r="F90" s="2" t="s">
        <v>102</v>
      </c>
      <c r="G90" s="2" t="s">
        <v>145</v>
      </c>
      <c r="H90" s="2" t="s">
        <v>35</v>
      </c>
    </row>
    <row r="91" spans="1:8" ht="13" hidden="1">
      <c r="A91" s="15">
        <v>45151.54782850694</v>
      </c>
      <c r="B91" s="16">
        <v>45143</v>
      </c>
      <c r="C91" s="2" t="s">
        <v>155</v>
      </c>
      <c r="D91" s="2" t="s">
        <v>39</v>
      </c>
      <c r="E91" s="2">
        <v>250</v>
      </c>
      <c r="F91" s="2" t="s">
        <v>100</v>
      </c>
      <c r="H91" s="2" t="s">
        <v>35</v>
      </c>
    </row>
    <row r="92" spans="1:8" ht="13" hidden="1">
      <c r="A92" s="15">
        <v>45143.643493981479</v>
      </c>
      <c r="B92" s="16">
        <v>45143</v>
      </c>
      <c r="C92" s="2" t="s">
        <v>116</v>
      </c>
      <c r="D92" s="2" t="s">
        <v>38</v>
      </c>
      <c r="E92" s="2">
        <v>1541</v>
      </c>
      <c r="F92" s="2" t="s">
        <v>102</v>
      </c>
      <c r="G92" s="2" t="s">
        <v>145</v>
      </c>
      <c r="H92" s="2" t="s">
        <v>35</v>
      </c>
    </row>
    <row r="93" spans="1:8" ht="13" hidden="1">
      <c r="A93" s="15">
        <v>45144.89540238426</v>
      </c>
      <c r="B93" s="16">
        <v>45144</v>
      </c>
      <c r="C93" s="2" t="s">
        <v>185</v>
      </c>
      <c r="D93" s="2" t="s">
        <v>38</v>
      </c>
      <c r="E93" s="2">
        <v>1190</v>
      </c>
      <c r="F93" s="2" t="s">
        <v>102</v>
      </c>
      <c r="G93" s="2" t="s">
        <v>186</v>
      </c>
      <c r="H93" s="2" t="s">
        <v>35</v>
      </c>
    </row>
    <row r="94" spans="1:8" ht="13" hidden="1">
      <c r="A94" s="15">
        <v>45144.896370625</v>
      </c>
      <c r="B94" s="16">
        <v>45144</v>
      </c>
      <c r="C94" s="2" t="s">
        <v>187</v>
      </c>
      <c r="D94" s="2" t="s">
        <v>45</v>
      </c>
      <c r="E94" s="2">
        <v>883</v>
      </c>
      <c r="F94" s="2" t="s">
        <v>102</v>
      </c>
      <c r="G94" s="2" t="s">
        <v>188</v>
      </c>
      <c r="H94" s="2" t="s">
        <v>35</v>
      </c>
    </row>
    <row r="95" spans="1:8" ht="13" hidden="1">
      <c r="A95" s="15">
        <v>45144.896719710647</v>
      </c>
      <c r="B95" s="16">
        <v>45144</v>
      </c>
      <c r="C95" s="2" t="s">
        <v>116</v>
      </c>
      <c r="D95" s="2" t="s">
        <v>38</v>
      </c>
      <c r="E95" s="2">
        <v>805</v>
      </c>
      <c r="F95" s="2" t="s">
        <v>102</v>
      </c>
      <c r="G95" s="2" t="s">
        <v>145</v>
      </c>
      <c r="H95" s="2" t="s">
        <v>35</v>
      </c>
    </row>
    <row r="96" spans="1:8" ht="13" hidden="1">
      <c r="A96" s="15">
        <v>45151.548193946757</v>
      </c>
      <c r="B96" s="16">
        <v>45145</v>
      </c>
      <c r="C96" s="2" t="s">
        <v>99</v>
      </c>
      <c r="D96" s="2" t="s">
        <v>40</v>
      </c>
      <c r="E96" s="2">
        <v>1000</v>
      </c>
      <c r="F96" s="2" t="s">
        <v>100</v>
      </c>
      <c r="H96" s="2" t="s">
        <v>35</v>
      </c>
    </row>
    <row r="97" spans="1:8" ht="13" hidden="1">
      <c r="A97" s="15">
        <v>45149.492014305557</v>
      </c>
      <c r="B97" s="16">
        <v>45145</v>
      </c>
      <c r="C97" s="2" t="s">
        <v>112</v>
      </c>
      <c r="D97" s="2" t="s">
        <v>38</v>
      </c>
      <c r="E97" s="2">
        <v>110</v>
      </c>
      <c r="F97" s="2" t="s">
        <v>102</v>
      </c>
      <c r="G97" s="2" t="s">
        <v>103</v>
      </c>
      <c r="H97" s="2" t="s">
        <v>35</v>
      </c>
    </row>
    <row r="98" spans="1:8" ht="13" hidden="1">
      <c r="A98" s="15">
        <v>45149.48889659722</v>
      </c>
      <c r="B98" s="16">
        <v>45145</v>
      </c>
      <c r="C98" s="2" t="s">
        <v>189</v>
      </c>
      <c r="D98" s="2" t="s">
        <v>39</v>
      </c>
      <c r="E98" s="2">
        <v>4800</v>
      </c>
      <c r="F98" s="2" t="s">
        <v>102</v>
      </c>
      <c r="H98" s="2" t="s">
        <v>35</v>
      </c>
    </row>
    <row r="99" spans="1:8" ht="13" hidden="1">
      <c r="A99" s="15">
        <v>45149.488634733796</v>
      </c>
      <c r="B99" s="16">
        <v>45145</v>
      </c>
      <c r="C99" s="2" t="s">
        <v>190</v>
      </c>
      <c r="D99" s="2" t="s">
        <v>38</v>
      </c>
      <c r="E99" s="2">
        <v>1100</v>
      </c>
      <c r="F99" s="2" t="s">
        <v>102</v>
      </c>
      <c r="G99" s="2" t="s">
        <v>191</v>
      </c>
      <c r="H99" s="2" t="s">
        <v>35</v>
      </c>
    </row>
    <row r="100" spans="1:8" ht="13" hidden="1">
      <c r="A100" s="15">
        <v>45151.549208032404</v>
      </c>
      <c r="B100" s="16">
        <v>45146</v>
      </c>
      <c r="C100" s="2" t="s">
        <v>192</v>
      </c>
      <c r="D100" s="2" t="s">
        <v>45</v>
      </c>
      <c r="E100" s="2">
        <v>1980</v>
      </c>
      <c r="F100" s="2" t="s">
        <v>100</v>
      </c>
      <c r="G100" s="2" t="s">
        <v>129</v>
      </c>
      <c r="H100" s="2" t="s">
        <v>35</v>
      </c>
    </row>
    <row r="101" spans="1:8" ht="13" hidden="1">
      <c r="A101" s="15">
        <v>45149.493134583332</v>
      </c>
      <c r="B101" s="16">
        <v>45146</v>
      </c>
      <c r="C101" s="2" t="s">
        <v>111</v>
      </c>
      <c r="D101" s="2" t="s">
        <v>38</v>
      </c>
      <c r="E101" s="2">
        <v>651</v>
      </c>
      <c r="F101" s="2" t="s">
        <v>102</v>
      </c>
      <c r="G101" s="2" t="s">
        <v>103</v>
      </c>
      <c r="H101" s="2" t="s">
        <v>35</v>
      </c>
    </row>
    <row r="102" spans="1:8" ht="13" hidden="1">
      <c r="A102" s="15">
        <v>45149.492634965281</v>
      </c>
      <c r="B102" s="16">
        <v>45146</v>
      </c>
      <c r="C102" s="2" t="s">
        <v>112</v>
      </c>
      <c r="D102" s="2" t="s">
        <v>38</v>
      </c>
      <c r="E102" s="2">
        <v>160</v>
      </c>
      <c r="F102" s="2" t="s">
        <v>102</v>
      </c>
      <c r="G102" s="2" t="s">
        <v>103</v>
      </c>
      <c r="H102" s="2" t="s">
        <v>35</v>
      </c>
    </row>
    <row r="103" spans="1:8" ht="13" hidden="1">
      <c r="A103" s="15">
        <v>45151.54963927083</v>
      </c>
      <c r="B103" s="16">
        <v>45146</v>
      </c>
      <c r="C103" s="2" t="s">
        <v>12</v>
      </c>
      <c r="D103" s="2" t="s">
        <v>39</v>
      </c>
      <c r="E103" s="2">
        <v>990</v>
      </c>
      <c r="F103" s="2" t="s">
        <v>100</v>
      </c>
      <c r="H103" s="2" t="s">
        <v>35</v>
      </c>
    </row>
    <row r="104" spans="1:8" ht="13" hidden="1">
      <c r="A104" s="15">
        <v>45151.548548113424</v>
      </c>
      <c r="B104" s="16">
        <v>45146</v>
      </c>
      <c r="C104" s="2" t="s">
        <v>193</v>
      </c>
      <c r="D104" s="2" t="s">
        <v>48</v>
      </c>
      <c r="E104" s="2">
        <v>600</v>
      </c>
      <c r="F104" s="2" t="s">
        <v>100</v>
      </c>
      <c r="H104" s="2" t="s">
        <v>35</v>
      </c>
    </row>
    <row r="105" spans="1:8" ht="13" hidden="1">
      <c r="A105" s="15">
        <v>45149.48927233796</v>
      </c>
      <c r="B105" s="16">
        <v>45146</v>
      </c>
      <c r="C105" s="2" t="s">
        <v>194</v>
      </c>
      <c r="D105" s="2" t="s">
        <v>38</v>
      </c>
      <c r="E105" s="2">
        <v>980</v>
      </c>
      <c r="F105" s="2" t="s">
        <v>102</v>
      </c>
      <c r="H105" s="2" t="s">
        <v>35</v>
      </c>
    </row>
    <row r="106" spans="1:8" ht="13" hidden="1">
      <c r="A106" s="15">
        <v>45149.489858726854</v>
      </c>
      <c r="B106" s="16">
        <v>45147</v>
      </c>
      <c r="C106" s="2" t="s">
        <v>195</v>
      </c>
      <c r="D106" s="2" t="s">
        <v>38</v>
      </c>
      <c r="E106" s="2">
        <v>1450</v>
      </c>
      <c r="F106" s="2" t="s">
        <v>102</v>
      </c>
      <c r="H106" s="2" t="s">
        <v>35</v>
      </c>
    </row>
    <row r="107" spans="1:8" ht="13" hidden="1">
      <c r="A107" s="15">
        <v>45149.493499942131</v>
      </c>
      <c r="B107" s="16">
        <v>45147</v>
      </c>
      <c r="C107" s="2" t="s">
        <v>196</v>
      </c>
      <c r="D107" s="2" t="s">
        <v>38</v>
      </c>
      <c r="E107" s="2">
        <v>435</v>
      </c>
      <c r="F107" s="2" t="s">
        <v>102</v>
      </c>
      <c r="G107" s="2" t="s">
        <v>103</v>
      </c>
      <c r="H107" s="2" t="s">
        <v>35</v>
      </c>
    </row>
    <row r="108" spans="1:8" ht="13" hidden="1">
      <c r="A108" s="15">
        <v>45151.549964421298</v>
      </c>
      <c r="B108" s="16">
        <v>45147</v>
      </c>
      <c r="C108" s="2" t="s">
        <v>197</v>
      </c>
      <c r="D108" s="2" t="s">
        <v>48</v>
      </c>
      <c r="E108" s="2">
        <v>880</v>
      </c>
      <c r="F108" s="2" t="s">
        <v>100</v>
      </c>
      <c r="H108" s="2" t="s">
        <v>35</v>
      </c>
    </row>
    <row r="109" spans="1:8" ht="13" hidden="1">
      <c r="A109" s="15">
        <v>45151.550571574073</v>
      </c>
      <c r="B109" s="16">
        <v>45148</v>
      </c>
      <c r="C109" s="2" t="s">
        <v>198</v>
      </c>
      <c r="D109" s="2" t="s">
        <v>45</v>
      </c>
      <c r="E109" s="2">
        <v>880</v>
      </c>
      <c r="F109" s="2" t="s">
        <v>100</v>
      </c>
      <c r="H109" s="2" t="s">
        <v>35</v>
      </c>
    </row>
    <row r="110" spans="1:8" ht="13" hidden="1">
      <c r="A110" s="15">
        <v>45149.494227534728</v>
      </c>
      <c r="B110" s="16">
        <v>45148</v>
      </c>
      <c r="C110" s="2" t="s">
        <v>112</v>
      </c>
      <c r="D110" s="2" t="s">
        <v>38</v>
      </c>
      <c r="E110" s="2">
        <v>160</v>
      </c>
      <c r="F110" s="2" t="s">
        <v>102</v>
      </c>
      <c r="G110" s="2" t="s">
        <v>103</v>
      </c>
      <c r="H110" s="2" t="s">
        <v>35</v>
      </c>
    </row>
    <row r="111" spans="1:8" ht="13" hidden="1">
      <c r="A111" s="15">
        <v>45149.490268506939</v>
      </c>
      <c r="B111" s="16">
        <v>45148</v>
      </c>
      <c r="C111" s="2" t="s">
        <v>199</v>
      </c>
      <c r="D111" s="2" t="s">
        <v>38</v>
      </c>
      <c r="E111" s="2">
        <v>400</v>
      </c>
      <c r="F111" s="2" t="s">
        <v>102</v>
      </c>
      <c r="H111" s="2" t="s">
        <v>35</v>
      </c>
    </row>
    <row r="112" spans="1:8" ht="13" hidden="1">
      <c r="A112" s="15">
        <v>45149.493782627316</v>
      </c>
      <c r="B112" s="16">
        <v>45148</v>
      </c>
      <c r="C112" s="2" t="s">
        <v>184</v>
      </c>
      <c r="D112" s="2" t="s">
        <v>38</v>
      </c>
      <c r="E112" s="2">
        <v>1300</v>
      </c>
      <c r="F112" s="2" t="s">
        <v>102</v>
      </c>
      <c r="G112" s="2" t="s">
        <v>200</v>
      </c>
      <c r="H112" s="2" t="s">
        <v>35</v>
      </c>
    </row>
    <row r="113" spans="1:8" ht="13" hidden="1">
      <c r="A113" s="15">
        <v>45149.490652337961</v>
      </c>
      <c r="B113" s="16">
        <v>45148</v>
      </c>
      <c r="C113" s="2" t="s">
        <v>116</v>
      </c>
      <c r="D113" s="2" t="s">
        <v>38</v>
      </c>
      <c r="E113" s="2">
        <v>1425</v>
      </c>
      <c r="F113" s="2" t="s">
        <v>102</v>
      </c>
      <c r="H113" s="2" t="s">
        <v>35</v>
      </c>
    </row>
    <row r="114" spans="1:8" ht="13" hidden="1">
      <c r="A114" s="15">
        <v>45151.551317800928</v>
      </c>
      <c r="B114" s="16">
        <v>45149</v>
      </c>
      <c r="C114" s="2" t="s">
        <v>201</v>
      </c>
      <c r="D114" s="2" t="s">
        <v>42</v>
      </c>
      <c r="E114" s="2">
        <v>3468</v>
      </c>
      <c r="F114" s="2" t="s">
        <v>100</v>
      </c>
      <c r="H114" s="2" t="s">
        <v>35</v>
      </c>
    </row>
    <row r="115" spans="1:8" ht="13" hidden="1">
      <c r="A115" s="15">
        <v>45151.551725972226</v>
      </c>
      <c r="B115" s="16">
        <v>45149</v>
      </c>
      <c r="C115" s="2" t="s">
        <v>202</v>
      </c>
      <c r="D115" s="2" t="s">
        <v>42</v>
      </c>
      <c r="E115" s="2">
        <v>5316</v>
      </c>
      <c r="F115" s="2" t="s">
        <v>100</v>
      </c>
      <c r="H115" s="2" t="s">
        <v>35</v>
      </c>
    </row>
    <row r="116" spans="1:8" ht="13" hidden="1">
      <c r="A116" s="15">
        <v>45151.550870451392</v>
      </c>
      <c r="B116" s="16">
        <v>45149</v>
      </c>
      <c r="C116" s="2" t="s">
        <v>203</v>
      </c>
      <c r="D116" s="2" t="s">
        <v>45</v>
      </c>
      <c r="E116" s="2">
        <v>875</v>
      </c>
      <c r="F116" s="2" t="s">
        <v>100</v>
      </c>
      <c r="H116" s="2" t="s">
        <v>35</v>
      </c>
    </row>
    <row r="117" spans="1:8" ht="13" hidden="1">
      <c r="A117" s="15">
        <v>45149.490975347224</v>
      </c>
      <c r="B117" s="16">
        <v>45149</v>
      </c>
      <c r="C117" s="2" t="s">
        <v>116</v>
      </c>
      <c r="D117" s="2" t="s">
        <v>38</v>
      </c>
      <c r="E117" s="2">
        <v>1659</v>
      </c>
      <c r="F117" s="2" t="s">
        <v>102</v>
      </c>
      <c r="G117" s="2" t="s">
        <v>145</v>
      </c>
      <c r="H117" s="2" t="s">
        <v>35</v>
      </c>
    </row>
    <row r="118" spans="1:8" ht="13" hidden="1">
      <c r="A118" s="15">
        <v>45151.544122314815</v>
      </c>
      <c r="B118" s="16">
        <v>45149</v>
      </c>
      <c r="C118" s="2" t="s">
        <v>204</v>
      </c>
      <c r="D118" s="2" t="s">
        <v>45</v>
      </c>
      <c r="E118" s="2">
        <v>4950</v>
      </c>
      <c r="F118" s="2" t="s">
        <v>100</v>
      </c>
      <c r="H118" s="2" t="s">
        <v>35</v>
      </c>
    </row>
    <row r="119" spans="1:8" ht="13" hidden="1">
      <c r="A119" s="15">
        <v>45151.544548888887</v>
      </c>
      <c r="B119" s="16">
        <v>45150</v>
      </c>
      <c r="C119" s="2" t="s">
        <v>163</v>
      </c>
      <c r="D119" s="2" t="s">
        <v>38</v>
      </c>
      <c r="E119" s="2">
        <v>1720</v>
      </c>
      <c r="F119" s="2" t="s">
        <v>100</v>
      </c>
      <c r="G119" s="2" t="s">
        <v>164</v>
      </c>
      <c r="H119" s="2" t="s">
        <v>35</v>
      </c>
    </row>
    <row r="120" spans="1:8" ht="13" hidden="1">
      <c r="A120" s="15">
        <v>45157.792536030094</v>
      </c>
      <c r="B120" s="16">
        <v>45150</v>
      </c>
      <c r="C120" s="2" t="s">
        <v>174</v>
      </c>
      <c r="D120" s="2" t="s">
        <v>39</v>
      </c>
      <c r="E120" s="2">
        <v>200</v>
      </c>
      <c r="F120" s="2" t="s">
        <v>100</v>
      </c>
      <c r="H120" s="2" t="s">
        <v>35</v>
      </c>
    </row>
    <row r="121" spans="1:8" ht="13" hidden="1">
      <c r="A121" s="15">
        <v>45151.544909340279</v>
      </c>
      <c r="B121" s="16">
        <v>45151</v>
      </c>
      <c r="C121" s="2" t="s">
        <v>205</v>
      </c>
      <c r="D121" s="2" t="s">
        <v>45</v>
      </c>
      <c r="E121" s="2">
        <v>220</v>
      </c>
      <c r="F121" s="2" t="s">
        <v>102</v>
      </c>
      <c r="G121" s="2" t="s">
        <v>136</v>
      </c>
      <c r="H121" s="2" t="s">
        <v>35</v>
      </c>
    </row>
    <row r="122" spans="1:8" ht="13" hidden="1">
      <c r="A122" s="15">
        <v>45157.793444166666</v>
      </c>
      <c r="B122" s="16">
        <v>45151</v>
      </c>
      <c r="C122" s="2" t="s">
        <v>201</v>
      </c>
      <c r="D122" s="2" t="s">
        <v>42</v>
      </c>
      <c r="E122" s="2">
        <v>1532</v>
      </c>
      <c r="F122" s="2" t="s">
        <v>100</v>
      </c>
      <c r="H122" s="2" t="s">
        <v>35</v>
      </c>
    </row>
    <row r="123" spans="1:8" ht="13" hidden="1">
      <c r="A123" s="15">
        <v>45157.794595185187</v>
      </c>
      <c r="B123" s="16">
        <v>45151</v>
      </c>
      <c r="C123" s="2" t="s">
        <v>180</v>
      </c>
      <c r="D123" s="2" t="s">
        <v>40</v>
      </c>
      <c r="E123" s="2">
        <v>1000</v>
      </c>
      <c r="F123" s="2" t="s">
        <v>100</v>
      </c>
      <c r="H123" s="2" t="s">
        <v>35</v>
      </c>
    </row>
    <row r="124" spans="1:8" ht="13" hidden="1">
      <c r="A124" s="15">
        <v>45157.79388484954</v>
      </c>
      <c r="B124" s="16">
        <v>45151</v>
      </c>
      <c r="C124" s="2" t="s">
        <v>206</v>
      </c>
      <c r="D124" s="2" t="s">
        <v>41</v>
      </c>
      <c r="E124" s="2">
        <v>11000</v>
      </c>
      <c r="F124" s="2" t="s">
        <v>100</v>
      </c>
      <c r="H124" s="2" t="s">
        <v>35</v>
      </c>
    </row>
    <row r="125" spans="1:8" ht="13" hidden="1">
      <c r="A125" s="15">
        <v>45157.785670127312</v>
      </c>
      <c r="B125" s="16">
        <v>45151</v>
      </c>
      <c r="C125" s="2" t="s">
        <v>207</v>
      </c>
      <c r="D125" s="2" t="s">
        <v>39</v>
      </c>
      <c r="E125" s="2">
        <v>1457</v>
      </c>
      <c r="F125" s="2" t="s">
        <v>102</v>
      </c>
      <c r="H125" s="2" t="s">
        <v>35</v>
      </c>
    </row>
    <row r="126" spans="1:8" ht="13" hidden="1">
      <c r="A126" s="15">
        <v>45151.545410636572</v>
      </c>
      <c r="B126" s="16">
        <v>45151</v>
      </c>
      <c r="C126" s="2" t="s">
        <v>116</v>
      </c>
      <c r="D126" s="2" t="s">
        <v>38</v>
      </c>
      <c r="E126" s="2">
        <v>628</v>
      </c>
      <c r="F126" s="2" t="s">
        <v>102</v>
      </c>
      <c r="G126" s="2" t="s">
        <v>145</v>
      </c>
      <c r="H126" s="2" t="s">
        <v>35</v>
      </c>
    </row>
    <row r="127" spans="1:8" ht="13" hidden="1">
      <c r="A127" s="15">
        <v>45151.545665289348</v>
      </c>
      <c r="B127" s="16">
        <v>45151</v>
      </c>
      <c r="C127" s="2" t="s">
        <v>208</v>
      </c>
      <c r="D127" s="2" t="s">
        <v>38</v>
      </c>
      <c r="E127" s="2">
        <v>1000</v>
      </c>
      <c r="F127" s="2" t="s">
        <v>102</v>
      </c>
      <c r="H127" s="2" t="s">
        <v>35</v>
      </c>
    </row>
    <row r="128" spans="1:8" ht="13" hidden="1">
      <c r="A128" s="15">
        <v>45157.794213912042</v>
      </c>
      <c r="B128" s="16">
        <v>45151</v>
      </c>
      <c r="C128" s="2" t="s">
        <v>26</v>
      </c>
      <c r="D128" s="2" t="s">
        <v>41</v>
      </c>
      <c r="E128" s="2">
        <v>6103</v>
      </c>
      <c r="F128" s="2" t="s">
        <v>100</v>
      </c>
      <c r="H128" s="2" t="s">
        <v>35</v>
      </c>
    </row>
    <row r="129" spans="1:8" ht="13" hidden="1">
      <c r="A129" s="15">
        <v>45157.795207314819</v>
      </c>
      <c r="B129" s="16">
        <v>45152</v>
      </c>
      <c r="C129" s="2" t="s">
        <v>209</v>
      </c>
      <c r="D129" s="2" t="s">
        <v>42</v>
      </c>
      <c r="E129" s="2">
        <v>790</v>
      </c>
      <c r="F129" s="2" t="s">
        <v>100</v>
      </c>
      <c r="H129" s="2" t="s">
        <v>35</v>
      </c>
    </row>
    <row r="130" spans="1:8" ht="13" hidden="1">
      <c r="A130" s="15">
        <v>45157.794859525464</v>
      </c>
      <c r="B130" s="16">
        <v>45152</v>
      </c>
      <c r="C130" s="2" t="s">
        <v>99</v>
      </c>
      <c r="D130" s="2" t="s">
        <v>40</v>
      </c>
      <c r="E130" s="2">
        <v>1000</v>
      </c>
      <c r="F130" s="2" t="s">
        <v>100</v>
      </c>
      <c r="H130" s="2" t="s">
        <v>35</v>
      </c>
    </row>
    <row r="131" spans="1:8" ht="13" hidden="1">
      <c r="A131" s="15">
        <v>45157.786172916662</v>
      </c>
      <c r="B131" s="16">
        <v>45153</v>
      </c>
      <c r="C131" s="2" t="s">
        <v>210</v>
      </c>
      <c r="D131" s="2" t="s">
        <v>45</v>
      </c>
      <c r="E131" s="2">
        <v>663</v>
      </c>
      <c r="F131" s="2" t="s">
        <v>102</v>
      </c>
      <c r="H131" s="2" t="s">
        <v>35</v>
      </c>
    </row>
    <row r="132" spans="1:8" ht="13" hidden="1">
      <c r="A132" s="15">
        <v>45157.795929976855</v>
      </c>
      <c r="B132" s="16">
        <v>45153</v>
      </c>
      <c r="C132" s="2" t="s">
        <v>211</v>
      </c>
      <c r="D132" s="2" t="s">
        <v>40</v>
      </c>
      <c r="E132" s="2">
        <v>1000</v>
      </c>
      <c r="F132" s="2" t="s">
        <v>100</v>
      </c>
      <c r="H132" s="2" t="s">
        <v>35</v>
      </c>
    </row>
    <row r="133" spans="1:8" ht="13" hidden="1">
      <c r="A133" s="15">
        <v>45157.795555486111</v>
      </c>
      <c r="B133" s="16">
        <v>45153</v>
      </c>
      <c r="C133" s="2" t="s">
        <v>212</v>
      </c>
      <c r="D133" s="2" t="s">
        <v>39</v>
      </c>
      <c r="E133" s="2">
        <v>2170</v>
      </c>
      <c r="F133" s="2" t="s">
        <v>100</v>
      </c>
      <c r="G133" s="2" t="s">
        <v>213</v>
      </c>
      <c r="H133" s="2" t="s">
        <v>35</v>
      </c>
    </row>
    <row r="134" spans="1:8" ht="13" hidden="1">
      <c r="A134" s="15">
        <v>45157.786778229165</v>
      </c>
      <c r="B134" s="16">
        <v>45153</v>
      </c>
      <c r="C134" s="2" t="s">
        <v>214</v>
      </c>
      <c r="D134" s="2" t="s">
        <v>38</v>
      </c>
      <c r="E134" s="2">
        <v>1270</v>
      </c>
      <c r="F134" s="2" t="s">
        <v>102</v>
      </c>
      <c r="H134" s="2" t="s">
        <v>35</v>
      </c>
    </row>
    <row r="135" spans="1:8" ht="13" hidden="1">
      <c r="A135" s="15">
        <v>45157.786490543978</v>
      </c>
      <c r="B135" s="16">
        <v>45153</v>
      </c>
      <c r="C135" s="2" t="s">
        <v>215</v>
      </c>
      <c r="D135" s="2" t="s">
        <v>44</v>
      </c>
      <c r="E135" s="2">
        <v>580</v>
      </c>
      <c r="F135" s="2" t="s">
        <v>102</v>
      </c>
      <c r="G135" s="2" t="s">
        <v>132</v>
      </c>
      <c r="H135" s="2" t="s">
        <v>35</v>
      </c>
    </row>
    <row r="136" spans="1:8" ht="13" hidden="1">
      <c r="A136" s="15">
        <v>45157.790252754625</v>
      </c>
      <c r="B136" s="16">
        <v>45153</v>
      </c>
      <c r="C136" s="2" t="s">
        <v>116</v>
      </c>
      <c r="D136" s="2" t="s">
        <v>38</v>
      </c>
      <c r="E136" s="2">
        <v>876</v>
      </c>
      <c r="F136" s="2" t="s">
        <v>102</v>
      </c>
      <c r="G136" s="2" t="s">
        <v>216</v>
      </c>
      <c r="H136" s="2" t="s">
        <v>35</v>
      </c>
    </row>
    <row r="137" spans="1:8" ht="13" hidden="1">
      <c r="A137" s="15">
        <v>45157.787548854161</v>
      </c>
      <c r="B137" s="16">
        <v>45154</v>
      </c>
      <c r="C137" s="2" t="s">
        <v>217</v>
      </c>
      <c r="D137" s="2" t="s">
        <v>38</v>
      </c>
      <c r="E137" s="2">
        <v>737</v>
      </c>
      <c r="F137" s="2" t="s">
        <v>102</v>
      </c>
      <c r="G137" s="2" t="s">
        <v>103</v>
      </c>
      <c r="H137" s="2" t="s">
        <v>35</v>
      </c>
    </row>
    <row r="138" spans="1:8" ht="13" hidden="1">
      <c r="A138" s="15">
        <v>45162.895007349536</v>
      </c>
      <c r="B138" s="16">
        <v>45154</v>
      </c>
      <c r="C138" s="2" t="s">
        <v>218</v>
      </c>
      <c r="D138" s="2" t="s">
        <v>39</v>
      </c>
      <c r="E138" s="2">
        <v>1490</v>
      </c>
      <c r="F138" s="2" t="s">
        <v>100</v>
      </c>
      <c r="H138" s="2" t="s">
        <v>35</v>
      </c>
    </row>
    <row r="139" spans="1:8" ht="13" hidden="1">
      <c r="A139" s="15">
        <v>45157.787144629634</v>
      </c>
      <c r="B139" s="16">
        <v>45154</v>
      </c>
      <c r="C139" s="2" t="s">
        <v>116</v>
      </c>
      <c r="D139" s="2" t="s">
        <v>38</v>
      </c>
      <c r="E139" s="2">
        <v>1080</v>
      </c>
      <c r="F139" s="2" t="s">
        <v>102</v>
      </c>
      <c r="G139" s="2" t="s">
        <v>145</v>
      </c>
      <c r="H139" s="2" t="s">
        <v>35</v>
      </c>
    </row>
    <row r="140" spans="1:8" ht="13" hidden="1">
      <c r="A140" s="15">
        <v>45162.895373530089</v>
      </c>
      <c r="B140" s="16">
        <v>45155</v>
      </c>
      <c r="C140" s="2" t="s">
        <v>180</v>
      </c>
      <c r="D140" s="2" t="s">
        <v>40</v>
      </c>
      <c r="E140" s="2">
        <v>500</v>
      </c>
      <c r="F140" s="2" t="s">
        <v>100</v>
      </c>
      <c r="H140" s="2" t="s">
        <v>35</v>
      </c>
    </row>
    <row r="141" spans="1:8" ht="13" hidden="1">
      <c r="A141" s="15">
        <v>45157.787954432875</v>
      </c>
      <c r="B141" s="16">
        <v>45155</v>
      </c>
      <c r="C141" s="2" t="s">
        <v>106</v>
      </c>
      <c r="D141" s="2" t="s">
        <v>38</v>
      </c>
      <c r="E141" s="2">
        <v>582</v>
      </c>
      <c r="F141" s="2" t="s">
        <v>102</v>
      </c>
      <c r="G141" s="2" t="s">
        <v>103</v>
      </c>
      <c r="H141" s="2" t="s">
        <v>35</v>
      </c>
    </row>
    <row r="142" spans="1:8" ht="13" hidden="1">
      <c r="A142" s="15">
        <v>45162.895760046296</v>
      </c>
      <c r="B142" s="16">
        <v>45155</v>
      </c>
      <c r="C142" s="2" t="s">
        <v>176</v>
      </c>
      <c r="D142" s="2" t="s">
        <v>41</v>
      </c>
      <c r="E142" s="2">
        <v>734</v>
      </c>
      <c r="F142" s="2" t="s">
        <v>100</v>
      </c>
      <c r="H142" s="2" t="s">
        <v>35</v>
      </c>
    </row>
    <row r="143" spans="1:8" ht="13" hidden="1">
      <c r="A143" s="15">
        <v>45162.896827002318</v>
      </c>
      <c r="B143" s="16">
        <v>45156</v>
      </c>
      <c r="C143" s="2" t="s">
        <v>22</v>
      </c>
      <c r="D143" s="2" t="s">
        <v>39</v>
      </c>
      <c r="E143" s="2">
        <v>2310</v>
      </c>
      <c r="F143" s="2" t="s">
        <v>100</v>
      </c>
      <c r="H143" s="2" t="s">
        <v>35</v>
      </c>
    </row>
    <row r="144" spans="1:8" ht="13" hidden="1">
      <c r="A144" s="15">
        <v>45162.896270983794</v>
      </c>
      <c r="B144" s="16">
        <v>45156</v>
      </c>
      <c r="C144" s="2" t="s">
        <v>209</v>
      </c>
      <c r="D144" s="2" t="s">
        <v>42</v>
      </c>
      <c r="E144" s="2">
        <v>990</v>
      </c>
      <c r="F144" s="2" t="s">
        <v>100</v>
      </c>
      <c r="H144" s="2" t="s">
        <v>35</v>
      </c>
    </row>
    <row r="145" spans="1:8" ht="13" hidden="1">
      <c r="A145" s="15">
        <v>45157.788281863424</v>
      </c>
      <c r="B145" s="16">
        <v>45156</v>
      </c>
      <c r="C145" s="2" t="s">
        <v>105</v>
      </c>
      <c r="D145" s="2" t="s">
        <v>40</v>
      </c>
      <c r="E145" s="2">
        <v>4400</v>
      </c>
      <c r="F145" s="2" t="s">
        <v>100</v>
      </c>
      <c r="H145" s="2" t="s">
        <v>35</v>
      </c>
    </row>
    <row r="146" spans="1:8" ht="13" hidden="1">
      <c r="A146" s="15">
        <v>45157.78907381944</v>
      </c>
      <c r="B146" s="16">
        <v>45156</v>
      </c>
      <c r="C146" s="2" t="s">
        <v>114</v>
      </c>
      <c r="D146" s="2" t="s">
        <v>45</v>
      </c>
      <c r="E146" s="2">
        <v>192</v>
      </c>
      <c r="F146" s="2" t="s">
        <v>102</v>
      </c>
      <c r="G146" s="2" t="s">
        <v>136</v>
      </c>
      <c r="H146" s="2" t="s">
        <v>35</v>
      </c>
    </row>
    <row r="147" spans="1:8" ht="13" hidden="1">
      <c r="A147" s="15">
        <v>45157.788646203699</v>
      </c>
      <c r="B147" s="16">
        <v>45156</v>
      </c>
      <c r="C147" s="2" t="s">
        <v>184</v>
      </c>
      <c r="D147" s="2" t="s">
        <v>38</v>
      </c>
      <c r="E147" s="2">
        <v>970</v>
      </c>
      <c r="F147" s="2" t="s">
        <v>102</v>
      </c>
      <c r="G147" s="2" t="s">
        <v>191</v>
      </c>
      <c r="H147" s="2" t="s">
        <v>35</v>
      </c>
    </row>
    <row r="148" spans="1:8" ht="13" hidden="1">
      <c r="A148" s="15">
        <v>45162.884539074075</v>
      </c>
      <c r="B148" s="16">
        <v>45157</v>
      </c>
      <c r="C148" s="2" t="s">
        <v>219</v>
      </c>
      <c r="D148" s="2" t="s">
        <v>44</v>
      </c>
      <c r="E148" s="2">
        <v>2990</v>
      </c>
      <c r="F148" s="2" t="s">
        <v>100</v>
      </c>
      <c r="G148" s="2" t="s">
        <v>132</v>
      </c>
      <c r="H148" s="2" t="s">
        <v>35</v>
      </c>
    </row>
    <row r="149" spans="1:8" ht="13" hidden="1">
      <c r="A149" s="15">
        <v>45162.897488599541</v>
      </c>
      <c r="B149" s="16">
        <v>45157</v>
      </c>
      <c r="C149" s="2" t="s">
        <v>220</v>
      </c>
      <c r="D149" s="2" t="s">
        <v>45</v>
      </c>
      <c r="E149" s="2">
        <v>2580</v>
      </c>
      <c r="F149" s="2" t="s">
        <v>100</v>
      </c>
      <c r="H149" s="2" t="s">
        <v>35</v>
      </c>
    </row>
    <row r="150" spans="1:8" ht="13" hidden="1">
      <c r="A150" s="15">
        <v>45157.789444479167</v>
      </c>
      <c r="B150" s="16">
        <v>45157</v>
      </c>
      <c r="C150" s="2" t="s">
        <v>116</v>
      </c>
      <c r="D150" s="2" t="s">
        <v>38</v>
      </c>
      <c r="E150" s="2">
        <v>2382</v>
      </c>
      <c r="F150" s="2" t="s">
        <v>102</v>
      </c>
      <c r="G150" s="2" t="s">
        <v>145</v>
      </c>
      <c r="H150" s="2" t="s">
        <v>35</v>
      </c>
    </row>
    <row r="151" spans="1:8" ht="13" hidden="1">
      <c r="A151" s="15">
        <v>45162.89829055556</v>
      </c>
      <c r="B151" s="16">
        <v>45157</v>
      </c>
      <c r="C151" s="2" t="s">
        <v>221</v>
      </c>
      <c r="D151" s="2" t="s">
        <v>39</v>
      </c>
      <c r="E151" s="2">
        <v>250</v>
      </c>
      <c r="F151" s="2" t="s">
        <v>100</v>
      </c>
      <c r="H151" s="2" t="s">
        <v>35</v>
      </c>
    </row>
    <row r="152" spans="1:8" ht="13" hidden="1">
      <c r="A152" s="15">
        <v>45162.897928171296</v>
      </c>
      <c r="B152" s="16">
        <v>45157</v>
      </c>
      <c r="C152" s="2" t="s">
        <v>222</v>
      </c>
      <c r="D152" s="2" t="s">
        <v>46</v>
      </c>
      <c r="E152" s="2">
        <v>1496</v>
      </c>
      <c r="F152" s="2" t="s">
        <v>100</v>
      </c>
      <c r="H152" s="2" t="s">
        <v>35</v>
      </c>
    </row>
    <row r="153" spans="1:8" ht="13" hidden="1">
      <c r="A153" s="15">
        <v>45162.898709490742</v>
      </c>
      <c r="B153" s="16">
        <v>45158</v>
      </c>
      <c r="C153" s="2" t="s">
        <v>24</v>
      </c>
      <c r="D153" s="2" t="s">
        <v>49</v>
      </c>
      <c r="E153" s="2">
        <v>1100</v>
      </c>
      <c r="F153" s="2" t="s">
        <v>100</v>
      </c>
      <c r="H153" s="2" t="s">
        <v>35</v>
      </c>
    </row>
    <row r="154" spans="1:8" ht="13" hidden="1">
      <c r="A154" s="15">
        <v>45162.899223020839</v>
      </c>
      <c r="B154" s="16">
        <v>45158</v>
      </c>
      <c r="C154" s="2" t="s">
        <v>223</v>
      </c>
      <c r="D154" s="2" t="s">
        <v>45</v>
      </c>
      <c r="E154" s="2">
        <v>5425</v>
      </c>
      <c r="F154" s="2" t="s">
        <v>100</v>
      </c>
      <c r="H154" s="2" t="s">
        <v>35</v>
      </c>
    </row>
    <row r="155" spans="1:8" ht="13" hidden="1">
      <c r="A155" s="15">
        <v>45162.900174074079</v>
      </c>
      <c r="B155" s="16">
        <v>45159</v>
      </c>
      <c r="C155" s="2" t="s">
        <v>224</v>
      </c>
      <c r="D155" s="2" t="s">
        <v>45</v>
      </c>
      <c r="E155" s="2">
        <v>4040</v>
      </c>
      <c r="F155" s="2" t="s">
        <v>100</v>
      </c>
      <c r="H155" s="2" t="s">
        <v>35</v>
      </c>
    </row>
    <row r="156" spans="1:8" ht="13" hidden="1">
      <c r="A156" s="15">
        <v>45162.885582199073</v>
      </c>
      <c r="B156" s="16">
        <v>45159</v>
      </c>
      <c r="C156" s="2" t="s">
        <v>225</v>
      </c>
      <c r="D156" s="2" t="s">
        <v>39</v>
      </c>
      <c r="E156" s="2">
        <v>11210</v>
      </c>
      <c r="F156" s="2" t="s">
        <v>100</v>
      </c>
      <c r="H156" s="2" t="s">
        <v>35</v>
      </c>
    </row>
    <row r="157" spans="1:8" ht="13" hidden="1">
      <c r="A157" s="15">
        <v>45162.889552592591</v>
      </c>
      <c r="B157" s="16">
        <v>45159</v>
      </c>
      <c r="C157" s="2" t="s">
        <v>226</v>
      </c>
      <c r="E157" s="2">
        <v>7400</v>
      </c>
      <c r="H157" s="2" t="s">
        <v>34</v>
      </c>
    </row>
    <row r="158" spans="1:8" ht="13" hidden="1">
      <c r="A158" s="15">
        <v>45162.88493255787</v>
      </c>
      <c r="B158" s="16">
        <v>45159</v>
      </c>
      <c r="C158" s="2" t="s">
        <v>190</v>
      </c>
      <c r="D158" s="2" t="s">
        <v>38</v>
      </c>
      <c r="E158" s="2">
        <v>920</v>
      </c>
      <c r="F158" s="2" t="s">
        <v>102</v>
      </c>
      <c r="G158" s="2" t="s">
        <v>191</v>
      </c>
      <c r="H158" s="2" t="s">
        <v>35</v>
      </c>
    </row>
    <row r="159" spans="1:8" ht="13" hidden="1">
      <c r="A159" s="15">
        <v>45162.88619719907</v>
      </c>
      <c r="B159" s="16">
        <v>45160</v>
      </c>
      <c r="C159" s="2" t="s">
        <v>106</v>
      </c>
      <c r="D159" s="2" t="s">
        <v>38</v>
      </c>
      <c r="E159" s="2">
        <v>980</v>
      </c>
      <c r="F159" s="2" t="s">
        <v>102</v>
      </c>
      <c r="G159" s="2" t="s">
        <v>194</v>
      </c>
      <c r="H159" s="2" t="s">
        <v>35</v>
      </c>
    </row>
    <row r="160" spans="1:8" ht="13" hidden="1">
      <c r="A160" s="15">
        <v>45162.886562222222</v>
      </c>
      <c r="B160" s="16">
        <v>45160</v>
      </c>
      <c r="C160" s="2" t="s">
        <v>116</v>
      </c>
      <c r="D160" s="2" t="s">
        <v>38</v>
      </c>
      <c r="E160" s="2">
        <v>1274</v>
      </c>
      <c r="F160" s="2" t="s">
        <v>102</v>
      </c>
      <c r="G160" s="2" t="s">
        <v>145</v>
      </c>
      <c r="H160" s="2" t="s">
        <v>35</v>
      </c>
    </row>
    <row r="161" spans="1:8" ht="13" hidden="1">
      <c r="A161" s="15">
        <v>45162.887240509255</v>
      </c>
      <c r="B161" s="16">
        <v>45161</v>
      </c>
      <c r="C161" s="2" t="s">
        <v>112</v>
      </c>
      <c r="D161" s="2" t="s">
        <v>38</v>
      </c>
      <c r="E161" s="2">
        <v>110</v>
      </c>
      <c r="F161" s="2" t="s">
        <v>102</v>
      </c>
      <c r="G161" s="2" t="s">
        <v>103</v>
      </c>
      <c r="H161" s="2" t="s">
        <v>35</v>
      </c>
    </row>
    <row r="162" spans="1:8" ht="13" hidden="1">
      <c r="A162" s="15">
        <v>45162.886917824071</v>
      </c>
      <c r="B162" s="16">
        <v>45161</v>
      </c>
      <c r="C162" s="2" t="s">
        <v>106</v>
      </c>
      <c r="D162" s="2" t="s">
        <v>38</v>
      </c>
      <c r="E162" s="2">
        <v>1200</v>
      </c>
      <c r="F162" s="2" t="s">
        <v>102</v>
      </c>
      <c r="G162" s="2" t="s">
        <v>227</v>
      </c>
      <c r="H162" s="2" t="s">
        <v>35</v>
      </c>
    </row>
    <row r="163" spans="1:8" ht="13" hidden="1">
      <c r="A163" s="15">
        <v>45162.88816509259</v>
      </c>
      <c r="B163" s="16">
        <v>45162</v>
      </c>
      <c r="C163" s="2" t="s">
        <v>228</v>
      </c>
      <c r="D163" s="2" t="s">
        <v>38</v>
      </c>
      <c r="E163" s="2">
        <v>1280</v>
      </c>
      <c r="F163" s="2" t="s">
        <v>102</v>
      </c>
      <c r="H163" s="2" t="s">
        <v>35</v>
      </c>
    </row>
    <row r="164" spans="1:8" ht="13" hidden="1">
      <c r="A164" s="15">
        <v>45162.888543761575</v>
      </c>
      <c r="B164" s="16">
        <v>45162</v>
      </c>
      <c r="C164" s="2" t="s">
        <v>229</v>
      </c>
      <c r="D164" s="2" t="s">
        <v>38</v>
      </c>
      <c r="E164" s="2">
        <v>240</v>
      </c>
      <c r="F164" s="2" t="s">
        <v>102</v>
      </c>
      <c r="G164" s="2" t="s">
        <v>103</v>
      </c>
      <c r="H164" s="2" t="s">
        <v>35</v>
      </c>
    </row>
    <row r="165" spans="1:8" ht="13" hidden="1">
      <c r="A165" s="15">
        <v>45162.888834293983</v>
      </c>
      <c r="B165" s="16">
        <v>45162</v>
      </c>
      <c r="C165" s="2" t="s">
        <v>116</v>
      </c>
      <c r="D165" s="2" t="s">
        <v>38</v>
      </c>
      <c r="E165" s="2">
        <v>742</v>
      </c>
      <c r="F165" s="2" t="s">
        <v>102</v>
      </c>
      <c r="G165" s="2" t="s">
        <v>145</v>
      </c>
      <c r="H165" s="2" t="s">
        <v>35</v>
      </c>
    </row>
    <row r="166" spans="1:8" ht="13" hidden="1">
      <c r="A166" s="15">
        <v>45162.887830405089</v>
      </c>
      <c r="B166" s="16">
        <v>45162</v>
      </c>
      <c r="C166" s="2" t="s">
        <v>110</v>
      </c>
      <c r="D166" s="2" t="s">
        <v>38</v>
      </c>
      <c r="E166" s="2">
        <v>248</v>
      </c>
      <c r="F166" s="2" t="s">
        <v>100</v>
      </c>
      <c r="G166" s="2" t="s">
        <v>103</v>
      </c>
      <c r="H166" s="2" t="s">
        <v>35</v>
      </c>
    </row>
    <row r="167" spans="1:8" ht="13" hidden="1">
      <c r="A167" s="15">
        <v>45171.566889965281</v>
      </c>
      <c r="B167" s="16">
        <v>45163</v>
      </c>
      <c r="C167" s="2" t="s">
        <v>209</v>
      </c>
      <c r="D167" s="2" t="s">
        <v>42</v>
      </c>
      <c r="E167" s="2">
        <v>990</v>
      </c>
      <c r="F167" s="2" t="s">
        <v>100</v>
      </c>
      <c r="H167" s="2" t="s">
        <v>35</v>
      </c>
    </row>
    <row r="168" spans="1:8" ht="13" hidden="1">
      <c r="A168" s="15">
        <v>45163.413578344909</v>
      </c>
      <c r="B168" s="16">
        <v>45163</v>
      </c>
      <c r="C168" s="2" t="s">
        <v>230</v>
      </c>
      <c r="E168" s="2">
        <v>379133</v>
      </c>
      <c r="H168" s="2" t="s">
        <v>34</v>
      </c>
    </row>
    <row r="169" spans="1:8" ht="13" hidden="1">
      <c r="A169" s="15">
        <v>45165.79515174769</v>
      </c>
      <c r="B169" s="16">
        <v>45163</v>
      </c>
      <c r="C169" s="2" t="s">
        <v>112</v>
      </c>
      <c r="D169" s="2" t="s">
        <v>38</v>
      </c>
      <c r="E169" s="2">
        <v>110</v>
      </c>
      <c r="F169" s="2" t="s">
        <v>102</v>
      </c>
      <c r="G169" s="2" t="s">
        <v>103</v>
      </c>
      <c r="H169" s="2" t="s">
        <v>35</v>
      </c>
    </row>
    <row r="170" spans="1:8" ht="13" hidden="1">
      <c r="A170" s="15">
        <v>45165.794512893517</v>
      </c>
      <c r="B170" s="16">
        <v>45163</v>
      </c>
      <c r="C170" s="2" t="s">
        <v>106</v>
      </c>
      <c r="D170" s="2" t="s">
        <v>38</v>
      </c>
      <c r="E170" s="2">
        <v>980</v>
      </c>
      <c r="F170" s="2" t="s">
        <v>102</v>
      </c>
      <c r="G170" s="2" t="s">
        <v>194</v>
      </c>
      <c r="H170" s="2" t="s">
        <v>35</v>
      </c>
    </row>
    <row r="171" spans="1:8" ht="13" hidden="1">
      <c r="A171" s="15">
        <v>45171.567296354166</v>
      </c>
      <c r="B171" s="16">
        <v>45164</v>
      </c>
      <c r="C171" s="2" t="s">
        <v>231</v>
      </c>
      <c r="D171" s="2" t="s">
        <v>39</v>
      </c>
      <c r="E171" s="2">
        <v>495</v>
      </c>
      <c r="F171" s="2" t="s">
        <v>100</v>
      </c>
      <c r="H171" s="2" t="s">
        <v>35</v>
      </c>
    </row>
    <row r="172" spans="1:8" ht="13" hidden="1">
      <c r="A172" s="15">
        <v>45171.567716064819</v>
      </c>
      <c r="B172" s="16">
        <v>45164</v>
      </c>
      <c r="C172" s="2" t="s">
        <v>232</v>
      </c>
      <c r="D172" s="2" t="s">
        <v>40</v>
      </c>
      <c r="E172" s="2">
        <v>500</v>
      </c>
      <c r="F172" s="2" t="s">
        <v>100</v>
      </c>
      <c r="H172" s="2" t="s">
        <v>35</v>
      </c>
    </row>
    <row r="173" spans="1:8" ht="13" hidden="1">
      <c r="A173" s="15">
        <v>45165.79546282407</v>
      </c>
      <c r="B173" s="16">
        <v>45164</v>
      </c>
      <c r="C173" s="2" t="s">
        <v>233</v>
      </c>
      <c r="D173" s="2" t="s">
        <v>39</v>
      </c>
      <c r="E173" s="2">
        <v>1000</v>
      </c>
      <c r="F173" s="2" t="s">
        <v>102</v>
      </c>
      <c r="H173" s="2" t="s">
        <v>35</v>
      </c>
    </row>
    <row r="174" spans="1:8" ht="13" hidden="1">
      <c r="A174" s="15">
        <v>45165.796084386573</v>
      </c>
      <c r="B174" s="16">
        <v>45164</v>
      </c>
      <c r="C174" s="2" t="s">
        <v>116</v>
      </c>
      <c r="D174" s="2" t="s">
        <v>38</v>
      </c>
      <c r="E174" s="2">
        <v>1179</v>
      </c>
      <c r="F174" s="2" t="s">
        <v>102</v>
      </c>
      <c r="G174" s="2" t="s">
        <v>145</v>
      </c>
      <c r="H174" s="2" t="s">
        <v>35</v>
      </c>
    </row>
    <row r="175" spans="1:8" ht="13" hidden="1">
      <c r="A175" s="15">
        <v>45165.795739131943</v>
      </c>
      <c r="B175" s="16">
        <v>45164</v>
      </c>
      <c r="C175" s="2" t="s">
        <v>234</v>
      </c>
      <c r="D175" s="2" t="s">
        <v>38</v>
      </c>
      <c r="E175" s="2">
        <v>1800</v>
      </c>
      <c r="F175" s="2" t="s">
        <v>102</v>
      </c>
      <c r="H175" s="2" t="s">
        <v>35</v>
      </c>
    </row>
    <row r="176" spans="1:8" ht="13" hidden="1">
      <c r="A176" s="15">
        <v>45165.796618541666</v>
      </c>
      <c r="B176" s="16">
        <v>45165</v>
      </c>
      <c r="C176" s="2" t="s">
        <v>114</v>
      </c>
      <c r="D176" s="2" t="s">
        <v>38</v>
      </c>
      <c r="E176" s="2">
        <v>491</v>
      </c>
      <c r="F176" s="2" t="s">
        <v>102</v>
      </c>
      <c r="H176" s="2" t="s">
        <v>35</v>
      </c>
    </row>
    <row r="177" spans="1:8" ht="13" hidden="1">
      <c r="A177" s="15">
        <v>45171.568008692135</v>
      </c>
      <c r="B177" s="16">
        <v>45165</v>
      </c>
      <c r="C177" s="2" t="s">
        <v>235</v>
      </c>
      <c r="D177" s="2" t="s">
        <v>43</v>
      </c>
      <c r="E177" s="2">
        <v>9800</v>
      </c>
      <c r="F177" s="2" t="s">
        <v>100</v>
      </c>
      <c r="H177" s="2" t="s">
        <v>35</v>
      </c>
    </row>
    <row r="178" spans="1:8" ht="13" hidden="1">
      <c r="A178" s="15">
        <v>45165.796355208338</v>
      </c>
      <c r="B178" s="16">
        <v>45165</v>
      </c>
      <c r="C178" s="2" t="s">
        <v>236</v>
      </c>
      <c r="D178" s="2" t="s">
        <v>45</v>
      </c>
      <c r="E178" s="2">
        <v>316</v>
      </c>
      <c r="F178" s="2" t="s">
        <v>102</v>
      </c>
      <c r="H178" s="2" t="s">
        <v>35</v>
      </c>
    </row>
    <row r="179" spans="1:8" ht="13" hidden="1">
      <c r="A179" s="15">
        <v>45133.881551979168</v>
      </c>
      <c r="B179" s="16">
        <v>45166</v>
      </c>
      <c r="C179" s="2" t="s">
        <v>237</v>
      </c>
      <c r="D179" s="2" t="s">
        <v>5</v>
      </c>
      <c r="E179" s="1">
        <v>93000</v>
      </c>
      <c r="F179" s="2" t="s">
        <v>102</v>
      </c>
      <c r="H179" s="2" t="s">
        <v>35</v>
      </c>
    </row>
    <row r="180" spans="1:8" ht="13" hidden="1">
      <c r="A180" s="15">
        <v>45178.815926550931</v>
      </c>
      <c r="B180" s="16">
        <v>45166</v>
      </c>
      <c r="C180" s="2" t="s">
        <v>232</v>
      </c>
      <c r="D180" s="2" t="s">
        <v>40</v>
      </c>
      <c r="E180" s="2">
        <v>500</v>
      </c>
      <c r="F180" s="2" t="s">
        <v>100</v>
      </c>
      <c r="H180" s="2" t="s">
        <v>35</v>
      </c>
    </row>
    <row r="181" spans="1:8" ht="13" hidden="1">
      <c r="A181" s="15">
        <v>45171.559978101854</v>
      </c>
      <c r="B181" s="16">
        <v>45166</v>
      </c>
      <c r="C181" s="2" t="s">
        <v>106</v>
      </c>
      <c r="D181" s="2" t="s">
        <v>38</v>
      </c>
      <c r="E181" s="2">
        <v>1300</v>
      </c>
      <c r="F181" s="2" t="s">
        <v>102</v>
      </c>
      <c r="G181" s="2" t="s">
        <v>200</v>
      </c>
      <c r="H181" s="2" t="s">
        <v>35</v>
      </c>
    </row>
    <row r="182" spans="1:8" ht="13" hidden="1">
      <c r="A182" s="15">
        <v>45178.8162921412</v>
      </c>
      <c r="B182" s="16">
        <v>45166</v>
      </c>
      <c r="C182" s="2" t="s">
        <v>238</v>
      </c>
      <c r="D182" s="2" t="s">
        <v>49</v>
      </c>
      <c r="E182" s="2">
        <v>4980</v>
      </c>
      <c r="F182" s="2" t="s">
        <v>100</v>
      </c>
      <c r="H182" s="2" t="s">
        <v>35</v>
      </c>
    </row>
    <row r="183" spans="1:8" ht="13" hidden="1">
      <c r="A183" s="15">
        <v>45135.882540740742</v>
      </c>
      <c r="B183" s="16">
        <v>45166</v>
      </c>
      <c r="C183" s="2" t="s">
        <v>239</v>
      </c>
      <c r="D183" s="2" t="s">
        <v>47</v>
      </c>
      <c r="E183" s="2">
        <v>14000</v>
      </c>
      <c r="F183" s="2" t="s">
        <v>102</v>
      </c>
      <c r="H183" s="2" t="s">
        <v>35</v>
      </c>
    </row>
    <row r="184" spans="1:8" ht="13" hidden="1">
      <c r="A184" s="15">
        <v>45135.883530324078</v>
      </c>
      <c r="B184" s="16">
        <v>45166</v>
      </c>
      <c r="C184" s="2" t="s">
        <v>146</v>
      </c>
      <c r="D184" s="2" t="s">
        <v>47</v>
      </c>
      <c r="E184" s="2">
        <v>3400</v>
      </c>
      <c r="F184" s="2" t="s">
        <v>102</v>
      </c>
      <c r="H184" s="2" t="s">
        <v>35</v>
      </c>
    </row>
    <row r="185" spans="1:8" ht="13" hidden="1">
      <c r="A185" s="15">
        <v>45135.882035543982</v>
      </c>
      <c r="B185" s="16">
        <v>45166</v>
      </c>
      <c r="C185" s="2" t="s">
        <v>9</v>
      </c>
      <c r="D185" s="2" t="s">
        <v>47</v>
      </c>
      <c r="E185" s="2">
        <v>13600</v>
      </c>
      <c r="F185" s="2" t="s">
        <v>102</v>
      </c>
      <c r="H185" s="2" t="s">
        <v>35</v>
      </c>
    </row>
    <row r="186" spans="1:8" ht="13" hidden="1">
      <c r="A186" s="15">
        <v>45178.816986805556</v>
      </c>
      <c r="B186" s="16">
        <v>45167</v>
      </c>
      <c r="C186" s="2" t="s">
        <v>240</v>
      </c>
      <c r="D186" s="2" t="s">
        <v>42</v>
      </c>
      <c r="E186" s="2">
        <v>990</v>
      </c>
      <c r="F186" s="2" t="s">
        <v>100</v>
      </c>
      <c r="H186" s="2" t="s">
        <v>35</v>
      </c>
    </row>
    <row r="187" spans="1:8" ht="13" hidden="1">
      <c r="A187" s="15">
        <v>45178.817468668982</v>
      </c>
      <c r="B187" s="16">
        <v>45167</v>
      </c>
      <c r="C187" s="2" t="s">
        <v>209</v>
      </c>
      <c r="D187" s="2" t="s">
        <v>40</v>
      </c>
      <c r="E187" s="2">
        <v>1000</v>
      </c>
      <c r="F187" s="2" t="s">
        <v>100</v>
      </c>
      <c r="H187" s="2" t="s">
        <v>35</v>
      </c>
    </row>
    <row r="188" spans="1:8" ht="13" hidden="1">
      <c r="A188" s="15">
        <v>45171.560420810187</v>
      </c>
      <c r="B188" s="16">
        <v>45167</v>
      </c>
      <c r="C188" s="2" t="s">
        <v>241</v>
      </c>
      <c r="D188" s="2" t="s">
        <v>38</v>
      </c>
      <c r="E188" s="2">
        <v>318</v>
      </c>
      <c r="F188" s="2" t="s">
        <v>102</v>
      </c>
      <c r="G188" s="2" t="s">
        <v>103</v>
      </c>
      <c r="H188" s="2" t="s">
        <v>35</v>
      </c>
    </row>
    <row r="189" spans="1:8" ht="13" hidden="1">
      <c r="A189" s="15">
        <v>45171.560847615736</v>
      </c>
      <c r="B189" s="16">
        <v>45167</v>
      </c>
      <c r="C189" s="2" t="s">
        <v>242</v>
      </c>
      <c r="D189" s="2" t="s">
        <v>38</v>
      </c>
      <c r="E189" s="2">
        <v>159</v>
      </c>
      <c r="F189" s="2" t="s">
        <v>102</v>
      </c>
      <c r="G189" s="2" t="s">
        <v>103</v>
      </c>
      <c r="H189" s="2" t="s">
        <v>35</v>
      </c>
    </row>
    <row r="190" spans="1:8" ht="13" hidden="1">
      <c r="A190" s="15">
        <v>45171.56121216435</v>
      </c>
      <c r="B190" s="16">
        <v>45167</v>
      </c>
      <c r="C190" s="2" t="s">
        <v>243</v>
      </c>
      <c r="D190" s="2" t="s">
        <v>45</v>
      </c>
      <c r="E190" s="2">
        <v>196</v>
      </c>
      <c r="F190" s="2" t="s">
        <v>102</v>
      </c>
      <c r="H190" s="2" t="s">
        <v>35</v>
      </c>
    </row>
    <row r="191" spans="1:8" ht="13" hidden="1">
      <c r="A191" s="15">
        <v>45157.801774085645</v>
      </c>
      <c r="B191" s="16">
        <v>45167</v>
      </c>
      <c r="C191" s="2" t="s">
        <v>244</v>
      </c>
      <c r="D191" s="2" t="s">
        <v>152</v>
      </c>
      <c r="E191" s="2">
        <v>91712</v>
      </c>
      <c r="F191" s="2" t="s">
        <v>102</v>
      </c>
      <c r="H191" s="2" t="s">
        <v>35</v>
      </c>
    </row>
    <row r="192" spans="1:8" ht="13" hidden="1">
      <c r="A192" s="15">
        <v>45171.561613668979</v>
      </c>
      <c r="B192" s="16">
        <v>45167</v>
      </c>
      <c r="C192" s="2" t="s">
        <v>116</v>
      </c>
      <c r="D192" s="2" t="s">
        <v>38</v>
      </c>
      <c r="E192" s="2">
        <v>1427</v>
      </c>
      <c r="F192" s="2" t="s">
        <v>102</v>
      </c>
      <c r="G192" s="2" t="s">
        <v>145</v>
      </c>
      <c r="H192" s="2" t="s">
        <v>35</v>
      </c>
    </row>
    <row r="193" spans="1:8" ht="13" hidden="1">
      <c r="A193" s="15">
        <v>45171.562967569444</v>
      </c>
      <c r="B193" s="16">
        <v>45168</v>
      </c>
      <c r="C193" s="2" t="s">
        <v>241</v>
      </c>
      <c r="D193" s="2" t="s">
        <v>38</v>
      </c>
      <c r="E193" s="2">
        <v>280</v>
      </c>
      <c r="F193" s="2" t="s">
        <v>102</v>
      </c>
      <c r="G193" s="2" t="s">
        <v>103</v>
      </c>
      <c r="H193" s="2" t="s">
        <v>35</v>
      </c>
    </row>
    <row r="194" spans="1:8" ht="13" hidden="1">
      <c r="A194" s="15">
        <v>45171.562340462959</v>
      </c>
      <c r="B194" s="16">
        <v>45168</v>
      </c>
      <c r="C194" s="2" t="s">
        <v>112</v>
      </c>
      <c r="D194" s="2" t="s">
        <v>38</v>
      </c>
      <c r="E194" s="2">
        <v>110</v>
      </c>
      <c r="F194" s="2" t="s">
        <v>102</v>
      </c>
      <c r="G194" s="2" t="s">
        <v>103</v>
      </c>
      <c r="H194" s="2" t="s">
        <v>35</v>
      </c>
    </row>
    <row r="195" spans="1:8" ht="13" hidden="1">
      <c r="A195" s="15">
        <v>45171.561989918977</v>
      </c>
      <c r="B195" s="16">
        <v>45168</v>
      </c>
      <c r="C195" s="2" t="s">
        <v>106</v>
      </c>
      <c r="D195" s="2" t="s">
        <v>38</v>
      </c>
      <c r="E195" s="2">
        <v>1200</v>
      </c>
      <c r="F195" s="2" t="s">
        <v>102</v>
      </c>
      <c r="G195" s="2" t="s">
        <v>227</v>
      </c>
      <c r="H195" s="2" t="s">
        <v>35</v>
      </c>
    </row>
    <row r="196" spans="1:8" ht="13" hidden="1">
      <c r="A196" s="15">
        <v>45171.563778136573</v>
      </c>
      <c r="B196" s="16">
        <v>45169</v>
      </c>
      <c r="C196" s="2" t="s">
        <v>245</v>
      </c>
      <c r="D196" s="2" t="s">
        <v>38</v>
      </c>
      <c r="E196" s="2">
        <v>181</v>
      </c>
      <c r="F196" s="2" t="s">
        <v>102</v>
      </c>
      <c r="G196" s="2" t="s">
        <v>103</v>
      </c>
      <c r="H196" s="2" t="s">
        <v>35</v>
      </c>
    </row>
    <row r="197" spans="1:8" ht="13" hidden="1">
      <c r="A197" s="15">
        <v>45171.563391053242</v>
      </c>
      <c r="B197" s="16">
        <v>45169</v>
      </c>
      <c r="C197" s="2" t="s">
        <v>246</v>
      </c>
      <c r="D197" s="2" t="s">
        <v>38</v>
      </c>
      <c r="E197" s="2">
        <v>950</v>
      </c>
      <c r="F197" s="2" t="s">
        <v>102</v>
      </c>
      <c r="H197" s="2" t="s">
        <v>35</v>
      </c>
    </row>
    <row r="198" spans="1:8" ht="13" hidden="1">
      <c r="A198" s="15">
        <v>45178.819239282406</v>
      </c>
      <c r="B198" s="16">
        <v>45170</v>
      </c>
      <c r="C198" s="2" t="s">
        <v>247</v>
      </c>
      <c r="D198" s="2" t="s">
        <v>39</v>
      </c>
      <c r="E198" s="2">
        <v>3600</v>
      </c>
      <c r="F198" s="2" t="s">
        <v>100</v>
      </c>
      <c r="H198" s="2" t="s">
        <v>35</v>
      </c>
    </row>
    <row r="199" spans="1:8" ht="13" hidden="1">
      <c r="A199" s="15">
        <v>45178.818844594905</v>
      </c>
      <c r="B199" s="16">
        <v>45170</v>
      </c>
      <c r="C199" s="2" t="s">
        <v>10</v>
      </c>
      <c r="D199" s="2" t="s">
        <v>45</v>
      </c>
      <c r="E199" s="2">
        <v>280</v>
      </c>
      <c r="F199" s="2" t="s">
        <v>100</v>
      </c>
      <c r="H199" s="2" t="s">
        <v>35</v>
      </c>
    </row>
    <row r="200" spans="1:8" ht="13" hidden="1">
      <c r="A200" s="15">
        <v>45171.564344953702</v>
      </c>
      <c r="B200" s="16">
        <v>45170</v>
      </c>
      <c r="C200" s="2" t="s">
        <v>112</v>
      </c>
      <c r="D200" s="2" t="s">
        <v>38</v>
      </c>
      <c r="E200" s="2">
        <v>110</v>
      </c>
      <c r="F200" s="2" t="s">
        <v>102</v>
      </c>
      <c r="G200" s="2" t="s">
        <v>103</v>
      </c>
      <c r="H200" s="2" t="s">
        <v>35</v>
      </c>
    </row>
    <row r="201" spans="1:8" ht="13" hidden="1">
      <c r="A201" s="15">
        <v>45178.818423969904</v>
      </c>
      <c r="B201" s="16">
        <v>45170</v>
      </c>
      <c r="C201" s="2" t="s">
        <v>248</v>
      </c>
      <c r="D201" s="2" t="s">
        <v>49</v>
      </c>
      <c r="E201" s="2">
        <v>700</v>
      </c>
      <c r="F201" s="2" t="s">
        <v>100</v>
      </c>
      <c r="H201" s="2" t="s">
        <v>35</v>
      </c>
    </row>
    <row r="202" spans="1:8" ht="13" hidden="1">
      <c r="A202" s="15">
        <v>45171.564075740738</v>
      </c>
      <c r="B202" s="16">
        <v>45170</v>
      </c>
      <c r="C202" s="2" t="s">
        <v>249</v>
      </c>
      <c r="D202" s="2" t="s">
        <v>38</v>
      </c>
      <c r="E202" s="2">
        <v>830</v>
      </c>
      <c r="F202" s="2" t="s">
        <v>102</v>
      </c>
      <c r="H202" s="2" t="s">
        <v>35</v>
      </c>
    </row>
    <row r="203" spans="1:8" ht="13" hidden="1">
      <c r="A203" s="15">
        <v>45178.819795567135</v>
      </c>
      <c r="B203" s="16">
        <v>45171</v>
      </c>
      <c r="C203" s="2" t="s">
        <v>250</v>
      </c>
      <c r="D203" s="2" t="s">
        <v>46</v>
      </c>
      <c r="E203" s="2">
        <v>1760</v>
      </c>
      <c r="F203" s="2" t="s">
        <v>100</v>
      </c>
      <c r="G203" s="2" t="s">
        <v>129</v>
      </c>
      <c r="H203" s="2" t="s">
        <v>35</v>
      </c>
    </row>
    <row r="204" spans="1:8" ht="13" hidden="1">
      <c r="A204" s="15">
        <v>45172.967808020832</v>
      </c>
      <c r="B204" s="16">
        <v>45171</v>
      </c>
      <c r="C204" s="2" t="s">
        <v>251</v>
      </c>
      <c r="D204" s="2" t="s">
        <v>39</v>
      </c>
      <c r="E204" s="2">
        <v>5350</v>
      </c>
      <c r="F204" s="2" t="s">
        <v>102</v>
      </c>
      <c r="H204" s="2" t="s">
        <v>35</v>
      </c>
    </row>
    <row r="205" spans="1:8" ht="13" hidden="1">
      <c r="A205" s="15">
        <v>45172.968482905097</v>
      </c>
      <c r="B205" s="16">
        <v>45171</v>
      </c>
      <c r="C205" s="2" t="s">
        <v>252</v>
      </c>
      <c r="D205" s="2" t="s">
        <v>39</v>
      </c>
      <c r="E205" s="2">
        <v>2200</v>
      </c>
      <c r="F205" s="2" t="s">
        <v>102</v>
      </c>
      <c r="H205" s="2" t="s">
        <v>35</v>
      </c>
    </row>
    <row r="206" spans="1:8" ht="13" hidden="1">
      <c r="A206" s="15">
        <v>45172.968716307871</v>
      </c>
      <c r="B206" s="16">
        <v>45171</v>
      </c>
      <c r="C206" s="2" t="s">
        <v>252</v>
      </c>
      <c r="D206" s="2" t="s">
        <v>39</v>
      </c>
      <c r="E206" s="2">
        <v>1900</v>
      </c>
      <c r="F206" s="2" t="s">
        <v>102</v>
      </c>
      <c r="H206" s="2" t="s">
        <v>35</v>
      </c>
    </row>
    <row r="207" spans="1:8" ht="13" hidden="1">
      <c r="A207" s="15">
        <v>45172.968185983795</v>
      </c>
      <c r="B207" s="16">
        <v>45171</v>
      </c>
      <c r="C207" s="2" t="s">
        <v>253</v>
      </c>
      <c r="E207" s="2">
        <v>3000</v>
      </c>
      <c r="H207" s="2" t="s">
        <v>34</v>
      </c>
    </row>
    <row r="208" spans="1:8" ht="13" hidden="1">
      <c r="A208" s="15">
        <v>45171.564668171297</v>
      </c>
      <c r="B208" s="16">
        <v>45171</v>
      </c>
      <c r="C208" s="2" t="s">
        <v>116</v>
      </c>
      <c r="D208" s="2" t="s">
        <v>38</v>
      </c>
      <c r="E208" s="2">
        <v>613</v>
      </c>
      <c r="F208" s="2" t="s">
        <v>102</v>
      </c>
      <c r="H208" s="2" t="s">
        <v>35</v>
      </c>
    </row>
    <row r="209" spans="1:8" ht="13" hidden="1">
      <c r="A209" s="15">
        <v>45172.969062870368</v>
      </c>
      <c r="B209" s="16">
        <v>45172</v>
      </c>
      <c r="C209" s="2" t="s">
        <v>163</v>
      </c>
      <c r="D209" s="2" t="s">
        <v>38</v>
      </c>
      <c r="E209" s="2">
        <v>1880</v>
      </c>
      <c r="F209" s="2" t="s">
        <v>102</v>
      </c>
      <c r="G209" s="2" t="s">
        <v>164</v>
      </c>
      <c r="H209" s="2" t="s">
        <v>35</v>
      </c>
    </row>
    <row r="210" spans="1:8" ht="13" hidden="1">
      <c r="A210" s="15">
        <v>45172.969377256944</v>
      </c>
      <c r="B210" s="16">
        <v>45172</v>
      </c>
      <c r="C210" s="2" t="s">
        <v>116</v>
      </c>
      <c r="D210" s="2" t="s">
        <v>38</v>
      </c>
      <c r="E210" s="2">
        <v>2159</v>
      </c>
      <c r="F210" s="2" t="s">
        <v>102</v>
      </c>
      <c r="G210" s="2" t="s">
        <v>145</v>
      </c>
      <c r="H210" s="2" t="s">
        <v>35</v>
      </c>
    </row>
    <row r="211" spans="1:8" ht="13" hidden="1">
      <c r="A211" s="15">
        <v>45178.820167465281</v>
      </c>
      <c r="B211" s="16">
        <v>45172</v>
      </c>
      <c r="C211" s="2" t="s">
        <v>254</v>
      </c>
      <c r="D211" s="2" t="s">
        <v>40</v>
      </c>
      <c r="E211" s="2">
        <v>12130</v>
      </c>
      <c r="F211" s="2" t="s">
        <v>100</v>
      </c>
      <c r="H211" s="2" t="s">
        <v>35</v>
      </c>
    </row>
    <row r="212" spans="1:8" ht="13" hidden="1">
      <c r="A212" s="15">
        <v>45178.810626574079</v>
      </c>
      <c r="B212" s="16">
        <v>45173</v>
      </c>
      <c r="C212" s="2" t="s">
        <v>112</v>
      </c>
      <c r="D212" s="2" t="s">
        <v>38</v>
      </c>
      <c r="E212" s="2">
        <v>110</v>
      </c>
      <c r="F212" s="2" t="s">
        <v>102</v>
      </c>
      <c r="G212" s="2" t="s">
        <v>103</v>
      </c>
      <c r="H212" s="2" t="s">
        <v>35</v>
      </c>
    </row>
    <row r="213" spans="1:8" ht="13" hidden="1">
      <c r="A213" s="15">
        <v>45178.812000868056</v>
      </c>
      <c r="B213" s="16">
        <v>45173</v>
      </c>
      <c r="C213" s="2" t="s">
        <v>255</v>
      </c>
      <c r="D213" s="2" t="s">
        <v>38</v>
      </c>
      <c r="E213" s="2">
        <v>1100</v>
      </c>
      <c r="F213" s="2" t="s">
        <v>102</v>
      </c>
      <c r="G213" s="2" t="s">
        <v>256</v>
      </c>
      <c r="H213" s="2" t="s">
        <v>35</v>
      </c>
    </row>
    <row r="214" spans="1:8" ht="13" hidden="1">
      <c r="A214" s="15">
        <v>45178.810983472227</v>
      </c>
      <c r="B214" s="16">
        <v>45173</v>
      </c>
      <c r="C214" s="2" t="s">
        <v>257</v>
      </c>
      <c r="D214" s="2" t="s">
        <v>38</v>
      </c>
      <c r="E214" s="2">
        <v>400</v>
      </c>
      <c r="F214" s="2" t="s">
        <v>102</v>
      </c>
      <c r="G214" s="2" t="s">
        <v>199</v>
      </c>
      <c r="H214" s="2" t="s">
        <v>35</v>
      </c>
    </row>
    <row r="215" spans="1:8" ht="13" hidden="1">
      <c r="A215" s="15">
        <v>45178.820527361109</v>
      </c>
      <c r="B215" s="16">
        <v>45174</v>
      </c>
      <c r="C215" s="2" t="s">
        <v>240</v>
      </c>
      <c r="D215" s="2" t="s">
        <v>40</v>
      </c>
      <c r="E215" s="2">
        <v>990</v>
      </c>
      <c r="F215" s="2" t="s">
        <v>100</v>
      </c>
      <c r="H215" s="2" t="s">
        <v>35</v>
      </c>
    </row>
    <row r="216" spans="1:8" ht="13" hidden="1">
      <c r="A216" s="15">
        <v>45174.687899710647</v>
      </c>
      <c r="B216" s="16">
        <v>45174</v>
      </c>
      <c r="C216" s="2" t="s">
        <v>258</v>
      </c>
      <c r="E216" s="2">
        <v>25710</v>
      </c>
      <c r="H216" s="2" t="s">
        <v>34</v>
      </c>
    </row>
    <row r="217" spans="1:8" ht="13" hidden="1">
      <c r="A217" s="15">
        <v>45178.811355578699</v>
      </c>
      <c r="B217" s="16">
        <v>45174</v>
      </c>
      <c r="C217" s="2" t="s">
        <v>116</v>
      </c>
      <c r="D217" s="2" t="s">
        <v>38</v>
      </c>
      <c r="E217" s="2">
        <v>676</v>
      </c>
      <c r="F217" s="2" t="s">
        <v>102</v>
      </c>
      <c r="G217" s="2" t="s">
        <v>145</v>
      </c>
      <c r="H217" s="2" t="s">
        <v>35</v>
      </c>
    </row>
    <row r="218" spans="1:8" ht="13" hidden="1">
      <c r="A218" s="15">
        <v>45178.813099409723</v>
      </c>
      <c r="B218" s="16">
        <v>45175</v>
      </c>
      <c r="C218" s="2" t="s">
        <v>112</v>
      </c>
      <c r="D218" s="2" t="s">
        <v>38</v>
      </c>
      <c r="E218" s="2">
        <v>110</v>
      </c>
      <c r="F218" s="2" t="s">
        <v>102</v>
      </c>
      <c r="G218" s="2" t="s">
        <v>103</v>
      </c>
      <c r="H218" s="2" t="s">
        <v>35</v>
      </c>
    </row>
    <row r="219" spans="1:8" ht="13" hidden="1">
      <c r="A219" s="15">
        <v>45178.812652789347</v>
      </c>
      <c r="B219" s="16">
        <v>45175</v>
      </c>
      <c r="C219" s="2" t="s">
        <v>259</v>
      </c>
      <c r="D219" s="2" t="s">
        <v>38</v>
      </c>
      <c r="E219" s="2">
        <v>1100</v>
      </c>
      <c r="F219" s="2" t="s">
        <v>102</v>
      </c>
      <c r="G219" s="2" t="s">
        <v>260</v>
      </c>
      <c r="H219" s="2" t="s">
        <v>35</v>
      </c>
    </row>
    <row r="220" spans="1:8" ht="13" hidden="1">
      <c r="A220" s="15">
        <v>45178.813443553241</v>
      </c>
      <c r="B220" s="16">
        <v>45175</v>
      </c>
      <c r="C220" s="2" t="s">
        <v>116</v>
      </c>
      <c r="D220" s="2" t="s">
        <v>38</v>
      </c>
      <c r="E220" s="2">
        <v>265</v>
      </c>
      <c r="F220" s="2" t="s">
        <v>102</v>
      </c>
      <c r="G220" s="2" t="s">
        <v>145</v>
      </c>
      <c r="H220" s="2" t="s">
        <v>35</v>
      </c>
    </row>
    <row r="221" spans="1:8" ht="13" hidden="1">
      <c r="A221" s="15">
        <v>45178.812344120372</v>
      </c>
      <c r="B221" s="16">
        <v>45175</v>
      </c>
      <c r="C221" s="2" t="s">
        <v>110</v>
      </c>
      <c r="D221" s="2" t="s">
        <v>38</v>
      </c>
      <c r="E221" s="2">
        <v>413</v>
      </c>
      <c r="F221" s="2" t="s">
        <v>102</v>
      </c>
      <c r="G221" s="2" t="s">
        <v>103</v>
      </c>
      <c r="H221" s="2" t="s">
        <v>35</v>
      </c>
    </row>
    <row r="222" spans="1:8" ht="13" hidden="1">
      <c r="A222" s="15">
        <v>45178.820931006943</v>
      </c>
      <c r="B222" s="16">
        <v>45175</v>
      </c>
      <c r="C222" s="2" t="s">
        <v>261</v>
      </c>
      <c r="D222" s="2" t="s">
        <v>46</v>
      </c>
      <c r="E222" s="2">
        <v>3003</v>
      </c>
      <c r="F222" s="2" t="s">
        <v>100</v>
      </c>
      <c r="H222" s="2" t="s">
        <v>35</v>
      </c>
    </row>
    <row r="223" spans="1:8" ht="13" hidden="1">
      <c r="A223" s="15">
        <v>45178.813783877311</v>
      </c>
      <c r="B223" s="16">
        <v>45176</v>
      </c>
      <c r="C223" s="2" t="s">
        <v>262</v>
      </c>
      <c r="D223" s="2" t="s">
        <v>38</v>
      </c>
      <c r="E223" s="2">
        <v>1100</v>
      </c>
      <c r="F223" s="2" t="s">
        <v>102</v>
      </c>
      <c r="G223" s="2" t="s">
        <v>227</v>
      </c>
      <c r="H223" s="2" t="s">
        <v>35</v>
      </c>
    </row>
    <row r="224" spans="1:8" ht="13" hidden="1">
      <c r="A224" s="15">
        <v>45178.814235648148</v>
      </c>
      <c r="B224" s="16">
        <v>45176</v>
      </c>
      <c r="C224" s="2" t="s">
        <v>116</v>
      </c>
      <c r="D224" s="2" t="s">
        <v>38</v>
      </c>
      <c r="E224" s="2">
        <v>1131</v>
      </c>
      <c r="F224" s="2" t="s">
        <v>102</v>
      </c>
      <c r="G224" s="2" t="s">
        <v>145</v>
      </c>
      <c r="H224" s="2" t="s">
        <v>35</v>
      </c>
    </row>
    <row r="225" spans="1:8" ht="13" hidden="1">
      <c r="A225" s="15">
        <v>45181.89863059028</v>
      </c>
      <c r="B225" s="16">
        <v>45177</v>
      </c>
      <c r="C225" s="2" t="s">
        <v>232</v>
      </c>
      <c r="D225" s="2" t="s">
        <v>40</v>
      </c>
      <c r="E225" s="2">
        <v>1000</v>
      </c>
      <c r="F225" s="2" t="s">
        <v>100</v>
      </c>
      <c r="H225" s="2" t="s">
        <v>35</v>
      </c>
    </row>
    <row r="226" spans="1:8" ht="13" hidden="1">
      <c r="A226" s="15">
        <v>45181.898332731478</v>
      </c>
      <c r="B226" s="16">
        <v>45177</v>
      </c>
      <c r="C226" s="2" t="s">
        <v>193</v>
      </c>
      <c r="D226" s="2" t="s">
        <v>48</v>
      </c>
      <c r="E226" s="2">
        <v>600</v>
      </c>
      <c r="F226" s="2" t="s">
        <v>100</v>
      </c>
      <c r="H226" s="2" t="s">
        <v>35</v>
      </c>
    </row>
    <row r="227" spans="1:8" ht="13" hidden="1">
      <c r="A227" s="15">
        <v>45178.814656076385</v>
      </c>
      <c r="B227" s="16">
        <v>45177</v>
      </c>
      <c r="C227" s="2" t="s">
        <v>116</v>
      </c>
      <c r="D227" s="2" t="s">
        <v>38</v>
      </c>
      <c r="E227" s="2">
        <v>457</v>
      </c>
      <c r="F227" s="2" t="s">
        <v>102</v>
      </c>
      <c r="G227" s="2" t="s">
        <v>145</v>
      </c>
      <c r="H227" s="2" t="s">
        <v>35</v>
      </c>
    </row>
    <row r="228" spans="1:8" ht="13" hidden="1">
      <c r="A228" s="15">
        <v>45181.898891226854</v>
      </c>
      <c r="B228" s="16">
        <v>45178</v>
      </c>
      <c r="C228" s="2" t="s">
        <v>15</v>
      </c>
      <c r="D228" s="2" t="s">
        <v>48</v>
      </c>
      <c r="E228" s="2">
        <v>880</v>
      </c>
      <c r="F228" s="2" t="s">
        <v>100</v>
      </c>
      <c r="H228" s="2" t="s">
        <v>35</v>
      </c>
    </row>
    <row r="229" spans="1:8" ht="13" hidden="1">
      <c r="A229" s="15">
        <v>45178.946150925927</v>
      </c>
      <c r="B229" s="16">
        <v>45178</v>
      </c>
      <c r="C229" s="2" t="s">
        <v>154</v>
      </c>
      <c r="D229" s="2" t="s">
        <v>38</v>
      </c>
      <c r="E229" s="2">
        <v>500</v>
      </c>
      <c r="F229" s="2" t="s">
        <v>102</v>
      </c>
      <c r="H229" s="2" t="s">
        <v>35</v>
      </c>
    </row>
    <row r="230" spans="1:8" ht="13" hidden="1">
      <c r="A230" s="15">
        <v>45178.815077418985</v>
      </c>
      <c r="B230" s="16">
        <v>45178</v>
      </c>
      <c r="C230" s="2" t="s">
        <v>263</v>
      </c>
      <c r="D230" s="2" t="s">
        <v>38</v>
      </c>
      <c r="E230" s="2">
        <v>2150</v>
      </c>
      <c r="F230" s="2" t="s">
        <v>102</v>
      </c>
      <c r="G230" s="2" t="s">
        <v>264</v>
      </c>
      <c r="H230" s="2" t="s">
        <v>35</v>
      </c>
    </row>
    <row r="231" spans="1:8" ht="13" hidden="1">
      <c r="A231" s="15">
        <v>45185.8189359838</v>
      </c>
      <c r="B231" s="16">
        <v>45179</v>
      </c>
      <c r="C231" s="2" t="s">
        <v>265</v>
      </c>
      <c r="D231" s="2" t="s">
        <v>45</v>
      </c>
      <c r="E231" s="2">
        <v>880</v>
      </c>
      <c r="F231" s="2" t="s">
        <v>100</v>
      </c>
      <c r="H231" s="2" t="s">
        <v>35</v>
      </c>
    </row>
    <row r="232" spans="1:8" ht="13" hidden="1">
      <c r="A232" s="15">
        <v>45185.819772071758</v>
      </c>
      <c r="B232" s="16">
        <v>45179</v>
      </c>
      <c r="C232" s="2" t="s">
        <v>266</v>
      </c>
      <c r="D232" s="2" t="s">
        <v>46</v>
      </c>
      <c r="E232" s="2">
        <v>784</v>
      </c>
      <c r="F232" s="2" t="s">
        <v>100</v>
      </c>
      <c r="H232" s="2" t="s">
        <v>35</v>
      </c>
    </row>
    <row r="233" spans="1:8" ht="13" hidden="1">
      <c r="A233" s="15">
        <v>45185.819353078703</v>
      </c>
      <c r="B233" s="16">
        <v>45179</v>
      </c>
      <c r="C233" s="2" t="s">
        <v>240</v>
      </c>
      <c r="D233" s="2" t="s">
        <v>42</v>
      </c>
      <c r="E233" s="2">
        <v>110</v>
      </c>
      <c r="F233" s="2" t="s">
        <v>100</v>
      </c>
      <c r="H233" s="2" t="s">
        <v>35</v>
      </c>
    </row>
    <row r="234" spans="1:8" ht="13" hidden="1">
      <c r="A234" s="15">
        <v>45181.892086423613</v>
      </c>
      <c r="B234" s="16">
        <v>45179</v>
      </c>
      <c r="C234" s="2" t="s">
        <v>267</v>
      </c>
      <c r="D234" s="2" t="s">
        <v>45</v>
      </c>
      <c r="E234" s="2">
        <v>110</v>
      </c>
      <c r="F234" s="2" t="s">
        <v>102</v>
      </c>
      <c r="G234" s="2" t="s">
        <v>169</v>
      </c>
      <c r="H234" s="2" t="s">
        <v>35</v>
      </c>
    </row>
    <row r="235" spans="1:8" ht="13" hidden="1">
      <c r="A235" s="15">
        <v>45185.817805856481</v>
      </c>
      <c r="B235" s="16">
        <v>45179</v>
      </c>
      <c r="C235" s="2" t="s">
        <v>268</v>
      </c>
      <c r="D235" s="2" t="s">
        <v>45</v>
      </c>
      <c r="E235" s="2">
        <v>5500</v>
      </c>
      <c r="F235" s="2" t="s">
        <v>100</v>
      </c>
      <c r="H235" s="2" t="s">
        <v>35</v>
      </c>
    </row>
    <row r="236" spans="1:8" ht="13" hidden="1">
      <c r="A236" s="15">
        <v>45181.892370856483</v>
      </c>
      <c r="B236" s="16">
        <v>45179</v>
      </c>
      <c r="C236" s="2" t="s">
        <v>114</v>
      </c>
      <c r="D236" s="2" t="s">
        <v>38</v>
      </c>
      <c r="E236" s="2">
        <v>518</v>
      </c>
      <c r="F236" s="2" t="s">
        <v>102</v>
      </c>
      <c r="G236" s="2" t="s">
        <v>269</v>
      </c>
      <c r="H236" s="2" t="s">
        <v>35</v>
      </c>
    </row>
    <row r="237" spans="1:8" ht="13" hidden="1">
      <c r="A237" s="15">
        <v>45181.891699884261</v>
      </c>
      <c r="B237" s="16">
        <v>45179</v>
      </c>
      <c r="C237" s="2" t="s">
        <v>116</v>
      </c>
      <c r="D237" s="2" t="s">
        <v>38</v>
      </c>
      <c r="E237" s="2">
        <v>655</v>
      </c>
      <c r="F237" s="2" t="s">
        <v>102</v>
      </c>
      <c r="G237" s="2" t="s">
        <v>145</v>
      </c>
      <c r="H237" s="2" t="s">
        <v>35</v>
      </c>
    </row>
    <row r="238" spans="1:8" ht="13" hidden="1">
      <c r="A238" s="15">
        <v>45185.82100891204</v>
      </c>
      <c r="B238" s="16">
        <v>45180</v>
      </c>
      <c r="C238" s="2" t="s">
        <v>270</v>
      </c>
      <c r="D238" s="2" t="s">
        <v>42</v>
      </c>
      <c r="E238" s="2">
        <v>5778</v>
      </c>
      <c r="F238" s="2" t="s">
        <v>100</v>
      </c>
      <c r="H238" s="2" t="s">
        <v>35</v>
      </c>
    </row>
    <row r="239" spans="1:8" ht="13" hidden="1">
      <c r="A239" s="15">
        <v>45185.820092638889</v>
      </c>
      <c r="B239" s="16">
        <v>45180</v>
      </c>
      <c r="C239" s="2" t="s">
        <v>209</v>
      </c>
      <c r="D239" s="2" t="s">
        <v>42</v>
      </c>
      <c r="E239" s="2">
        <v>990</v>
      </c>
      <c r="F239" s="2" t="s">
        <v>100</v>
      </c>
      <c r="H239" s="2" t="s">
        <v>35</v>
      </c>
    </row>
    <row r="240" spans="1:8" ht="13" hidden="1">
      <c r="A240" s="15">
        <v>45185.820410057873</v>
      </c>
      <c r="B240" s="16">
        <v>45180</v>
      </c>
      <c r="C240" s="2" t="s">
        <v>18</v>
      </c>
      <c r="D240" s="2" t="s">
        <v>41</v>
      </c>
      <c r="E240" s="2">
        <v>3300</v>
      </c>
      <c r="F240" s="2" t="s">
        <v>100</v>
      </c>
      <c r="H240" s="2" t="s">
        <v>35</v>
      </c>
    </row>
    <row r="241" spans="1:8" ht="13" hidden="1">
      <c r="A241" s="15">
        <v>45181.893008819447</v>
      </c>
      <c r="B241" s="16">
        <v>45180</v>
      </c>
      <c r="C241" s="2" t="s">
        <v>112</v>
      </c>
      <c r="D241" s="2" t="s">
        <v>38</v>
      </c>
      <c r="E241" s="2">
        <v>110</v>
      </c>
      <c r="F241" s="2" t="s">
        <v>102</v>
      </c>
      <c r="H241" s="2" t="s">
        <v>35</v>
      </c>
    </row>
    <row r="242" spans="1:8" ht="13" hidden="1">
      <c r="A242" s="15">
        <v>45185.821333067128</v>
      </c>
      <c r="B242" s="16">
        <v>45180</v>
      </c>
      <c r="C242" s="2" t="s">
        <v>155</v>
      </c>
      <c r="D242" s="2" t="s">
        <v>39</v>
      </c>
      <c r="E242" s="2">
        <v>175</v>
      </c>
      <c r="F242" s="2" t="s">
        <v>100</v>
      </c>
      <c r="H242" s="2" t="s">
        <v>35</v>
      </c>
    </row>
    <row r="243" spans="1:8" ht="13" hidden="1">
      <c r="A243" s="15">
        <v>45181.895601446755</v>
      </c>
      <c r="B243" s="16">
        <v>45180</v>
      </c>
      <c r="C243" s="2" t="s">
        <v>271</v>
      </c>
      <c r="D243" s="2" t="s">
        <v>47</v>
      </c>
      <c r="E243" s="2">
        <v>45374</v>
      </c>
      <c r="F243" s="2" t="s">
        <v>102</v>
      </c>
      <c r="H243" s="2" t="s">
        <v>35</v>
      </c>
    </row>
    <row r="244" spans="1:8" ht="13" hidden="1">
      <c r="A244" s="15">
        <v>45181.892726620368</v>
      </c>
      <c r="B244" s="16">
        <v>45180</v>
      </c>
      <c r="C244" s="2" t="s">
        <v>272</v>
      </c>
      <c r="D244" s="2" t="s">
        <v>38</v>
      </c>
      <c r="E244" s="2">
        <v>1250</v>
      </c>
      <c r="F244" s="2" t="s">
        <v>102</v>
      </c>
      <c r="H244" s="2" t="s">
        <v>35</v>
      </c>
    </row>
    <row r="245" spans="1:8" ht="13" hidden="1">
      <c r="A245" s="15">
        <v>45181.894936851852</v>
      </c>
      <c r="B245" s="16">
        <v>45180</v>
      </c>
      <c r="C245" s="2" t="s">
        <v>273</v>
      </c>
      <c r="D245" s="2" t="s">
        <v>47</v>
      </c>
      <c r="E245" s="2">
        <v>3566</v>
      </c>
      <c r="F245" s="2" t="s">
        <v>102</v>
      </c>
      <c r="H245" s="2" t="s">
        <v>35</v>
      </c>
    </row>
    <row r="246" spans="1:8" ht="13" hidden="1">
      <c r="A246" s="15">
        <v>45181.893604421297</v>
      </c>
      <c r="B246" s="16">
        <v>45181</v>
      </c>
      <c r="C246" s="2" t="s">
        <v>274</v>
      </c>
      <c r="D246" s="2" t="s">
        <v>38</v>
      </c>
      <c r="E246" s="2">
        <v>301</v>
      </c>
      <c r="F246" s="2" t="s">
        <v>102</v>
      </c>
      <c r="H246" s="2" t="s">
        <v>35</v>
      </c>
    </row>
    <row r="247" spans="1:8" ht="13" hidden="1">
      <c r="A247" s="15">
        <v>45181.893266689818</v>
      </c>
      <c r="B247" s="16">
        <v>45181</v>
      </c>
      <c r="C247" s="2" t="s">
        <v>190</v>
      </c>
      <c r="D247" s="2" t="s">
        <v>38</v>
      </c>
      <c r="E247" s="2">
        <v>1300</v>
      </c>
      <c r="F247" s="2" t="s">
        <v>102</v>
      </c>
      <c r="H247" s="2" t="s">
        <v>35</v>
      </c>
    </row>
    <row r="248" spans="1:8" ht="13" hidden="1">
      <c r="A248" s="15">
        <v>45181.893904826386</v>
      </c>
      <c r="B248" s="16">
        <v>45181</v>
      </c>
      <c r="C248" s="2" t="s">
        <v>116</v>
      </c>
      <c r="D248" s="2" t="s">
        <v>38</v>
      </c>
      <c r="E248" s="2">
        <v>1035</v>
      </c>
      <c r="F248" s="2" t="s">
        <v>102</v>
      </c>
      <c r="H248" s="2" t="s">
        <v>35</v>
      </c>
    </row>
    <row r="249" spans="1:8" ht="13" hidden="1">
      <c r="A249" s="15">
        <v>45185.822832256948</v>
      </c>
      <c r="B249" s="16">
        <v>45182</v>
      </c>
      <c r="C249" s="2" t="s">
        <v>275</v>
      </c>
      <c r="D249" s="2" t="s">
        <v>42</v>
      </c>
      <c r="E249" s="2">
        <v>1532</v>
      </c>
      <c r="F249" s="2" t="s">
        <v>100</v>
      </c>
      <c r="H249" s="2" t="s">
        <v>35</v>
      </c>
    </row>
    <row r="250" spans="1:8" ht="13" hidden="1">
      <c r="A250" s="15">
        <v>45185.814333402777</v>
      </c>
      <c r="B250" s="16">
        <v>45182</v>
      </c>
      <c r="C250" s="2" t="s">
        <v>112</v>
      </c>
      <c r="D250" s="2" t="s">
        <v>38</v>
      </c>
      <c r="E250" s="2">
        <v>110</v>
      </c>
      <c r="F250" s="2" t="s">
        <v>102</v>
      </c>
      <c r="H250" s="2" t="s">
        <v>35</v>
      </c>
    </row>
    <row r="251" spans="1:8" ht="13" hidden="1">
      <c r="A251" s="15">
        <v>45185.822292442128</v>
      </c>
      <c r="B251" s="16">
        <v>45182</v>
      </c>
      <c r="C251" s="2" t="s">
        <v>215</v>
      </c>
      <c r="D251" s="2" t="s">
        <v>45</v>
      </c>
      <c r="E251" s="2">
        <v>871</v>
      </c>
      <c r="F251" s="2" t="s">
        <v>100</v>
      </c>
      <c r="H251" s="2" t="s">
        <v>35</v>
      </c>
    </row>
    <row r="252" spans="1:8" ht="13" hidden="1">
      <c r="A252" s="15">
        <v>45185.813974386576</v>
      </c>
      <c r="B252" s="16">
        <v>45182</v>
      </c>
      <c r="C252" s="2" t="s">
        <v>276</v>
      </c>
      <c r="D252" s="2" t="s">
        <v>38</v>
      </c>
      <c r="E252" s="2">
        <v>1200</v>
      </c>
      <c r="F252" s="2" t="s">
        <v>102</v>
      </c>
      <c r="H252" s="2" t="s">
        <v>35</v>
      </c>
    </row>
    <row r="253" spans="1:8" ht="13" hidden="1">
      <c r="A253" s="15">
        <v>45185.822017916667</v>
      </c>
      <c r="B253" s="16">
        <v>45182</v>
      </c>
      <c r="C253" s="2" t="s">
        <v>277</v>
      </c>
      <c r="D253" s="2" t="s">
        <v>46</v>
      </c>
      <c r="E253" s="2">
        <v>1650</v>
      </c>
      <c r="F253" s="2" t="s">
        <v>100</v>
      </c>
      <c r="H253" s="2" t="s">
        <v>35</v>
      </c>
    </row>
    <row r="254" spans="1:8" ht="13" hidden="1">
      <c r="A254" s="15">
        <v>45193.658550532404</v>
      </c>
      <c r="B254" s="16">
        <v>45183</v>
      </c>
      <c r="C254" s="2" t="s">
        <v>209</v>
      </c>
      <c r="D254" s="2" t="s">
        <v>42</v>
      </c>
      <c r="E254" s="2">
        <v>330</v>
      </c>
      <c r="F254" s="2" t="s">
        <v>100</v>
      </c>
      <c r="H254" s="2" t="s">
        <v>35</v>
      </c>
    </row>
    <row r="255" spans="1:8" ht="13" hidden="1">
      <c r="A255" s="15">
        <v>45185.814636944444</v>
      </c>
      <c r="B255" s="16">
        <v>45183</v>
      </c>
      <c r="C255" s="2" t="s">
        <v>278</v>
      </c>
      <c r="D255" s="2" t="s">
        <v>39</v>
      </c>
      <c r="E255" s="2">
        <v>6600</v>
      </c>
      <c r="F255" s="2" t="s">
        <v>102</v>
      </c>
      <c r="H255" s="2" t="s">
        <v>35</v>
      </c>
    </row>
    <row r="256" spans="1:8" ht="13" hidden="1">
      <c r="A256" s="15">
        <v>45193.658877361115</v>
      </c>
      <c r="B256" s="16">
        <v>45184</v>
      </c>
      <c r="C256" s="2" t="s">
        <v>232</v>
      </c>
      <c r="D256" s="2" t="s">
        <v>40</v>
      </c>
      <c r="E256" s="2">
        <v>1000</v>
      </c>
      <c r="F256" s="2" t="s">
        <v>100</v>
      </c>
      <c r="H256" s="2" t="s">
        <v>35</v>
      </c>
    </row>
    <row r="257" spans="1:8" ht="13" hidden="1">
      <c r="A257" s="15">
        <v>45185.815264247685</v>
      </c>
      <c r="B257" s="16">
        <v>45184</v>
      </c>
      <c r="C257" s="2" t="s">
        <v>195</v>
      </c>
      <c r="D257" s="2" t="s">
        <v>38</v>
      </c>
      <c r="E257" s="2">
        <v>1800</v>
      </c>
      <c r="F257" s="2" t="s">
        <v>102</v>
      </c>
      <c r="H257" s="2" t="s">
        <v>35</v>
      </c>
    </row>
    <row r="258" spans="1:8" ht="13" hidden="1">
      <c r="A258" s="15">
        <v>45185.814951400462</v>
      </c>
      <c r="B258" s="16">
        <v>45184</v>
      </c>
      <c r="C258" s="2" t="s">
        <v>112</v>
      </c>
      <c r="D258" s="2" t="s">
        <v>38</v>
      </c>
      <c r="E258" s="2">
        <v>110</v>
      </c>
      <c r="F258" s="2" t="s">
        <v>102</v>
      </c>
      <c r="H258" s="2" t="s">
        <v>35</v>
      </c>
    </row>
    <row r="259" spans="1:8" ht="13" hidden="1">
      <c r="A259" s="15">
        <v>45193.659417592593</v>
      </c>
      <c r="B259" s="16">
        <v>45184</v>
      </c>
      <c r="C259" s="2" t="s">
        <v>279</v>
      </c>
      <c r="D259" s="2" t="s">
        <v>46</v>
      </c>
      <c r="E259" s="2">
        <v>1650</v>
      </c>
      <c r="F259" s="2" t="s">
        <v>100</v>
      </c>
      <c r="H259" s="2" t="s">
        <v>35</v>
      </c>
    </row>
    <row r="260" spans="1:8" ht="13" hidden="1">
      <c r="A260" s="15">
        <v>45185.8156584838</v>
      </c>
      <c r="B260" s="16">
        <v>45184</v>
      </c>
      <c r="C260" s="2" t="s">
        <v>236</v>
      </c>
      <c r="D260" s="2" t="s">
        <v>43</v>
      </c>
      <c r="E260" s="2">
        <v>382</v>
      </c>
      <c r="F260" s="2" t="s">
        <v>102</v>
      </c>
      <c r="H260" s="2" t="s">
        <v>35</v>
      </c>
    </row>
    <row r="261" spans="1:8" ht="13" hidden="1">
      <c r="A261" s="15">
        <v>45193.659904652777</v>
      </c>
      <c r="B261" s="16">
        <v>45185</v>
      </c>
      <c r="C261" s="2" t="s">
        <v>20</v>
      </c>
      <c r="D261" s="2" t="s">
        <v>39</v>
      </c>
      <c r="E261" s="2">
        <v>1490</v>
      </c>
      <c r="F261" s="2" t="s">
        <v>100</v>
      </c>
      <c r="H261" s="2" t="s">
        <v>35</v>
      </c>
    </row>
    <row r="262" spans="1:8" ht="13" hidden="1">
      <c r="A262" s="15">
        <v>45185.816047372689</v>
      </c>
      <c r="B262" s="16">
        <v>45185</v>
      </c>
      <c r="C262" s="2" t="s">
        <v>116</v>
      </c>
      <c r="D262" s="2" t="s">
        <v>38</v>
      </c>
      <c r="E262" s="2">
        <v>1845</v>
      </c>
      <c r="F262" s="2" t="s">
        <v>102</v>
      </c>
      <c r="G262" s="2" t="s">
        <v>145</v>
      </c>
      <c r="H262" s="2" t="s">
        <v>35</v>
      </c>
    </row>
    <row r="263" spans="1:8" ht="13" hidden="1">
      <c r="A263" s="15">
        <v>45185.816450023151</v>
      </c>
      <c r="B263" s="16">
        <v>45185</v>
      </c>
      <c r="C263" s="2" t="s">
        <v>204</v>
      </c>
      <c r="D263" s="2" t="s">
        <v>45</v>
      </c>
      <c r="E263" s="2">
        <v>4700</v>
      </c>
      <c r="F263" s="2" t="s">
        <v>102</v>
      </c>
      <c r="H263" s="2" t="s">
        <v>35</v>
      </c>
    </row>
    <row r="264" spans="1:8" ht="13" hidden="1">
      <c r="A264" s="15">
        <v>45185.816704108795</v>
      </c>
      <c r="B264" s="16">
        <v>45185</v>
      </c>
      <c r="C264" s="2" t="s">
        <v>280</v>
      </c>
      <c r="D264" s="2" t="s">
        <v>46</v>
      </c>
      <c r="E264" s="2">
        <v>2645</v>
      </c>
      <c r="F264" s="2" t="s">
        <v>102</v>
      </c>
      <c r="H264" s="2" t="s">
        <v>35</v>
      </c>
    </row>
    <row r="265" spans="1:8" ht="13" hidden="1">
      <c r="A265" s="15">
        <v>45193.650675578705</v>
      </c>
      <c r="B265" s="16">
        <v>45186</v>
      </c>
      <c r="C265" s="2" t="s">
        <v>281</v>
      </c>
      <c r="D265" s="2" t="s">
        <v>38</v>
      </c>
      <c r="E265" s="2">
        <v>3450</v>
      </c>
      <c r="F265" s="2" t="s">
        <v>102</v>
      </c>
      <c r="H265" s="2" t="s">
        <v>35</v>
      </c>
    </row>
    <row r="266" spans="1:8" ht="13" hidden="1">
      <c r="A266" s="15">
        <v>45193.660205370368</v>
      </c>
      <c r="B266" s="16">
        <v>45186</v>
      </c>
      <c r="C266" s="2" t="s">
        <v>209</v>
      </c>
      <c r="D266" s="2" t="s">
        <v>42</v>
      </c>
      <c r="E266" s="2">
        <v>330</v>
      </c>
      <c r="F266" s="2" t="s">
        <v>100</v>
      </c>
      <c r="H266" s="2" t="s">
        <v>35</v>
      </c>
    </row>
    <row r="267" spans="1:8" ht="13" hidden="1">
      <c r="A267" s="15">
        <v>45193.660488981477</v>
      </c>
      <c r="B267" s="16">
        <v>45186</v>
      </c>
      <c r="C267" s="2" t="s">
        <v>282</v>
      </c>
      <c r="D267" s="2" t="s">
        <v>39</v>
      </c>
      <c r="E267" s="2">
        <v>1100</v>
      </c>
      <c r="F267" s="2" t="s">
        <v>100</v>
      </c>
      <c r="H267" s="2" t="s">
        <v>35</v>
      </c>
    </row>
    <row r="268" spans="1:8" ht="13" hidden="1">
      <c r="A268" s="15">
        <v>45193.650424328705</v>
      </c>
      <c r="B268" s="16">
        <v>45186</v>
      </c>
      <c r="C268" s="2" t="s">
        <v>186</v>
      </c>
      <c r="D268" s="2" t="s">
        <v>39</v>
      </c>
      <c r="E268" s="2">
        <v>900</v>
      </c>
      <c r="F268" s="2" t="s">
        <v>102</v>
      </c>
      <c r="H268" s="2" t="s">
        <v>35</v>
      </c>
    </row>
    <row r="269" spans="1:8" ht="13" hidden="1">
      <c r="A269" s="15">
        <v>45193.65016326389</v>
      </c>
      <c r="B269" s="16">
        <v>45186</v>
      </c>
      <c r="C269" s="2" t="s">
        <v>116</v>
      </c>
      <c r="D269" s="2" t="s">
        <v>38</v>
      </c>
      <c r="E269" s="2">
        <v>319</v>
      </c>
      <c r="F269" s="2" t="s">
        <v>102</v>
      </c>
      <c r="G269" s="2" t="s">
        <v>145</v>
      </c>
      <c r="H269" s="2" t="s">
        <v>35</v>
      </c>
    </row>
    <row r="270" spans="1:8" ht="13" hidden="1">
      <c r="A270" s="15">
        <v>45193.65112253472</v>
      </c>
      <c r="B270" s="16">
        <v>45187</v>
      </c>
      <c r="C270" s="2" t="s">
        <v>163</v>
      </c>
      <c r="D270" s="2" t="s">
        <v>38</v>
      </c>
      <c r="E270" s="2">
        <v>1760</v>
      </c>
      <c r="F270" s="2" t="s">
        <v>102</v>
      </c>
      <c r="G270" s="2" t="s">
        <v>164</v>
      </c>
      <c r="H270" s="2" t="s">
        <v>35</v>
      </c>
    </row>
    <row r="271" spans="1:8" ht="13" hidden="1">
      <c r="A271" s="15">
        <v>45193.660830752313</v>
      </c>
      <c r="B271" s="16">
        <v>45187</v>
      </c>
      <c r="C271" s="2" t="s">
        <v>174</v>
      </c>
      <c r="D271" s="2" t="s">
        <v>39</v>
      </c>
      <c r="E271" s="2">
        <v>410</v>
      </c>
      <c r="F271" s="2" t="s">
        <v>100</v>
      </c>
      <c r="H271" s="2" t="s">
        <v>35</v>
      </c>
    </row>
    <row r="272" spans="1:8" ht="13" hidden="1">
      <c r="A272" s="15">
        <v>45193.651530416668</v>
      </c>
      <c r="B272" s="16">
        <v>45187</v>
      </c>
      <c r="C272" s="2" t="s">
        <v>116</v>
      </c>
      <c r="D272" s="2" t="s">
        <v>38</v>
      </c>
      <c r="E272" s="2">
        <v>2234</v>
      </c>
      <c r="F272" s="2" t="s">
        <v>102</v>
      </c>
      <c r="G272" s="2" t="s">
        <v>145</v>
      </c>
      <c r="H272" s="2" t="s">
        <v>35</v>
      </c>
    </row>
    <row r="273" spans="1:8" ht="13" hidden="1">
      <c r="A273" s="15">
        <v>45193.661594456018</v>
      </c>
      <c r="B273" s="16">
        <v>45188</v>
      </c>
      <c r="C273" s="2" t="s">
        <v>22</v>
      </c>
      <c r="D273" s="2" t="s">
        <v>39</v>
      </c>
      <c r="E273" s="2">
        <v>2310</v>
      </c>
      <c r="F273" s="2" t="s">
        <v>100</v>
      </c>
      <c r="H273" s="2" t="s">
        <v>35</v>
      </c>
    </row>
    <row r="274" spans="1:8" ht="13" hidden="1">
      <c r="A274" s="15">
        <v>45193.661187256948</v>
      </c>
      <c r="B274" s="16">
        <v>45188</v>
      </c>
      <c r="C274" s="2" t="s">
        <v>282</v>
      </c>
      <c r="D274" s="2" t="s">
        <v>39</v>
      </c>
      <c r="E274" s="2">
        <v>1100</v>
      </c>
      <c r="F274" s="2" t="s">
        <v>100</v>
      </c>
      <c r="H274" s="2" t="s">
        <v>35</v>
      </c>
    </row>
    <row r="275" spans="1:8" ht="13" hidden="1">
      <c r="A275" s="15">
        <v>45193.651902500002</v>
      </c>
      <c r="B275" s="16">
        <v>45188</v>
      </c>
      <c r="C275" s="2" t="s">
        <v>116</v>
      </c>
      <c r="D275" s="2" t="s">
        <v>38</v>
      </c>
      <c r="E275" s="2">
        <v>630</v>
      </c>
      <c r="F275" s="2" t="s">
        <v>102</v>
      </c>
      <c r="G275" s="2" t="s">
        <v>145</v>
      </c>
      <c r="H275" s="2" t="s">
        <v>35</v>
      </c>
    </row>
    <row r="276" spans="1:8" ht="13" hidden="1">
      <c r="A276" s="15">
        <v>45193.656751273149</v>
      </c>
      <c r="B276" s="16">
        <v>45188</v>
      </c>
      <c r="C276" s="2" t="s">
        <v>208</v>
      </c>
      <c r="D276" s="2" t="s">
        <v>38</v>
      </c>
      <c r="E276" s="2">
        <v>1100</v>
      </c>
      <c r="F276" s="2" t="s">
        <v>102</v>
      </c>
      <c r="G276" s="2" t="s">
        <v>256</v>
      </c>
      <c r="H276" s="2" t="s">
        <v>35</v>
      </c>
    </row>
    <row r="277" spans="1:8" ht="13" hidden="1">
      <c r="A277" s="15">
        <v>45193.665684930558</v>
      </c>
      <c r="B277" s="16">
        <v>45188</v>
      </c>
      <c r="C277" s="2" t="s">
        <v>26</v>
      </c>
      <c r="D277" s="2" t="s">
        <v>41</v>
      </c>
      <c r="E277" s="2">
        <v>4507</v>
      </c>
      <c r="F277" s="2" t="s">
        <v>102</v>
      </c>
      <c r="H277" s="2" t="s">
        <v>35</v>
      </c>
    </row>
    <row r="278" spans="1:8" ht="13" hidden="1">
      <c r="A278" s="15">
        <v>45193.657083483791</v>
      </c>
      <c r="B278" s="16">
        <v>45189</v>
      </c>
      <c r="C278" s="2" t="s">
        <v>283</v>
      </c>
      <c r="D278" s="2" t="s">
        <v>38</v>
      </c>
      <c r="E278" s="2">
        <v>1320</v>
      </c>
      <c r="F278" s="2" t="s">
        <v>102</v>
      </c>
      <c r="H278" s="2" t="s">
        <v>35</v>
      </c>
    </row>
    <row r="279" spans="1:8" ht="13" hidden="1">
      <c r="A279" s="15">
        <v>45193.652706064815</v>
      </c>
      <c r="B279" s="16">
        <v>45189</v>
      </c>
      <c r="C279" s="2" t="s">
        <v>112</v>
      </c>
      <c r="D279" s="2" t="s">
        <v>38</v>
      </c>
      <c r="E279" s="2">
        <v>110</v>
      </c>
      <c r="F279" s="2" t="s">
        <v>102</v>
      </c>
      <c r="G279" s="2" t="s">
        <v>103</v>
      </c>
      <c r="H279" s="2" t="s">
        <v>35</v>
      </c>
    </row>
    <row r="280" spans="1:8" ht="13" hidden="1">
      <c r="A280" s="15">
        <v>45193.662112916667</v>
      </c>
      <c r="B280" s="16">
        <v>45189</v>
      </c>
      <c r="C280" s="2" t="s">
        <v>24</v>
      </c>
      <c r="D280" s="2" t="s">
        <v>49</v>
      </c>
      <c r="E280" s="2">
        <v>1100</v>
      </c>
      <c r="F280" s="2" t="s">
        <v>100</v>
      </c>
      <c r="H280" s="2" t="s">
        <v>35</v>
      </c>
    </row>
    <row r="281" spans="1:8" ht="13" hidden="1">
      <c r="A281" s="15">
        <v>45193.652358043983</v>
      </c>
      <c r="B281" s="16">
        <v>45189</v>
      </c>
      <c r="C281" s="2" t="s">
        <v>284</v>
      </c>
      <c r="D281" s="2" t="s">
        <v>43</v>
      </c>
      <c r="E281" s="2">
        <v>1650</v>
      </c>
      <c r="F281" s="2" t="s">
        <v>102</v>
      </c>
      <c r="G281" s="2" t="s">
        <v>285</v>
      </c>
      <c r="H281" s="2" t="s">
        <v>35</v>
      </c>
    </row>
    <row r="282" spans="1:8" ht="13" hidden="1">
      <c r="A282" s="15">
        <v>45193.654673425925</v>
      </c>
      <c r="B282" s="16">
        <v>45190</v>
      </c>
      <c r="C282" s="2" t="s">
        <v>281</v>
      </c>
      <c r="D282" s="2" t="s">
        <v>38</v>
      </c>
      <c r="E282" s="2">
        <v>2700</v>
      </c>
      <c r="F282" s="2" t="s">
        <v>102</v>
      </c>
      <c r="H282" s="2" t="s">
        <v>35</v>
      </c>
    </row>
    <row r="283" spans="1:8" ht="13" hidden="1">
      <c r="A283" s="15">
        <v>45206.751649652782</v>
      </c>
      <c r="B283" s="16">
        <v>45190</v>
      </c>
      <c r="C283" s="2" t="s">
        <v>240</v>
      </c>
      <c r="D283" s="2" t="s">
        <v>42</v>
      </c>
      <c r="E283" s="2">
        <v>990</v>
      </c>
      <c r="F283" s="2" t="s">
        <v>100</v>
      </c>
      <c r="H283" s="2" t="s">
        <v>35</v>
      </c>
    </row>
    <row r="284" spans="1:8" ht="13" hidden="1">
      <c r="A284" s="15">
        <v>45193.653400532407</v>
      </c>
      <c r="B284" s="16">
        <v>45190</v>
      </c>
      <c r="C284" s="2" t="s">
        <v>286</v>
      </c>
      <c r="D284" s="2" t="s">
        <v>38</v>
      </c>
      <c r="E284" s="2">
        <v>250</v>
      </c>
      <c r="F284" s="2" t="s">
        <v>102</v>
      </c>
      <c r="G284" s="2" t="s">
        <v>103</v>
      </c>
      <c r="H284" s="2" t="s">
        <v>35</v>
      </c>
    </row>
    <row r="285" spans="1:8" ht="13" hidden="1">
      <c r="A285" s="15">
        <v>45193.653020729165</v>
      </c>
      <c r="B285" s="16">
        <v>45190</v>
      </c>
      <c r="C285" s="2" t="s">
        <v>106</v>
      </c>
      <c r="D285" s="2" t="s">
        <v>38</v>
      </c>
      <c r="E285" s="2">
        <v>980</v>
      </c>
      <c r="F285" s="2" t="s">
        <v>102</v>
      </c>
      <c r="G285" s="2" t="s">
        <v>194</v>
      </c>
      <c r="H285" s="2" t="s">
        <v>35</v>
      </c>
    </row>
    <row r="286" spans="1:8" ht="13" hidden="1">
      <c r="A286" s="15">
        <v>45193.654358576387</v>
      </c>
      <c r="B286" s="16">
        <v>45190</v>
      </c>
      <c r="C286" s="2" t="s">
        <v>287</v>
      </c>
      <c r="D286" s="2" t="s">
        <v>38</v>
      </c>
      <c r="E286" s="2">
        <v>480</v>
      </c>
      <c r="F286" s="2" t="s">
        <v>102</v>
      </c>
      <c r="G286" s="2" t="s">
        <v>199</v>
      </c>
      <c r="H286" s="2" t="s">
        <v>35</v>
      </c>
    </row>
    <row r="287" spans="1:8" ht="13" hidden="1">
      <c r="A287" s="15">
        <v>45193.654066365736</v>
      </c>
      <c r="B287" s="16">
        <v>45190</v>
      </c>
      <c r="C287" s="2" t="s">
        <v>116</v>
      </c>
      <c r="D287" s="2" t="s">
        <v>38</v>
      </c>
      <c r="E287" s="2">
        <v>149</v>
      </c>
      <c r="F287" s="2" t="s">
        <v>102</v>
      </c>
      <c r="G287" s="2" t="s">
        <v>145</v>
      </c>
      <c r="H287" s="2" t="s">
        <v>35</v>
      </c>
    </row>
    <row r="288" spans="1:8" ht="13" hidden="1">
      <c r="A288" s="15">
        <v>45193.653766689815</v>
      </c>
      <c r="B288" s="16">
        <v>45190</v>
      </c>
      <c r="C288" s="2" t="s">
        <v>288</v>
      </c>
      <c r="D288" s="2" t="s">
        <v>45</v>
      </c>
      <c r="E288" s="2">
        <v>110</v>
      </c>
      <c r="F288" s="2" t="s">
        <v>102</v>
      </c>
      <c r="G288" s="2" t="s">
        <v>136</v>
      </c>
      <c r="H288" s="2" t="s">
        <v>35</v>
      </c>
    </row>
    <row r="289" spans="1:8" ht="13" hidden="1">
      <c r="A289" s="15">
        <v>45206.752410636574</v>
      </c>
      <c r="B289" s="16">
        <v>45191</v>
      </c>
      <c r="C289" s="2" t="s">
        <v>289</v>
      </c>
      <c r="D289" s="2" t="s">
        <v>40</v>
      </c>
      <c r="E289" s="2">
        <v>2760</v>
      </c>
      <c r="F289" s="2" t="s">
        <v>100</v>
      </c>
      <c r="H289" s="2" t="s">
        <v>35</v>
      </c>
    </row>
    <row r="290" spans="1:8" ht="13" hidden="1">
      <c r="A290" s="15">
        <v>45206.752045787041</v>
      </c>
      <c r="B290" s="16">
        <v>45191</v>
      </c>
      <c r="C290" s="2" t="s">
        <v>240</v>
      </c>
      <c r="D290" s="2" t="s">
        <v>42</v>
      </c>
      <c r="E290" s="2">
        <v>330</v>
      </c>
      <c r="F290" s="2" t="s">
        <v>100</v>
      </c>
      <c r="H290" s="2" t="s">
        <v>35</v>
      </c>
    </row>
    <row r="291" spans="1:8" ht="13" hidden="1">
      <c r="A291" s="15">
        <v>45206.752946678243</v>
      </c>
      <c r="B291" s="16">
        <v>45192</v>
      </c>
      <c r="C291" s="2" t="s">
        <v>232</v>
      </c>
      <c r="D291" s="2" t="s">
        <v>40</v>
      </c>
      <c r="E291" s="2">
        <v>2000</v>
      </c>
      <c r="F291" s="2" t="s">
        <v>100</v>
      </c>
      <c r="H291" s="2" t="s">
        <v>35</v>
      </c>
    </row>
    <row r="292" spans="1:8" ht="13" hidden="1">
      <c r="A292" s="15">
        <v>45193.6550603125</v>
      </c>
      <c r="B292" s="16">
        <v>45192</v>
      </c>
      <c r="C292" s="2" t="s">
        <v>214</v>
      </c>
      <c r="D292" s="2" t="s">
        <v>38</v>
      </c>
      <c r="E292" s="2">
        <v>1310</v>
      </c>
      <c r="F292" s="2" t="s">
        <v>102</v>
      </c>
      <c r="G292" s="2" t="s">
        <v>290</v>
      </c>
      <c r="H292" s="2" t="s">
        <v>35</v>
      </c>
    </row>
    <row r="293" spans="1:8" ht="13" hidden="1">
      <c r="A293" s="15">
        <v>45193.65540768519</v>
      </c>
      <c r="B293" s="16">
        <v>45192</v>
      </c>
      <c r="C293" s="2" t="s">
        <v>291</v>
      </c>
      <c r="D293" s="2" t="s">
        <v>43</v>
      </c>
      <c r="E293" s="2">
        <v>1320</v>
      </c>
      <c r="F293" s="2" t="s">
        <v>102</v>
      </c>
      <c r="H293" s="2" t="s">
        <v>35</v>
      </c>
    </row>
    <row r="294" spans="1:8" ht="13" hidden="1">
      <c r="A294" s="15">
        <v>45193.655737754627</v>
      </c>
      <c r="B294" s="16">
        <v>45192</v>
      </c>
      <c r="C294" s="2" t="s">
        <v>116</v>
      </c>
      <c r="D294" s="2" t="s">
        <v>38</v>
      </c>
      <c r="E294" s="2">
        <v>996</v>
      </c>
      <c r="F294" s="2" t="s">
        <v>102</v>
      </c>
      <c r="G294" s="2" t="s">
        <v>145</v>
      </c>
      <c r="H294" s="2" t="s">
        <v>35</v>
      </c>
    </row>
    <row r="295" spans="1:8" ht="13" hidden="1">
      <c r="A295" s="15">
        <v>45193.656429918978</v>
      </c>
      <c r="B295" s="16">
        <v>45193</v>
      </c>
      <c r="C295" s="2" t="s">
        <v>135</v>
      </c>
      <c r="D295" s="2" t="s">
        <v>45</v>
      </c>
      <c r="E295" s="2">
        <v>330</v>
      </c>
      <c r="F295" s="2" t="s">
        <v>102</v>
      </c>
      <c r="G295" s="2" t="s">
        <v>169</v>
      </c>
      <c r="H295" s="2" t="s">
        <v>35</v>
      </c>
    </row>
    <row r="296" spans="1:8" ht="13" hidden="1">
      <c r="A296" s="15">
        <v>45193.656054965279</v>
      </c>
      <c r="B296" s="16">
        <v>45193</v>
      </c>
      <c r="C296" s="2" t="s">
        <v>116</v>
      </c>
      <c r="D296" s="2" t="s">
        <v>38</v>
      </c>
      <c r="E296" s="2">
        <v>1041</v>
      </c>
      <c r="F296" s="2" t="s">
        <v>102</v>
      </c>
      <c r="G296" s="2" t="s">
        <v>145</v>
      </c>
      <c r="H296" s="2" t="s">
        <v>35</v>
      </c>
    </row>
    <row r="297" spans="1:8" ht="13" hidden="1">
      <c r="A297" s="15">
        <v>45194.382817013888</v>
      </c>
      <c r="B297" s="16">
        <v>45194</v>
      </c>
      <c r="C297" s="2" t="s">
        <v>292</v>
      </c>
      <c r="E297" s="2">
        <v>288710</v>
      </c>
      <c r="H297" s="2" t="s">
        <v>34</v>
      </c>
    </row>
    <row r="298" spans="1:8" ht="13" hidden="1">
      <c r="A298" s="15">
        <v>45199.651911574074</v>
      </c>
      <c r="B298" s="16">
        <v>45194</v>
      </c>
      <c r="C298" s="2" t="s">
        <v>112</v>
      </c>
      <c r="D298" s="2" t="s">
        <v>38</v>
      </c>
      <c r="E298" s="2">
        <v>110</v>
      </c>
      <c r="F298" s="2" t="s">
        <v>102</v>
      </c>
      <c r="G298" s="2" t="s">
        <v>103</v>
      </c>
      <c r="H298" s="2" t="s">
        <v>35</v>
      </c>
    </row>
    <row r="299" spans="1:8" ht="13" hidden="1">
      <c r="A299" s="15">
        <v>45199.652490486114</v>
      </c>
      <c r="B299" s="16">
        <v>45194</v>
      </c>
      <c r="C299" s="2" t="s">
        <v>112</v>
      </c>
      <c r="D299" s="2" t="s">
        <v>38</v>
      </c>
      <c r="E299" s="2">
        <v>110</v>
      </c>
      <c r="F299" s="2" t="s">
        <v>102</v>
      </c>
      <c r="G299" s="2" t="s">
        <v>103</v>
      </c>
      <c r="H299" s="2" t="s">
        <v>35</v>
      </c>
    </row>
    <row r="300" spans="1:8" ht="13" hidden="1">
      <c r="A300" s="15">
        <v>45199.652208356478</v>
      </c>
      <c r="B300" s="16">
        <v>45194</v>
      </c>
      <c r="C300" s="2" t="s">
        <v>293</v>
      </c>
      <c r="D300" s="2" t="s">
        <v>38</v>
      </c>
      <c r="E300" s="2">
        <v>1200</v>
      </c>
      <c r="F300" s="2" t="s">
        <v>102</v>
      </c>
      <c r="H300" s="2" t="s">
        <v>35</v>
      </c>
    </row>
    <row r="301" spans="1:8" ht="13" hidden="1">
      <c r="A301" s="15">
        <v>45199.653983275464</v>
      </c>
      <c r="B301" s="16">
        <v>45195</v>
      </c>
      <c r="C301" s="2" t="s">
        <v>281</v>
      </c>
      <c r="D301" s="2" t="s">
        <v>38</v>
      </c>
      <c r="E301" s="2">
        <v>2650</v>
      </c>
      <c r="F301" s="2" t="s">
        <v>102</v>
      </c>
      <c r="H301" s="2" t="s">
        <v>35</v>
      </c>
    </row>
    <row r="302" spans="1:8" ht="13" hidden="1">
      <c r="A302" s="15">
        <v>45199.652857476853</v>
      </c>
      <c r="B302" s="16">
        <v>45195</v>
      </c>
      <c r="C302" s="2" t="s">
        <v>112</v>
      </c>
      <c r="D302" s="2" t="s">
        <v>38</v>
      </c>
      <c r="E302" s="2">
        <v>110</v>
      </c>
      <c r="F302" s="2" t="s">
        <v>102</v>
      </c>
      <c r="G302" s="2" t="s">
        <v>103</v>
      </c>
      <c r="H302" s="2" t="s">
        <v>35</v>
      </c>
    </row>
    <row r="303" spans="1:8" ht="13" hidden="1">
      <c r="A303" s="15">
        <v>45199.653454166662</v>
      </c>
      <c r="B303" s="16">
        <v>45195</v>
      </c>
      <c r="C303" s="2" t="s">
        <v>112</v>
      </c>
      <c r="D303" s="2" t="s">
        <v>38</v>
      </c>
      <c r="E303" s="2">
        <v>160</v>
      </c>
      <c r="F303" s="2" t="s">
        <v>102</v>
      </c>
      <c r="G303" s="2" t="s">
        <v>103</v>
      </c>
      <c r="H303" s="2" t="s">
        <v>35</v>
      </c>
    </row>
    <row r="304" spans="1:8" ht="13" hidden="1">
      <c r="A304" s="15">
        <v>45206.753280659723</v>
      </c>
      <c r="B304" s="16">
        <v>45195</v>
      </c>
      <c r="C304" s="2" t="s">
        <v>174</v>
      </c>
      <c r="D304" s="2" t="s">
        <v>39</v>
      </c>
      <c r="E304" s="2">
        <v>500</v>
      </c>
      <c r="F304" s="2" t="s">
        <v>100</v>
      </c>
      <c r="H304" s="2" t="s">
        <v>35</v>
      </c>
    </row>
    <row r="305" spans="1:8" ht="13" hidden="1">
      <c r="A305" s="15">
        <v>45199.653108796294</v>
      </c>
      <c r="B305" s="16">
        <v>45195</v>
      </c>
      <c r="C305" s="2" t="s">
        <v>294</v>
      </c>
      <c r="D305" s="2" t="s">
        <v>38</v>
      </c>
      <c r="E305" s="2">
        <v>1000</v>
      </c>
      <c r="F305" s="2" t="s">
        <v>102</v>
      </c>
      <c r="H305" s="2" t="s">
        <v>35</v>
      </c>
    </row>
    <row r="306" spans="1:8" ht="13" hidden="1">
      <c r="A306" s="15">
        <v>45199.658877800925</v>
      </c>
      <c r="B306" s="16">
        <v>45195</v>
      </c>
      <c r="C306" s="2" t="s">
        <v>87</v>
      </c>
      <c r="E306" s="2">
        <v>150000</v>
      </c>
      <c r="H306" s="2" t="s">
        <v>34</v>
      </c>
    </row>
    <row r="307" spans="1:8" ht="13" hidden="1">
      <c r="A307" s="15">
        <v>45199.653769942131</v>
      </c>
      <c r="B307" s="16">
        <v>45195</v>
      </c>
      <c r="C307" s="2" t="s">
        <v>116</v>
      </c>
      <c r="D307" s="2" t="s">
        <v>38</v>
      </c>
      <c r="E307" s="2">
        <v>244</v>
      </c>
      <c r="F307" s="2" t="s">
        <v>102</v>
      </c>
      <c r="G307" s="2" t="s">
        <v>145</v>
      </c>
      <c r="H307" s="2" t="s">
        <v>35</v>
      </c>
    </row>
    <row r="308" spans="1:8" ht="13" hidden="1">
      <c r="A308" s="15">
        <v>45133.882185150462</v>
      </c>
      <c r="B308" s="16">
        <v>45196</v>
      </c>
      <c r="C308" s="2" t="s">
        <v>295</v>
      </c>
      <c r="D308" s="2" t="s">
        <v>5</v>
      </c>
      <c r="E308" s="1">
        <v>93000</v>
      </c>
      <c r="F308" s="2" t="s">
        <v>102</v>
      </c>
      <c r="H308" s="2" t="s">
        <v>35</v>
      </c>
    </row>
    <row r="309" spans="1:8" ht="13" hidden="1">
      <c r="A309" s="15">
        <v>45199.654693240736</v>
      </c>
      <c r="B309" s="16">
        <v>45196</v>
      </c>
      <c r="C309" s="2" t="s">
        <v>112</v>
      </c>
      <c r="D309" s="2" t="s">
        <v>38</v>
      </c>
      <c r="E309" s="2">
        <v>110</v>
      </c>
      <c r="F309" s="2" t="s">
        <v>102</v>
      </c>
      <c r="G309" s="2" t="s">
        <v>103</v>
      </c>
      <c r="H309" s="2" t="s">
        <v>35</v>
      </c>
    </row>
    <row r="310" spans="1:8" ht="13" hidden="1">
      <c r="A310" s="15">
        <v>45158.656203032406</v>
      </c>
      <c r="B310" s="16">
        <v>45196</v>
      </c>
      <c r="C310" s="2" t="s">
        <v>17</v>
      </c>
      <c r="D310" s="2" t="s">
        <v>45</v>
      </c>
      <c r="E310" s="2">
        <v>8470</v>
      </c>
      <c r="F310" s="2" t="s">
        <v>102</v>
      </c>
      <c r="H310" s="2" t="s">
        <v>35</v>
      </c>
    </row>
    <row r="311" spans="1:8" ht="13" hidden="1">
      <c r="A311" s="15">
        <v>45199.654309004633</v>
      </c>
      <c r="B311" s="16">
        <v>45196</v>
      </c>
      <c r="C311" s="2" t="s">
        <v>259</v>
      </c>
      <c r="D311" s="2" t="s">
        <v>38</v>
      </c>
      <c r="E311" s="2">
        <v>1100</v>
      </c>
      <c r="F311" s="2" t="s">
        <v>102</v>
      </c>
      <c r="G311" s="2" t="s">
        <v>260</v>
      </c>
      <c r="H311" s="2" t="s">
        <v>35</v>
      </c>
    </row>
    <row r="312" spans="1:8" ht="13" hidden="1">
      <c r="A312" s="15">
        <v>45158.654000543982</v>
      </c>
      <c r="B312" s="16">
        <v>45196</v>
      </c>
      <c r="C312" s="2" t="s">
        <v>239</v>
      </c>
      <c r="D312" s="2" t="s">
        <v>47</v>
      </c>
      <c r="E312" s="2">
        <v>20000</v>
      </c>
      <c r="F312" s="2" t="s">
        <v>102</v>
      </c>
      <c r="H312" s="2" t="s">
        <v>35</v>
      </c>
    </row>
    <row r="313" spans="1:8" ht="13" hidden="1">
      <c r="A313" s="15">
        <v>45193.664031481487</v>
      </c>
      <c r="B313" s="16">
        <v>45196</v>
      </c>
      <c r="C313" s="2" t="s">
        <v>239</v>
      </c>
      <c r="D313" s="2" t="s">
        <v>47</v>
      </c>
      <c r="E313" s="2">
        <v>30000</v>
      </c>
      <c r="F313" s="2" t="s">
        <v>102</v>
      </c>
      <c r="H313" s="2" t="s">
        <v>35</v>
      </c>
    </row>
    <row r="314" spans="1:8" ht="13" hidden="1">
      <c r="A314" s="15">
        <v>45135.883882546295</v>
      </c>
      <c r="B314" s="16">
        <v>45196</v>
      </c>
      <c r="C314" s="2" t="s">
        <v>146</v>
      </c>
      <c r="D314" s="2" t="s">
        <v>47</v>
      </c>
      <c r="E314" s="2">
        <v>3400</v>
      </c>
      <c r="F314" s="2" t="s">
        <v>102</v>
      </c>
      <c r="H314" s="2" t="s">
        <v>35</v>
      </c>
    </row>
    <row r="315" spans="1:8" ht="13" hidden="1">
      <c r="A315" s="15">
        <v>45199.654971064811</v>
      </c>
      <c r="B315" s="16">
        <v>45196</v>
      </c>
      <c r="C315" s="2" t="s">
        <v>116</v>
      </c>
      <c r="D315" s="2" t="s">
        <v>38</v>
      </c>
      <c r="E315" s="2">
        <v>2050</v>
      </c>
      <c r="F315" s="2" t="s">
        <v>102</v>
      </c>
      <c r="G315" s="2" t="s">
        <v>145</v>
      </c>
      <c r="H315" s="2" t="s">
        <v>35</v>
      </c>
    </row>
    <row r="316" spans="1:8" ht="13" hidden="1">
      <c r="A316" s="15">
        <v>45135.883218275463</v>
      </c>
      <c r="B316" s="16">
        <v>45196</v>
      </c>
      <c r="C316" s="2" t="s">
        <v>9</v>
      </c>
      <c r="D316" s="2" t="s">
        <v>47</v>
      </c>
      <c r="E316" s="2">
        <v>13600</v>
      </c>
      <c r="F316" s="2" t="s">
        <v>102</v>
      </c>
      <c r="H316" s="2" t="s">
        <v>35</v>
      </c>
    </row>
    <row r="317" spans="1:8" ht="13" hidden="1">
      <c r="A317" s="15">
        <v>45206.753702256945</v>
      </c>
      <c r="B317" s="16">
        <v>45197</v>
      </c>
      <c r="C317" s="2" t="s">
        <v>209</v>
      </c>
      <c r="D317" s="2" t="s">
        <v>42</v>
      </c>
      <c r="E317" s="2">
        <v>330</v>
      </c>
      <c r="F317" s="2" t="s">
        <v>100</v>
      </c>
      <c r="H317" s="2" t="s">
        <v>35</v>
      </c>
    </row>
    <row r="318" spans="1:8" ht="13" hidden="1">
      <c r="A318" s="15">
        <v>45199.65625054398</v>
      </c>
      <c r="B318" s="16">
        <v>45197</v>
      </c>
      <c r="C318" s="2" t="s">
        <v>296</v>
      </c>
      <c r="D318" s="2" t="s">
        <v>38</v>
      </c>
      <c r="E318" s="2">
        <v>980</v>
      </c>
      <c r="F318" s="2" t="s">
        <v>102</v>
      </c>
      <c r="G318" s="2" t="s">
        <v>297</v>
      </c>
      <c r="H318" s="2" t="s">
        <v>35</v>
      </c>
    </row>
    <row r="319" spans="1:8" ht="13" hidden="1">
      <c r="A319" s="15">
        <v>45206.754038090279</v>
      </c>
      <c r="B319" s="16">
        <v>45197</v>
      </c>
      <c r="C319" s="2" t="s">
        <v>298</v>
      </c>
      <c r="D319" s="2" t="s">
        <v>49</v>
      </c>
      <c r="E319" s="2">
        <v>4980</v>
      </c>
      <c r="F319" s="2" t="s">
        <v>100</v>
      </c>
      <c r="H319" s="2" t="s">
        <v>35</v>
      </c>
    </row>
    <row r="320" spans="1:8" ht="13" hidden="1">
      <c r="A320" s="15">
        <v>45199.655343124999</v>
      </c>
      <c r="B320" s="16">
        <v>45197</v>
      </c>
      <c r="C320" s="2" t="s">
        <v>116</v>
      </c>
      <c r="D320" s="2" t="s">
        <v>38</v>
      </c>
      <c r="E320" s="2">
        <v>2787</v>
      </c>
      <c r="F320" s="2" t="s">
        <v>102</v>
      </c>
      <c r="G320" s="2" t="s">
        <v>103</v>
      </c>
      <c r="H320" s="2" t="s">
        <v>35</v>
      </c>
    </row>
    <row r="321" spans="1:8" ht="13" hidden="1">
      <c r="A321" s="15">
        <v>45199.65588849537</v>
      </c>
      <c r="B321" s="16">
        <v>45197</v>
      </c>
      <c r="C321" s="2" t="s">
        <v>299</v>
      </c>
      <c r="D321" s="2" t="s">
        <v>45</v>
      </c>
      <c r="E321" s="2">
        <v>1620</v>
      </c>
      <c r="F321" s="2" t="s">
        <v>102</v>
      </c>
      <c r="G321" s="2" t="s">
        <v>297</v>
      </c>
      <c r="H321" s="2" t="s">
        <v>35</v>
      </c>
    </row>
    <row r="322" spans="1:8" ht="13" hidden="1">
      <c r="A322" s="15">
        <v>45199.656910196762</v>
      </c>
      <c r="B322" s="16">
        <v>45198</v>
      </c>
      <c r="C322" s="2" t="s">
        <v>112</v>
      </c>
      <c r="D322" s="2" t="s">
        <v>38</v>
      </c>
      <c r="E322" s="2">
        <v>110</v>
      </c>
      <c r="F322" s="2" t="s">
        <v>102</v>
      </c>
      <c r="G322" s="2" t="s">
        <v>103</v>
      </c>
      <c r="H322" s="2" t="s">
        <v>35</v>
      </c>
    </row>
    <row r="323" spans="1:8" ht="13" hidden="1">
      <c r="A323" s="15">
        <v>45199.656540057869</v>
      </c>
      <c r="B323" s="16">
        <v>45198</v>
      </c>
      <c r="C323" s="2" t="s">
        <v>106</v>
      </c>
      <c r="D323" s="2" t="s">
        <v>38</v>
      </c>
      <c r="E323" s="2">
        <v>980</v>
      </c>
      <c r="F323" s="2" t="s">
        <v>102</v>
      </c>
      <c r="G323" s="2" t="s">
        <v>194</v>
      </c>
      <c r="H323" s="2" t="s">
        <v>35</v>
      </c>
    </row>
    <row r="324" spans="1:8" ht="13" hidden="1">
      <c r="A324" s="15">
        <v>45199.657272858793</v>
      </c>
      <c r="B324" s="16">
        <v>45198</v>
      </c>
      <c r="C324" s="2" t="s">
        <v>183</v>
      </c>
      <c r="D324" s="2" t="s">
        <v>46</v>
      </c>
      <c r="E324" s="2">
        <v>6578</v>
      </c>
      <c r="F324" s="2" t="s">
        <v>102</v>
      </c>
      <c r="G324" s="2" t="s">
        <v>300</v>
      </c>
      <c r="H324" s="2" t="s">
        <v>35</v>
      </c>
    </row>
    <row r="325" spans="1:8" ht="13" hidden="1">
      <c r="A325" s="15">
        <v>45199.657647002314</v>
      </c>
      <c r="B325" s="16">
        <v>45198</v>
      </c>
      <c r="C325" s="2" t="s">
        <v>116</v>
      </c>
      <c r="D325" s="2" t="s">
        <v>38</v>
      </c>
      <c r="E325" s="2">
        <v>908</v>
      </c>
      <c r="F325" s="2" t="s">
        <v>102</v>
      </c>
      <c r="G325" s="2" t="s">
        <v>103</v>
      </c>
      <c r="H325" s="2" t="s">
        <v>35</v>
      </c>
    </row>
    <row r="326" spans="1:8" ht="13" hidden="1">
      <c r="A326" s="15">
        <v>45206.755169537035</v>
      </c>
      <c r="B326" s="16">
        <v>45198</v>
      </c>
      <c r="C326" s="2" t="s">
        <v>301</v>
      </c>
      <c r="D326" s="2" t="s">
        <v>45</v>
      </c>
      <c r="E326" s="2">
        <v>1900</v>
      </c>
      <c r="F326" s="2" t="s">
        <v>100</v>
      </c>
      <c r="G326" s="2" t="s">
        <v>129</v>
      </c>
      <c r="H326" s="2" t="s">
        <v>35</v>
      </c>
    </row>
    <row r="327" spans="1:8" ht="13" hidden="1">
      <c r="A327" s="15">
        <v>45206.754630671297</v>
      </c>
      <c r="B327" s="16">
        <v>45198</v>
      </c>
      <c r="C327" s="2" t="s">
        <v>302</v>
      </c>
      <c r="D327" s="2" t="s">
        <v>45</v>
      </c>
      <c r="E327" s="2">
        <v>2436</v>
      </c>
      <c r="F327" s="2" t="s">
        <v>100</v>
      </c>
      <c r="G327" s="2" t="s">
        <v>129</v>
      </c>
      <c r="H327" s="2" t="s">
        <v>35</v>
      </c>
    </row>
    <row r="328" spans="1:8" ht="13" hidden="1">
      <c r="A328" s="15">
        <v>45206.755551400463</v>
      </c>
      <c r="B328" s="16">
        <v>45199</v>
      </c>
      <c r="C328" s="2" t="s">
        <v>303</v>
      </c>
      <c r="D328" s="2" t="s">
        <v>39</v>
      </c>
      <c r="E328" s="2">
        <v>5445</v>
      </c>
      <c r="F328" s="2" t="s">
        <v>100</v>
      </c>
      <c r="H328" s="2" t="s">
        <v>35</v>
      </c>
    </row>
    <row r="329" spans="1:8" ht="13" hidden="1">
      <c r="A329" s="15">
        <v>45206.755918946757</v>
      </c>
      <c r="B329" s="16">
        <v>45199</v>
      </c>
      <c r="C329" s="2" t="s">
        <v>209</v>
      </c>
      <c r="D329" s="2" t="s">
        <v>42</v>
      </c>
      <c r="E329" s="2">
        <v>990</v>
      </c>
      <c r="F329" s="2" t="s">
        <v>100</v>
      </c>
      <c r="H329" s="2" t="s">
        <v>35</v>
      </c>
    </row>
    <row r="330" spans="1:8" ht="13" hidden="1">
      <c r="A330" s="15">
        <v>45199.658100532411</v>
      </c>
      <c r="B330" s="16">
        <v>45199</v>
      </c>
      <c r="C330" s="2" t="s">
        <v>116</v>
      </c>
      <c r="D330" s="2" t="s">
        <v>38</v>
      </c>
      <c r="E330" s="2">
        <v>943</v>
      </c>
      <c r="F330" s="2" t="s">
        <v>102</v>
      </c>
      <c r="G330" s="2" t="s">
        <v>145</v>
      </c>
      <c r="H330" s="2" t="s">
        <v>35</v>
      </c>
    </row>
    <row r="331" spans="1:8" ht="13" hidden="1">
      <c r="A331" s="15">
        <v>45206.758103101849</v>
      </c>
      <c r="B331" s="16">
        <v>45200</v>
      </c>
      <c r="C331" s="2" t="s">
        <v>10</v>
      </c>
      <c r="D331" s="2" t="s">
        <v>45</v>
      </c>
      <c r="E331" s="2">
        <v>280</v>
      </c>
      <c r="F331" s="2" t="s">
        <v>100</v>
      </c>
      <c r="H331" s="2" t="s">
        <v>35</v>
      </c>
    </row>
    <row r="332" spans="1:8" ht="13" hidden="1">
      <c r="A332" s="15">
        <v>45206.757220949075</v>
      </c>
      <c r="B332" s="16">
        <v>45200</v>
      </c>
      <c r="C332" s="2" t="s">
        <v>248</v>
      </c>
      <c r="D332" s="2" t="s">
        <v>49</v>
      </c>
      <c r="E332" s="2">
        <v>700</v>
      </c>
      <c r="F332" s="2" t="s">
        <v>100</v>
      </c>
      <c r="G332" s="2" t="s">
        <v>179</v>
      </c>
      <c r="H332" s="2" t="s">
        <v>35</v>
      </c>
    </row>
    <row r="333" spans="1:8" ht="13" hidden="1">
      <c r="A333" s="15">
        <v>45200.960112523149</v>
      </c>
      <c r="B333" s="16">
        <v>45200</v>
      </c>
      <c r="C333" s="2" t="s">
        <v>116</v>
      </c>
      <c r="D333" s="2" t="s">
        <v>38</v>
      </c>
      <c r="E333" s="2">
        <v>1001</v>
      </c>
      <c r="F333" s="2" t="s">
        <v>102</v>
      </c>
      <c r="G333" s="2" t="s">
        <v>145</v>
      </c>
      <c r="H333" s="2" t="s">
        <v>35</v>
      </c>
    </row>
    <row r="334" spans="1:8" ht="13" hidden="1">
      <c r="A334" s="15">
        <v>45206.756511423606</v>
      </c>
      <c r="B334" s="16">
        <v>45200</v>
      </c>
      <c r="C334" s="2" t="s">
        <v>304</v>
      </c>
      <c r="D334" s="2" t="s">
        <v>40</v>
      </c>
      <c r="E334" s="2">
        <v>10740</v>
      </c>
      <c r="F334" s="2" t="s">
        <v>100</v>
      </c>
      <c r="G334" s="2" t="s">
        <v>305</v>
      </c>
      <c r="H334" s="2" t="s">
        <v>35</v>
      </c>
    </row>
    <row r="335" spans="1:8" ht="13" hidden="1">
      <c r="A335" s="15">
        <v>45206.756925486116</v>
      </c>
      <c r="B335" s="16">
        <v>45200</v>
      </c>
      <c r="C335" s="2" t="s">
        <v>304</v>
      </c>
      <c r="D335" s="2" t="s">
        <v>38</v>
      </c>
      <c r="E335" s="2">
        <v>10600</v>
      </c>
      <c r="F335" s="2" t="s">
        <v>100</v>
      </c>
      <c r="G335" s="2" t="s">
        <v>305</v>
      </c>
      <c r="H335" s="2" t="s">
        <v>35</v>
      </c>
    </row>
    <row r="336" spans="1:8" ht="13" hidden="1">
      <c r="A336" s="15">
        <v>45200.959794120368</v>
      </c>
      <c r="B336" s="16">
        <v>45200</v>
      </c>
      <c r="C336" s="2" t="s">
        <v>280</v>
      </c>
      <c r="D336" s="2" t="s">
        <v>46</v>
      </c>
      <c r="E336" s="2">
        <v>2145</v>
      </c>
      <c r="F336" s="2" t="s">
        <v>102</v>
      </c>
      <c r="G336" s="2" t="s">
        <v>306</v>
      </c>
      <c r="H336" s="2" t="s">
        <v>35</v>
      </c>
    </row>
    <row r="337" spans="1:8" ht="13" hidden="1">
      <c r="A337" s="15">
        <v>45206.75775506944</v>
      </c>
      <c r="B337" s="16">
        <v>45200</v>
      </c>
      <c r="C337" s="2" t="s">
        <v>307</v>
      </c>
      <c r="D337" s="2" t="s">
        <v>40</v>
      </c>
      <c r="E337" s="2">
        <v>2100</v>
      </c>
      <c r="F337" s="2" t="s">
        <v>100</v>
      </c>
      <c r="H337" s="2" t="s">
        <v>35</v>
      </c>
    </row>
    <row r="338" spans="1:8" ht="13" hidden="1">
      <c r="A338" s="15">
        <v>45206.741924120375</v>
      </c>
      <c r="B338" s="16">
        <v>45201</v>
      </c>
      <c r="C338" s="2" t="s">
        <v>112</v>
      </c>
      <c r="D338" s="2" t="s">
        <v>38</v>
      </c>
      <c r="E338" s="2">
        <v>110</v>
      </c>
      <c r="F338" s="2" t="s">
        <v>102</v>
      </c>
      <c r="G338" s="2" t="s">
        <v>103</v>
      </c>
      <c r="H338" s="2" t="s">
        <v>35</v>
      </c>
    </row>
    <row r="339" spans="1:8" ht="13" hidden="1">
      <c r="A339" s="15">
        <v>45206.741582731484</v>
      </c>
      <c r="B339" s="16">
        <v>45201</v>
      </c>
      <c r="C339" s="2" t="s">
        <v>106</v>
      </c>
      <c r="D339" s="2" t="s">
        <v>38</v>
      </c>
      <c r="E339" s="2">
        <v>1060</v>
      </c>
      <c r="F339" s="2" t="s">
        <v>102</v>
      </c>
      <c r="G339" s="2" t="s">
        <v>191</v>
      </c>
      <c r="H339" s="2" t="s">
        <v>35</v>
      </c>
    </row>
    <row r="340" spans="1:8" ht="13" hidden="1">
      <c r="A340" s="15">
        <v>45206.742410266204</v>
      </c>
      <c r="B340" s="16">
        <v>45201</v>
      </c>
      <c r="C340" s="2" t="s">
        <v>116</v>
      </c>
      <c r="D340" s="2" t="s">
        <v>38</v>
      </c>
      <c r="E340" s="2">
        <v>1089</v>
      </c>
      <c r="F340" s="2" t="s">
        <v>102</v>
      </c>
      <c r="G340" s="2" t="s">
        <v>145</v>
      </c>
      <c r="H340" s="2" t="s">
        <v>35</v>
      </c>
    </row>
    <row r="341" spans="1:8" ht="13" hidden="1">
      <c r="A341" s="15">
        <v>45206.758464421291</v>
      </c>
      <c r="B341" s="16">
        <v>45201</v>
      </c>
      <c r="C341" s="2" t="s">
        <v>308</v>
      </c>
      <c r="D341" s="2" t="s">
        <v>40</v>
      </c>
      <c r="E341" s="2">
        <v>12130</v>
      </c>
      <c r="F341" s="2" t="s">
        <v>100</v>
      </c>
      <c r="H341" s="2" t="s">
        <v>35</v>
      </c>
    </row>
    <row r="342" spans="1:8" ht="13" hidden="1">
      <c r="A342" s="15">
        <v>45206.743288541664</v>
      </c>
      <c r="B342" s="16">
        <v>45202</v>
      </c>
      <c r="C342" s="2" t="s">
        <v>296</v>
      </c>
      <c r="D342" s="2" t="s">
        <v>39</v>
      </c>
      <c r="E342" s="2">
        <v>1900</v>
      </c>
      <c r="F342" s="2" t="s">
        <v>102</v>
      </c>
      <c r="G342" s="2" t="s">
        <v>281</v>
      </c>
      <c r="H342" s="2" t="s">
        <v>35</v>
      </c>
    </row>
    <row r="343" spans="1:8" ht="13" hidden="1">
      <c r="A343" s="15">
        <v>45206.742929444445</v>
      </c>
      <c r="B343" s="16">
        <v>45202</v>
      </c>
      <c r="C343" s="2" t="s">
        <v>112</v>
      </c>
      <c r="D343" s="2" t="s">
        <v>38</v>
      </c>
      <c r="E343" s="2">
        <v>210</v>
      </c>
      <c r="F343" s="2" t="s">
        <v>102</v>
      </c>
      <c r="G343" s="2" t="s">
        <v>103</v>
      </c>
      <c r="H343" s="2" t="s">
        <v>35</v>
      </c>
    </row>
    <row r="344" spans="1:8" ht="13" hidden="1">
      <c r="A344" s="15">
        <v>45206.760228599538</v>
      </c>
      <c r="B344" s="16">
        <v>45203</v>
      </c>
      <c r="C344" s="2" t="s">
        <v>309</v>
      </c>
      <c r="E344" s="2">
        <v>9500</v>
      </c>
      <c r="H344" s="2" t="s">
        <v>34</v>
      </c>
    </row>
    <row r="345" spans="1:8" ht="13" hidden="1">
      <c r="A345" s="15">
        <v>45206.743803807869</v>
      </c>
      <c r="B345" s="16">
        <v>45203</v>
      </c>
      <c r="C345" s="2" t="s">
        <v>112</v>
      </c>
      <c r="D345" s="2" t="s">
        <v>38</v>
      </c>
      <c r="E345" s="2">
        <v>110</v>
      </c>
      <c r="F345" s="2" t="s">
        <v>102</v>
      </c>
      <c r="G345" s="2" t="s">
        <v>103</v>
      </c>
      <c r="H345" s="2" t="s">
        <v>35</v>
      </c>
    </row>
    <row r="346" spans="1:8" ht="13" hidden="1">
      <c r="A346" s="15">
        <v>45206.744526932875</v>
      </c>
      <c r="B346" s="16">
        <v>45203</v>
      </c>
      <c r="C346" s="2" t="s">
        <v>112</v>
      </c>
      <c r="D346" s="2" t="s">
        <v>38</v>
      </c>
      <c r="E346" s="2">
        <v>110</v>
      </c>
      <c r="F346" s="2" t="s">
        <v>102</v>
      </c>
      <c r="G346" s="2" t="s">
        <v>103</v>
      </c>
      <c r="H346" s="2" t="s">
        <v>35</v>
      </c>
    </row>
    <row r="347" spans="1:8" ht="13" hidden="1">
      <c r="A347" s="15">
        <v>45206.744130763887</v>
      </c>
      <c r="B347" s="16">
        <v>45203</v>
      </c>
      <c r="C347" s="2" t="s">
        <v>259</v>
      </c>
      <c r="D347" s="2" t="s">
        <v>38</v>
      </c>
      <c r="E347" s="2">
        <v>1100</v>
      </c>
      <c r="F347" s="2" t="s">
        <v>102</v>
      </c>
      <c r="G347" s="2" t="s">
        <v>260</v>
      </c>
      <c r="H347" s="2" t="s">
        <v>35</v>
      </c>
    </row>
    <row r="348" spans="1:8" ht="13" hidden="1">
      <c r="A348" s="15">
        <v>45206.744976979171</v>
      </c>
      <c r="B348" s="16">
        <v>45203</v>
      </c>
      <c r="C348" s="2" t="s">
        <v>116</v>
      </c>
      <c r="D348" s="2" t="s">
        <v>38</v>
      </c>
      <c r="E348" s="2">
        <v>384</v>
      </c>
      <c r="F348" s="2" t="s">
        <v>102</v>
      </c>
      <c r="G348" s="2" t="s">
        <v>145</v>
      </c>
      <c r="H348" s="2" t="s">
        <v>35</v>
      </c>
    </row>
    <row r="349" spans="1:8" ht="13" hidden="1">
      <c r="A349" s="15">
        <v>45206.745305104167</v>
      </c>
      <c r="B349" s="16">
        <v>45204</v>
      </c>
      <c r="C349" s="2" t="s">
        <v>112</v>
      </c>
      <c r="D349" s="2" t="s">
        <v>38</v>
      </c>
      <c r="E349" s="2">
        <v>110</v>
      </c>
      <c r="F349" s="2" t="s">
        <v>102</v>
      </c>
      <c r="G349" s="2" t="s">
        <v>103</v>
      </c>
      <c r="H349" s="2" t="s">
        <v>35</v>
      </c>
    </row>
    <row r="350" spans="1:8" ht="13" hidden="1">
      <c r="A350" s="15">
        <v>45206.746068402776</v>
      </c>
      <c r="B350" s="16">
        <v>45204</v>
      </c>
      <c r="C350" s="2" t="s">
        <v>112</v>
      </c>
      <c r="D350" s="2" t="s">
        <v>38</v>
      </c>
      <c r="E350" s="2">
        <v>110</v>
      </c>
      <c r="F350" s="2" t="s">
        <v>102</v>
      </c>
      <c r="G350" s="2" t="s">
        <v>103</v>
      </c>
      <c r="H350" s="2" t="s">
        <v>35</v>
      </c>
    </row>
    <row r="351" spans="1:8" ht="13" hidden="1">
      <c r="A351" s="15">
        <v>45206.745702777778</v>
      </c>
      <c r="B351" s="16">
        <v>45204</v>
      </c>
      <c r="C351" s="2" t="s">
        <v>106</v>
      </c>
      <c r="D351" s="2" t="s">
        <v>38</v>
      </c>
      <c r="E351" s="2">
        <v>980</v>
      </c>
      <c r="F351" s="2" t="s">
        <v>102</v>
      </c>
      <c r="G351" s="2" t="s">
        <v>194</v>
      </c>
      <c r="H351" s="2" t="s">
        <v>35</v>
      </c>
    </row>
    <row r="352" spans="1:8" ht="13" hidden="1">
      <c r="A352" s="15">
        <v>45206.746455104163</v>
      </c>
      <c r="B352" s="16">
        <v>45204</v>
      </c>
      <c r="C352" s="2" t="s">
        <v>116</v>
      </c>
      <c r="D352" s="2" t="s">
        <v>38</v>
      </c>
      <c r="E352" s="2">
        <v>565</v>
      </c>
      <c r="F352" s="2" t="s">
        <v>102</v>
      </c>
      <c r="G352" s="2" t="s">
        <v>116</v>
      </c>
      <c r="H352" s="2" t="s">
        <v>35</v>
      </c>
    </row>
    <row r="353" spans="1:8" ht="13" hidden="1">
      <c r="A353" s="15">
        <v>45214.878281516205</v>
      </c>
      <c r="B353" s="16">
        <v>45205</v>
      </c>
      <c r="C353" s="2" t="s">
        <v>240</v>
      </c>
      <c r="D353" s="2" t="s">
        <v>42</v>
      </c>
      <c r="E353" s="2">
        <v>330</v>
      </c>
      <c r="F353" s="2" t="s">
        <v>100</v>
      </c>
      <c r="H353" s="2" t="s">
        <v>35</v>
      </c>
    </row>
    <row r="354" spans="1:8" ht="13" hidden="1">
      <c r="A354" s="15">
        <v>45206.747283078701</v>
      </c>
      <c r="B354" s="16">
        <v>45205</v>
      </c>
      <c r="C354" s="2" t="s">
        <v>112</v>
      </c>
      <c r="D354" s="2" t="s">
        <v>38</v>
      </c>
      <c r="E354" s="2">
        <v>110</v>
      </c>
      <c r="F354" s="2" t="s">
        <v>102</v>
      </c>
      <c r="G354" s="2" t="s">
        <v>103</v>
      </c>
      <c r="H354" s="2" t="s">
        <v>35</v>
      </c>
    </row>
    <row r="355" spans="1:8" ht="13" hidden="1">
      <c r="A355" s="15">
        <v>45206.748119074073</v>
      </c>
      <c r="B355" s="16">
        <v>45205</v>
      </c>
      <c r="C355" s="2" t="s">
        <v>310</v>
      </c>
      <c r="D355" s="2" t="s">
        <v>38</v>
      </c>
      <c r="E355" s="2">
        <v>170</v>
      </c>
      <c r="F355" s="2" t="s">
        <v>102</v>
      </c>
      <c r="G355" s="2" t="s">
        <v>145</v>
      </c>
      <c r="H355" s="2" t="s">
        <v>35</v>
      </c>
    </row>
    <row r="356" spans="1:8" ht="13" hidden="1">
      <c r="A356" s="15">
        <v>45206.746958935182</v>
      </c>
      <c r="B356" s="16">
        <v>45205</v>
      </c>
      <c r="C356" s="2" t="s">
        <v>190</v>
      </c>
      <c r="D356" s="2" t="s">
        <v>38</v>
      </c>
      <c r="E356" s="2">
        <v>1200</v>
      </c>
      <c r="F356" s="2" t="s">
        <v>102</v>
      </c>
      <c r="G356" s="2" t="s">
        <v>200</v>
      </c>
      <c r="H356" s="2" t="s">
        <v>35</v>
      </c>
    </row>
    <row r="357" spans="1:8" ht="13" hidden="1">
      <c r="A357" s="15">
        <v>45214.879252453698</v>
      </c>
      <c r="B357" s="16">
        <v>45205</v>
      </c>
      <c r="C357" s="2" t="s">
        <v>311</v>
      </c>
      <c r="D357" s="2" t="s">
        <v>39</v>
      </c>
      <c r="E357" s="2">
        <v>3700</v>
      </c>
      <c r="F357" s="2" t="s">
        <v>100</v>
      </c>
      <c r="G357" s="2" t="s">
        <v>312</v>
      </c>
      <c r="H357" s="2" t="s">
        <v>35</v>
      </c>
    </row>
    <row r="358" spans="1:8" ht="13" hidden="1">
      <c r="A358" s="15">
        <v>45206.747755798613</v>
      </c>
      <c r="B358" s="16">
        <v>45205</v>
      </c>
      <c r="C358" s="2" t="s">
        <v>313</v>
      </c>
      <c r="D358" s="2" t="s">
        <v>39</v>
      </c>
      <c r="E358" s="2">
        <v>2000</v>
      </c>
      <c r="F358" s="2" t="s">
        <v>102</v>
      </c>
      <c r="H358" s="2" t="s">
        <v>35</v>
      </c>
    </row>
    <row r="359" spans="1:8" ht="13" hidden="1">
      <c r="A359" s="15">
        <v>45206.748974513888</v>
      </c>
      <c r="B359" s="16">
        <v>45206</v>
      </c>
      <c r="C359" s="2" t="s">
        <v>163</v>
      </c>
      <c r="D359" s="2" t="s">
        <v>38</v>
      </c>
      <c r="E359" s="2">
        <v>1500</v>
      </c>
      <c r="F359" s="2" t="s">
        <v>102</v>
      </c>
      <c r="G359" s="2" t="s">
        <v>314</v>
      </c>
      <c r="H359" s="2" t="s">
        <v>35</v>
      </c>
    </row>
    <row r="360" spans="1:8" ht="13" hidden="1">
      <c r="A360" s="15">
        <v>45206.749324421296</v>
      </c>
      <c r="B360" s="16">
        <v>45206</v>
      </c>
      <c r="C360" s="2" t="s">
        <v>315</v>
      </c>
      <c r="D360" s="2" t="s">
        <v>38</v>
      </c>
      <c r="E360" s="2">
        <v>138</v>
      </c>
      <c r="F360" s="2" t="s">
        <v>102</v>
      </c>
      <c r="G360" s="2" t="s">
        <v>103</v>
      </c>
      <c r="H360" s="2" t="s">
        <v>35</v>
      </c>
    </row>
    <row r="361" spans="1:8" ht="13" hidden="1">
      <c r="A361" s="15">
        <v>45206.748505462965</v>
      </c>
      <c r="B361" s="16">
        <v>45206</v>
      </c>
      <c r="C361" s="2" t="s">
        <v>116</v>
      </c>
      <c r="D361" s="2" t="s">
        <v>38</v>
      </c>
      <c r="E361" s="2">
        <v>1153</v>
      </c>
      <c r="F361" s="2" t="s">
        <v>102</v>
      </c>
      <c r="G361" s="2" t="s">
        <v>145</v>
      </c>
      <c r="H361" s="2" t="s">
        <v>35</v>
      </c>
    </row>
    <row r="362" spans="1:8" ht="13" hidden="1">
      <c r="A362" s="15">
        <v>45214.88024741898</v>
      </c>
      <c r="B362" s="16">
        <v>45207</v>
      </c>
      <c r="C362" s="2" t="s">
        <v>240</v>
      </c>
      <c r="D362" s="2" t="s">
        <v>42</v>
      </c>
      <c r="E362" s="2">
        <v>990</v>
      </c>
      <c r="F362" s="2" t="s">
        <v>100</v>
      </c>
      <c r="H362" s="2" t="s">
        <v>35</v>
      </c>
    </row>
    <row r="363" spans="1:8" ht="13" hidden="1">
      <c r="A363" s="15">
        <v>45208.924421226853</v>
      </c>
      <c r="B363" s="16">
        <v>45207</v>
      </c>
      <c r="C363" s="2" t="s">
        <v>316</v>
      </c>
      <c r="D363" s="2" t="s">
        <v>44</v>
      </c>
      <c r="E363" s="2">
        <v>1990</v>
      </c>
      <c r="F363" s="2" t="s">
        <v>102</v>
      </c>
      <c r="G363" s="2" t="s">
        <v>132</v>
      </c>
      <c r="H363" s="2" t="s">
        <v>35</v>
      </c>
    </row>
    <row r="364" spans="1:8" ht="13" hidden="1">
      <c r="A364" s="15">
        <v>45214.879904479167</v>
      </c>
      <c r="B364" s="16">
        <v>45207</v>
      </c>
      <c r="C364" s="2" t="s">
        <v>12</v>
      </c>
      <c r="D364" s="2" t="s">
        <v>39</v>
      </c>
      <c r="E364" s="2">
        <v>980</v>
      </c>
      <c r="F364" s="2" t="s">
        <v>100</v>
      </c>
      <c r="H364" s="2" t="s">
        <v>35</v>
      </c>
    </row>
    <row r="365" spans="1:8" ht="13" hidden="1">
      <c r="A365" s="15">
        <v>45208.924748252313</v>
      </c>
      <c r="B365" s="16">
        <v>45207</v>
      </c>
      <c r="C365" s="2" t="s">
        <v>116</v>
      </c>
      <c r="D365" s="2" t="s">
        <v>38</v>
      </c>
      <c r="E365" s="2">
        <v>330</v>
      </c>
      <c r="F365" s="2" t="s">
        <v>102</v>
      </c>
      <c r="G365" s="2" t="s">
        <v>145</v>
      </c>
      <c r="H365" s="2" t="s">
        <v>35</v>
      </c>
    </row>
    <row r="366" spans="1:8" ht="13" hidden="1">
      <c r="A366" s="15">
        <v>45214.880564895837</v>
      </c>
      <c r="B366" s="16">
        <v>45207</v>
      </c>
      <c r="C366" s="2" t="s">
        <v>235</v>
      </c>
      <c r="D366" s="2" t="s">
        <v>43</v>
      </c>
      <c r="E366" s="2">
        <v>22000</v>
      </c>
      <c r="F366" s="2" t="s">
        <v>100</v>
      </c>
      <c r="G366" s="2" t="s">
        <v>317</v>
      </c>
      <c r="H366" s="2" t="s">
        <v>35</v>
      </c>
    </row>
    <row r="367" spans="1:8" ht="13" hidden="1">
      <c r="A367" s="15">
        <v>45208.925492905095</v>
      </c>
      <c r="B367" s="16">
        <v>45208</v>
      </c>
      <c r="C367" s="2" t="s">
        <v>318</v>
      </c>
      <c r="D367" s="2" t="s">
        <v>45</v>
      </c>
      <c r="E367" s="2">
        <v>220</v>
      </c>
      <c r="F367" s="2" t="s">
        <v>102</v>
      </c>
      <c r="G367" s="2" t="s">
        <v>169</v>
      </c>
      <c r="H367" s="2" t="s">
        <v>35</v>
      </c>
    </row>
    <row r="368" spans="1:8" ht="13" hidden="1">
      <c r="A368" s="15">
        <v>45208.925824918981</v>
      </c>
      <c r="B368" s="16">
        <v>45208</v>
      </c>
      <c r="C368" s="2" t="s">
        <v>114</v>
      </c>
      <c r="D368" s="2" t="s">
        <v>38</v>
      </c>
      <c r="E368" s="2">
        <v>766</v>
      </c>
      <c r="F368" s="2" t="s">
        <v>102</v>
      </c>
      <c r="G368" s="2" t="s">
        <v>319</v>
      </c>
      <c r="H368" s="2" t="s">
        <v>35</v>
      </c>
    </row>
    <row r="369" spans="1:8" ht="13" hidden="1">
      <c r="A369" s="15">
        <v>45214.881019108798</v>
      </c>
      <c r="B369" s="16">
        <v>45208</v>
      </c>
      <c r="C369" s="2" t="s">
        <v>197</v>
      </c>
      <c r="D369" s="2" t="s">
        <v>48</v>
      </c>
      <c r="E369" s="2">
        <v>880</v>
      </c>
      <c r="F369" s="2" t="s">
        <v>100</v>
      </c>
      <c r="H369" s="2" t="s">
        <v>35</v>
      </c>
    </row>
    <row r="370" spans="1:8" ht="13" hidden="1">
      <c r="A370" s="15">
        <v>45208.925107314819</v>
      </c>
      <c r="B370" s="16">
        <v>45208</v>
      </c>
      <c r="C370" s="2" t="s">
        <v>116</v>
      </c>
      <c r="D370" s="2" t="s">
        <v>38</v>
      </c>
      <c r="E370" s="2">
        <v>2801</v>
      </c>
      <c r="F370" s="2" t="s">
        <v>102</v>
      </c>
      <c r="G370" s="2" t="s">
        <v>116</v>
      </c>
      <c r="H370" s="2" t="s">
        <v>35</v>
      </c>
    </row>
    <row r="371" spans="1:8" ht="13" hidden="1">
      <c r="A371" s="15">
        <v>45214.882725648145</v>
      </c>
      <c r="B371" s="16">
        <v>45209</v>
      </c>
      <c r="C371" s="2" t="s">
        <v>265</v>
      </c>
      <c r="D371" s="2" t="s">
        <v>45</v>
      </c>
      <c r="E371" s="2">
        <v>980</v>
      </c>
      <c r="F371" s="2" t="s">
        <v>100</v>
      </c>
      <c r="H371" s="2" t="s">
        <v>35</v>
      </c>
    </row>
    <row r="372" spans="1:8" ht="13" hidden="1">
      <c r="A372" s="15">
        <v>45214.881343402776</v>
      </c>
      <c r="B372" s="16">
        <v>45209</v>
      </c>
      <c r="C372" s="2" t="s">
        <v>240</v>
      </c>
      <c r="D372" s="2" t="s">
        <v>42</v>
      </c>
      <c r="E372" s="2">
        <v>44</v>
      </c>
      <c r="F372" s="2" t="s">
        <v>100</v>
      </c>
      <c r="H372" s="2" t="s">
        <v>35</v>
      </c>
    </row>
    <row r="373" spans="1:8" ht="13" hidden="1">
      <c r="A373" s="15">
        <v>45214.872171168987</v>
      </c>
      <c r="B373" s="16">
        <v>45209</v>
      </c>
      <c r="C373" s="2" t="s">
        <v>112</v>
      </c>
      <c r="D373" s="2" t="s">
        <v>38</v>
      </c>
      <c r="E373" s="2">
        <v>110</v>
      </c>
      <c r="F373" s="2" t="s">
        <v>102</v>
      </c>
      <c r="G373" s="2" t="s">
        <v>103</v>
      </c>
      <c r="H373" s="2" t="s">
        <v>35</v>
      </c>
    </row>
    <row r="374" spans="1:8" ht="13" hidden="1">
      <c r="A374" s="15">
        <v>45214.871842789347</v>
      </c>
      <c r="B374" s="16">
        <v>45209</v>
      </c>
      <c r="C374" s="2" t="s">
        <v>106</v>
      </c>
      <c r="D374" s="2" t="s">
        <v>38</v>
      </c>
      <c r="E374" s="2">
        <v>1100</v>
      </c>
      <c r="F374" s="2" t="s">
        <v>102</v>
      </c>
      <c r="G374" s="2" t="s">
        <v>256</v>
      </c>
      <c r="H374" s="2" t="s">
        <v>35</v>
      </c>
    </row>
    <row r="375" spans="1:8" ht="13" hidden="1">
      <c r="A375" s="15">
        <v>45214.883105208333</v>
      </c>
      <c r="B375" s="16">
        <v>45210</v>
      </c>
      <c r="C375" s="2" t="s">
        <v>275</v>
      </c>
      <c r="D375" s="2" t="s">
        <v>42</v>
      </c>
      <c r="E375" s="2">
        <v>3468</v>
      </c>
      <c r="F375" s="2" t="s">
        <v>100</v>
      </c>
      <c r="H375" s="2" t="s">
        <v>35</v>
      </c>
    </row>
    <row r="376" spans="1:8" ht="13" hidden="1">
      <c r="A376" s="15">
        <v>45214.883473819442</v>
      </c>
      <c r="B376" s="16">
        <v>45210</v>
      </c>
      <c r="C376" s="2" t="s">
        <v>320</v>
      </c>
      <c r="D376" s="2" t="s">
        <v>41</v>
      </c>
      <c r="E376" s="2">
        <v>4378</v>
      </c>
      <c r="F376" s="2" t="s">
        <v>100</v>
      </c>
      <c r="H376" s="2" t="s">
        <v>35</v>
      </c>
    </row>
    <row r="377" spans="1:8" ht="13" hidden="1">
      <c r="A377" s="15">
        <v>45214.873148148152</v>
      </c>
      <c r="B377" s="16">
        <v>45210</v>
      </c>
      <c r="C377" s="2" t="s">
        <v>112</v>
      </c>
      <c r="D377" s="2" t="s">
        <v>38</v>
      </c>
      <c r="E377" s="2">
        <v>110</v>
      </c>
      <c r="F377" s="2" t="s">
        <v>102</v>
      </c>
      <c r="G377" s="2" t="s">
        <v>103</v>
      </c>
      <c r="H377" s="2" t="s">
        <v>35</v>
      </c>
    </row>
    <row r="378" spans="1:8" ht="13" hidden="1">
      <c r="A378" s="15">
        <v>45214.872842662036</v>
      </c>
      <c r="B378" s="16">
        <v>45210</v>
      </c>
      <c r="C378" s="2" t="s">
        <v>190</v>
      </c>
      <c r="D378" s="2" t="s">
        <v>38</v>
      </c>
      <c r="E378" s="2">
        <v>970</v>
      </c>
      <c r="F378" s="2" t="s">
        <v>102</v>
      </c>
      <c r="G378" s="2" t="s">
        <v>191</v>
      </c>
      <c r="H378" s="2" t="s">
        <v>35</v>
      </c>
    </row>
    <row r="379" spans="1:8" ht="13" hidden="1">
      <c r="A379" s="15">
        <v>45214.873512673614</v>
      </c>
      <c r="B379" s="16">
        <v>45211</v>
      </c>
      <c r="C379" s="2" t="s">
        <v>112</v>
      </c>
      <c r="D379" s="2" t="s">
        <v>38</v>
      </c>
      <c r="E379" s="2">
        <v>110</v>
      </c>
      <c r="F379" s="2" t="s">
        <v>102</v>
      </c>
      <c r="G379" s="2" t="s">
        <v>103</v>
      </c>
      <c r="H379" s="2" t="s">
        <v>35</v>
      </c>
    </row>
    <row r="380" spans="1:8" ht="13" hidden="1">
      <c r="A380" s="15">
        <v>45214.874196215278</v>
      </c>
      <c r="B380" s="16">
        <v>45211</v>
      </c>
      <c r="C380" s="2" t="s">
        <v>321</v>
      </c>
      <c r="D380" s="2" t="s">
        <v>39</v>
      </c>
      <c r="E380" s="2">
        <v>3500</v>
      </c>
      <c r="F380" s="2" t="s">
        <v>102</v>
      </c>
      <c r="H380" s="2" t="s">
        <v>35</v>
      </c>
    </row>
    <row r="381" spans="1:8" ht="13" hidden="1">
      <c r="A381" s="15">
        <v>45214.87387505787</v>
      </c>
      <c r="B381" s="16">
        <v>45211</v>
      </c>
      <c r="C381" s="2" t="s">
        <v>106</v>
      </c>
      <c r="D381" s="2" t="s">
        <v>38</v>
      </c>
      <c r="E381" s="2">
        <v>1000</v>
      </c>
      <c r="F381" s="2" t="s">
        <v>102</v>
      </c>
      <c r="G381" s="2" t="s">
        <v>322</v>
      </c>
      <c r="H381" s="2" t="s">
        <v>35</v>
      </c>
    </row>
    <row r="382" spans="1:8" ht="13" hidden="1">
      <c r="A382" s="15">
        <v>45214.883752511574</v>
      </c>
      <c r="B382" s="16">
        <v>45212</v>
      </c>
      <c r="C382" s="2" t="s">
        <v>275</v>
      </c>
      <c r="D382" s="2" t="s">
        <v>42</v>
      </c>
      <c r="E382" s="2">
        <v>1532</v>
      </c>
      <c r="F382" s="2" t="s">
        <v>100</v>
      </c>
      <c r="H382" s="2" t="s">
        <v>35</v>
      </c>
    </row>
    <row r="383" spans="1:8" ht="13" hidden="1">
      <c r="A383" s="15">
        <v>45214.875726296297</v>
      </c>
      <c r="B383" s="16">
        <v>45212</v>
      </c>
      <c r="C383" s="2" t="s">
        <v>112</v>
      </c>
      <c r="D383" s="2" t="s">
        <v>38</v>
      </c>
      <c r="E383" s="2">
        <v>110</v>
      </c>
      <c r="F383" s="2" t="s">
        <v>102</v>
      </c>
      <c r="G383" s="2" t="s">
        <v>103</v>
      </c>
      <c r="H383" s="2" t="s">
        <v>35</v>
      </c>
    </row>
    <row r="384" spans="1:8" ht="13" hidden="1">
      <c r="A384" s="15">
        <v>45214.875048518516</v>
      </c>
      <c r="B384" s="16">
        <v>45212</v>
      </c>
      <c r="C384" s="2" t="s">
        <v>323</v>
      </c>
      <c r="D384" s="2" t="s">
        <v>38</v>
      </c>
      <c r="E384" s="2">
        <v>1100</v>
      </c>
      <c r="F384" s="2" t="s">
        <v>102</v>
      </c>
      <c r="G384" s="2" t="s">
        <v>260</v>
      </c>
      <c r="H384" s="2" t="s">
        <v>35</v>
      </c>
    </row>
    <row r="385" spans="1:8" ht="13" hidden="1">
      <c r="A385" s="15">
        <v>45214.874644849537</v>
      </c>
      <c r="B385" s="16">
        <v>45212</v>
      </c>
      <c r="C385" s="2" t="s">
        <v>110</v>
      </c>
      <c r="D385" s="2" t="s">
        <v>38</v>
      </c>
      <c r="E385" s="2">
        <v>259</v>
      </c>
      <c r="F385" s="2" t="s">
        <v>102</v>
      </c>
      <c r="G385" s="2" t="s">
        <v>103</v>
      </c>
      <c r="H385" s="2" t="s">
        <v>35</v>
      </c>
    </row>
    <row r="386" spans="1:8" ht="13" hidden="1">
      <c r="A386" s="15">
        <v>45214.875427685183</v>
      </c>
      <c r="B386" s="16">
        <v>45212</v>
      </c>
      <c r="C386" s="2" t="s">
        <v>236</v>
      </c>
      <c r="D386" s="2" t="s">
        <v>43</v>
      </c>
      <c r="E386" s="2">
        <v>418</v>
      </c>
      <c r="F386" s="2" t="s">
        <v>102</v>
      </c>
      <c r="G386" s="2" t="s">
        <v>285</v>
      </c>
      <c r="H386" s="2" t="s">
        <v>35</v>
      </c>
    </row>
    <row r="387" spans="1:8" ht="13" hidden="1">
      <c r="A387" s="15">
        <v>45221.864070578704</v>
      </c>
      <c r="B387" s="16">
        <v>45212</v>
      </c>
      <c r="C387" s="2" t="s">
        <v>105</v>
      </c>
      <c r="D387" s="2" t="s">
        <v>40</v>
      </c>
      <c r="E387" s="2">
        <v>3600</v>
      </c>
      <c r="F387" s="2" t="s">
        <v>100</v>
      </c>
      <c r="H387" s="2" t="s">
        <v>35</v>
      </c>
    </row>
    <row r="388" spans="1:8" ht="13" hidden="1">
      <c r="A388" s="15">
        <v>45214.876032488421</v>
      </c>
      <c r="B388" s="16">
        <v>45213</v>
      </c>
      <c r="C388" s="2" t="s">
        <v>116</v>
      </c>
      <c r="D388" s="2" t="s">
        <v>38</v>
      </c>
      <c r="E388" s="2">
        <v>1925</v>
      </c>
      <c r="F388" s="2" t="s">
        <v>102</v>
      </c>
      <c r="G388" s="2" t="s">
        <v>145</v>
      </c>
      <c r="H388" s="2" t="s">
        <v>35</v>
      </c>
    </row>
    <row r="389" spans="1:8" ht="13" hidden="1">
      <c r="A389" s="15">
        <v>45214.877042141205</v>
      </c>
      <c r="B389" s="16">
        <v>45214</v>
      </c>
      <c r="C389" s="2" t="s">
        <v>114</v>
      </c>
      <c r="D389" s="2" t="s">
        <v>38</v>
      </c>
      <c r="E389" s="2">
        <v>530</v>
      </c>
      <c r="F389" s="2" t="s">
        <v>102</v>
      </c>
      <c r="G389" s="2" t="s">
        <v>324</v>
      </c>
      <c r="H389" s="2" t="s">
        <v>35</v>
      </c>
    </row>
    <row r="390" spans="1:8" ht="13" hidden="1">
      <c r="A390" s="15">
        <v>45214.876320798612</v>
      </c>
      <c r="B390" s="16">
        <v>45214</v>
      </c>
      <c r="C390" s="2" t="s">
        <v>116</v>
      </c>
      <c r="D390" s="2" t="s">
        <v>38</v>
      </c>
      <c r="E390" s="2">
        <v>1000</v>
      </c>
      <c r="F390" s="2" t="s">
        <v>102</v>
      </c>
      <c r="G390" s="2" t="s">
        <v>145</v>
      </c>
      <c r="H390" s="2" t="s">
        <v>35</v>
      </c>
    </row>
    <row r="391" spans="1:8" ht="13" hidden="1">
      <c r="A391" s="15">
        <v>45214.876704050926</v>
      </c>
      <c r="B391" s="16">
        <v>45214</v>
      </c>
      <c r="C391" s="2" t="s">
        <v>204</v>
      </c>
      <c r="D391" s="2" t="s">
        <v>45</v>
      </c>
      <c r="E391" s="2">
        <v>5200</v>
      </c>
      <c r="F391" s="2" t="s">
        <v>102</v>
      </c>
      <c r="G391" s="2" t="s">
        <v>325</v>
      </c>
      <c r="H391" s="2" t="s">
        <v>35</v>
      </c>
    </row>
    <row r="392" spans="1:8" ht="13" hidden="1">
      <c r="A392" s="15">
        <v>45215.608676886579</v>
      </c>
      <c r="B392" s="16">
        <v>45215</v>
      </c>
      <c r="C392" s="2" t="s">
        <v>106</v>
      </c>
      <c r="D392" s="2" t="s">
        <v>38</v>
      </c>
      <c r="E392" s="2">
        <v>1200</v>
      </c>
      <c r="F392" s="2" t="s">
        <v>102</v>
      </c>
      <c r="G392" s="2" t="s">
        <v>227</v>
      </c>
      <c r="H392" s="2" t="s">
        <v>35</v>
      </c>
    </row>
    <row r="393" spans="1:8" ht="13" hidden="1">
      <c r="A393" s="15">
        <v>45221.858261041663</v>
      </c>
      <c r="B393" s="16">
        <v>45215</v>
      </c>
      <c r="C393" s="2" t="s">
        <v>112</v>
      </c>
      <c r="D393" s="2" t="s">
        <v>38</v>
      </c>
      <c r="E393" s="2">
        <v>110</v>
      </c>
      <c r="F393" s="2" t="s">
        <v>102</v>
      </c>
      <c r="G393" s="2" t="s">
        <v>103</v>
      </c>
      <c r="H393" s="2" t="s">
        <v>35</v>
      </c>
    </row>
    <row r="394" spans="1:8" ht="13" hidden="1">
      <c r="A394" s="15">
        <v>45221.864377997685</v>
      </c>
      <c r="B394" s="16">
        <v>45215</v>
      </c>
      <c r="C394" s="2" t="s">
        <v>240</v>
      </c>
      <c r="D394" s="2" t="s">
        <v>42</v>
      </c>
      <c r="E394" s="2">
        <v>330</v>
      </c>
      <c r="F394" s="2" t="s">
        <v>100</v>
      </c>
      <c r="H394" s="2" t="s">
        <v>35</v>
      </c>
    </row>
    <row r="395" spans="1:8" ht="13" hidden="1">
      <c r="A395" s="15">
        <v>45221.864633252313</v>
      </c>
      <c r="B395" s="16">
        <v>45215</v>
      </c>
      <c r="C395" s="2" t="s">
        <v>326</v>
      </c>
      <c r="D395" s="2" t="s">
        <v>39</v>
      </c>
      <c r="E395" s="2">
        <v>6300</v>
      </c>
      <c r="F395" s="2" t="s">
        <v>100</v>
      </c>
      <c r="H395" s="2" t="s">
        <v>35</v>
      </c>
    </row>
    <row r="396" spans="1:8" ht="13" hidden="1">
      <c r="A396" s="15">
        <v>45221.865464571762</v>
      </c>
      <c r="B396" s="16">
        <v>45215</v>
      </c>
      <c r="C396" s="2" t="s">
        <v>327</v>
      </c>
      <c r="D396" s="2" t="s">
        <v>39</v>
      </c>
      <c r="E396" s="2">
        <v>1490</v>
      </c>
      <c r="F396" s="2" t="s">
        <v>100</v>
      </c>
      <c r="H396" s="2" t="s">
        <v>35</v>
      </c>
    </row>
    <row r="397" spans="1:8" ht="13" hidden="1">
      <c r="A397" s="15">
        <v>45221.858680057871</v>
      </c>
      <c r="B397" s="16">
        <v>45216</v>
      </c>
      <c r="C397" s="2" t="s">
        <v>116</v>
      </c>
      <c r="D397" s="2" t="s">
        <v>38</v>
      </c>
      <c r="E397" s="2">
        <v>1676</v>
      </c>
      <c r="F397" s="2" t="s">
        <v>102</v>
      </c>
      <c r="G397" s="2" t="s">
        <v>145</v>
      </c>
      <c r="H397" s="2" t="s">
        <v>35</v>
      </c>
    </row>
    <row r="398" spans="1:8" ht="13" hidden="1">
      <c r="A398" s="15">
        <v>45221.858940497681</v>
      </c>
      <c r="B398" s="16">
        <v>45217</v>
      </c>
      <c r="C398" s="2" t="s">
        <v>106</v>
      </c>
      <c r="D398" s="2" t="s">
        <v>38</v>
      </c>
      <c r="E398" s="2">
        <v>1200</v>
      </c>
      <c r="F398" s="2" t="s">
        <v>102</v>
      </c>
      <c r="H398" s="2" t="s">
        <v>35</v>
      </c>
    </row>
    <row r="399" spans="1:8" ht="13" hidden="1">
      <c r="A399" s="15">
        <v>45221.859259618053</v>
      </c>
      <c r="B399" s="16">
        <v>45217</v>
      </c>
      <c r="C399" s="2" t="s">
        <v>286</v>
      </c>
      <c r="D399" s="2" t="s">
        <v>38</v>
      </c>
      <c r="E399" s="2">
        <v>241</v>
      </c>
      <c r="F399" s="2" t="s">
        <v>102</v>
      </c>
      <c r="G399" s="2" t="s">
        <v>103</v>
      </c>
      <c r="H399" s="2" t="s">
        <v>35</v>
      </c>
    </row>
    <row r="400" spans="1:8" ht="13" hidden="1">
      <c r="A400" s="15">
        <v>45221.859613981476</v>
      </c>
      <c r="B400" s="16">
        <v>45217</v>
      </c>
      <c r="C400" s="2" t="s">
        <v>252</v>
      </c>
      <c r="D400" s="2" t="s">
        <v>39</v>
      </c>
      <c r="E400" s="2">
        <v>9200</v>
      </c>
      <c r="F400" s="2" t="s">
        <v>102</v>
      </c>
      <c r="G400" s="2" t="s">
        <v>328</v>
      </c>
      <c r="H400" s="2" t="s">
        <v>35</v>
      </c>
    </row>
    <row r="401" spans="1:8" ht="13" hidden="1">
      <c r="A401" s="15">
        <v>45221.859906331018</v>
      </c>
      <c r="B401" s="16">
        <v>45217</v>
      </c>
      <c r="C401" s="2" t="s">
        <v>226</v>
      </c>
      <c r="E401" s="2">
        <v>4000</v>
      </c>
      <c r="H401" s="2" t="s">
        <v>34</v>
      </c>
    </row>
    <row r="402" spans="1:8" ht="13" hidden="1">
      <c r="A402" s="15">
        <v>45221.865046574079</v>
      </c>
      <c r="B402" s="16">
        <v>45217</v>
      </c>
      <c r="C402" s="2" t="s">
        <v>22</v>
      </c>
      <c r="D402" s="2" t="s">
        <v>39</v>
      </c>
      <c r="E402" s="2">
        <v>2310</v>
      </c>
      <c r="F402" s="2" t="s">
        <v>100</v>
      </c>
      <c r="H402" s="2" t="s">
        <v>35</v>
      </c>
    </row>
    <row r="403" spans="1:8" ht="13" hidden="1">
      <c r="A403" s="15">
        <v>45221.865705763892</v>
      </c>
      <c r="B403" s="16">
        <v>45217</v>
      </c>
      <c r="C403" s="2" t="s">
        <v>240</v>
      </c>
      <c r="D403" s="2" t="s">
        <v>42</v>
      </c>
      <c r="E403" s="2">
        <v>990</v>
      </c>
      <c r="F403" s="2" t="s">
        <v>100</v>
      </c>
      <c r="H403" s="2" t="s">
        <v>35</v>
      </c>
    </row>
    <row r="404" spans="1:8" ht="13" hidden="1">
      <c r="A404" s="15">
        <v>45221.866043692135</v>
      </c>
      <c r="B404" s="16">
        <v>45217</v>
      </c>
      <c r="C404" s="2" t="s">
        <v>176</v>
      </c>
      <c r="D404" s="2" t="s">
        <v>41</v>
      </c>
      <c r="E404" s="2">
        <v>3148</v>
      </c>
      <c r="F404" s="2" t="s">
        <v>100</v>
      </c>
      <c r="H404" s="2" t="s">
        <v>35</v>
      </c>
    </row>
    <row r="405" spans="1:8" ht="13" hidden="1">
      <c r="A405" s="15">
        <v>45221.860175740745</v>
      </c>
      <c r="B405" s="16">
        <v>45218</v>
      </c>
      <c r="C405" s="2" t="s">
        <v>106</v>
      </c>
      <c r="D405" s="2" t="s">
        <v>38</v>
      </c>
      <c r="E405" s="2">
        <v>880</v>
      </c>
      <c r="F405" s="2" t="s">
        <v>102</v>
      </c>
      <c r="G405" s="2" t="s">
        <v>194</v>
      </c>
      <c r="H405" s="2" t="s">
        <v>35</v>
      </c>
    </row>
    <row r="406" spans="1:8" ht="13" hidden="1">
      <c r="A406" s="15">
        <v>45221.860490833336</v>
      </c>
      <c r="B406" s="16">
        <v>45218</v>
      </c>
      <c r="C406" s="2" t="s">
        <v>112</v>
      </c>
      <c r="D406" s="2" t="s">
        <v>38</v>
      </c>
      <c r="E406" s="2">
        <v>110</v>
      </c>
      <c r="F406" s="2" t="s">
        <v>102</v>
      </c>
      <c r="G406" s="2" t="s">
        <v>103</v>
      </c>
      <c r="H406" s="2" t="s">
        <v>35</v>
      </c>
    </row>
    <row r="407" spans="1:8" ht="13" hidden="1">
      <c r="A407" s="15">
        <v>45221.860791747684</v>
      </c>
      <c r="B407" s="16">
        <v>45218</v>
      </c>
      <c r="C407" s="2" t="s">
        <v>116</v>
      </c>
      <c r="D407" s="2" t="s">
        <v>38</v>
      </c>
      <c r="E407" s="2">
        <v>643</v>
      </c>
      <c r="F407" s="2" t="s">
        <v>102</v>
      </c>
      <c r="G407" s="2" t="s">
        <v>145</v>
      </c>
      <c r="H407" s="2" t="s">
        <v>35</v>
      </c>
    </row>
    <row r="408" spans="1:8" ht="13" hidden="1">
      <c r="A408" s="15">
        <v>45221.861141782407</v>
      </c>
      <c r="B408" s="16">
        <v>45219</v>
      </c>
      <c r="C408" s="2" t="s">
        <v>106</v>
      </c>
      <c r="D408" s="2" t="s">
        <v>38</v>
      </c>
      <c r="E408" s="2">
        <v>1800</v>
      </c>
      <c r="F408" s="2" t="s">
        <v>102</v>
      </c>
      <c r="G408" s="2" t="s">
        <v>329</v>
      </c>
      <c r="H408" s="2" t="s">
        <v>35</v>
      </c>
    </row>
    <row r="409" spans="1:8" ht="13" hidden="1">
      <c r="A409" s="15">
        <v>45221.861417372682</v>
      </c>
      <c r="B409" s="16">
        <v>45219</v>
      </c>
      <c r="C409" s="2" t="s">
        <v>112</v>
      </c>
      <c r="D409" s="2" t="s">
        <v>38</v>
      </c>
      <c r="E409" s="2">
        <v>110</v>
      </c>
      <c r="F409" s="2" t="s">
        <v>102</v>
      </c>
      <c r="G409" s="2" t="s">
        <v>103</v>
      </c>
      <c r="H409" s="2" t="s">
        <v>35</v>
      </c>
    </row>
    <row r="410" spans="1:8" ht="13" hidden="1">
      <c r="A410" s="15">
        <v>45208.931017557872</v>
      </c>
      <c r="B410" s="16">
        <v>45219</v>
      </c>
      <c r="C410" s="2" t="s">
        <v>330</v>
      </c>
      <c r="D410" s="2" t="s">
        <v>47</v>
      </c>
      <c r="E410" s="2">
        <v>30000</v>
      </c>
      <c r="F410" s="2" t="s">
        <v>102</v>
      </c>
      <c r="H410" s="2" t="s">
        <v>35</v>
      </c>
    </row>
    <row r="411" spans="1:8" ht="13" hidden="1">
      <c r="A411" s="15">
        <v>45221.866508391206</v>
      </c>
      <c r="B411" s="16">
        <v>45219</v>
      </c>
      <c r="C411" s="2" t="s">
        <v>24</v>
      </c>
      <c r="D411" s="2" t="s">
        <v>49</v>
      </c>
      <c r="E411" s="2">
        <v>1100</v>
      </c>
      <c r="F411" s="2" t="s">
        <v>100</v>
      </c>
      <c r="H411" s="2" t="s">
        <v>35</v>
      </c>
    </row>
    <row r="412" spans="1:8" ht="13" hidden="1">
      <c r="A412" s="15">
        <v>45221.86169612268</v>
      </c>
      <c r="B412" s="16">
        <v>45220</v>
      </c>
      <c r="C412" s="2" t="s">
        <v>331</v>
      </c>
      <c r="D412" s="2" t="s">
        <v>39</v>
      </c>
      <c r="E412" s="2">
        <v>2193</v>
      </c>
      <c r="F412" s="2" t="s">
        <v>102</v>
      </c>
      <c r="G412" s="2" t="s">
        <v>332</v>
      </c>
      <c r="H412" s="2" t="s">
        <v>35</v>
      </c>
    </row>
    <row r="413" spans="1:8" ht="13" hidden="1">
      <c r="A413" s="15">
        <v>45221.862022905094</v>
      </c>
      <c r="B413" s="16">
        <v>45220</v>
      </c>
      <c r="C413" s="2" t="s">
        <v>333</v>
      </c>
      <c r="D413" s="2" t="s">
        <v>38</v>
      </c>
      <c r="E413" s="2">
        <v>505</v>
      </c>
      <c r="F413" s="2" t="s">
        <v>102</v>
      </c>
      <c r="G413" s="2" t="s">
        <v>103</v>
      </c>
      <c r="H413" s="2" t="s">
        <v>35</v>
      </c>
    </row>
    <row r="414" spans="1:8" ht="13" hidden="1">
      <c r="A414" s="15">
        <v>45228.752181446762</v>
      </c>
      <c r="B414" s="16">
        <v>45220</v>
      </c>
      <c r="C414" s="2" t="s">
        <v>303</v>
      </c>
      <c r="D414" s="2" t="s">
        <v>39</v>
      </c>
      <c r="E414" s="2">
        <v>2000</v>
      </c>
      <c r="F414" s="2" t="s">
        <v>100</v>
      </c>
      <c r="H414" s="2" t="s">
        <v>35</v>
      </c>
    </row>
    <row r="415" spans="1:8" ht="13" hidden="1">
      <c r="A415" s="15">
        <v>45228.752526331024</v>
      </c>
      <c r="B415" s="16">
        <v>45220</v>
      </c>
      <c r="C415" s="2" t="s">
        <v>240</v>
      </c>
      <c r="D415" s="2" t="s">
        <v>42</v>
      </c>
      <c r="E415" s="2">
        <v>330</v>
      </c>
      <c r="F415" s="2" t="s">
        <v>100</v>
      </c>
      <c r="H415" s="2" t="s">
        <v>35</v>
      </c>
    </row>
    <row r="416" spans="1:8" ht="13" hidden="1">
      <c r="A416" s="15">
        <v>45224.418462893518</v>
      </c>
      <c r="B416" s="16">
        <v>45224</v>
      </c>
      <c r="C416" s="2" t="s">
        <v>334</v>
      </c>
      <c r="E416" s="2">
        <v>288710</v>
      </c>
      <c r="H416" s="2" t="s">
        <v>34</v>
      </c>
    </row>
    <row r="417" spans="1:8" ht="13" hidden="1">
      <c r="A417" s="15">
        <v>45221.86234871528</v>
      </c>
      <c r="B417" s="16">
        <v>45221</v>
      </c>
      <c r="C417" s="2" t="s">
        <v>163</v>
      </c>
      <c r="D417" s="2" t="s">
        <v>38</v>
      </c>
      <c r="E417" s="2">
        <v>1940</v>
      </c>
      <c r="F417" s="2" t="s">
        <v>102</v>
      </c>
      <c r="G417" s="2" t="s">
        <v>164</v>
      </c>
      <c r="H417" s="2" t="s">
        <v>35</v>
      </c>
    </row>
    <row r="418" spans="1:8" ht="13" hidden="1">
      <c r="A418" s="15">
        <v>45221.862682314815</v>
      </c>
      <c r="B418" s="16">
        <v>45221</v>
      </c>
      <c r="C418" s="2" t="s">
        <v>116</v>
      </c>
      <c r="D418" s="2" t="s">
        <v>38</v>
      </c>
      <c r="E418" s="2">
        <v>1288</v>
      </c>
      <c r="F418" s="2" t="s">
        <v>102</v>
      </c>
      <c r="G418" s="2" t="s">
        <v>145</v>
      </c>
      <c r="H418" s="2" t="s">
        <v>35</v>
      </c>
    </row>
    <row r="419" spans="1:8" ht="13" hidden="1">
      <c r="A419" s="15">
        <v>45228.746497546294</v>
      </c>
      <c r="B419" s="16">
        <v>45222</v>
      </c>
      <c r="C419" s="2" t="s">
        <v>112</v>
      </c>
      <c r="D419" s="2" t="s">
        <v>38</v>
      </c>
      <c r="E419" s="2">
        <v>110</v>
      </c>
      <c r="F419" s="2" t="s">
        <v>102</v>
      </c>
      <c r="G419" s="2" t="s">
        <v>103</v>
      </c>
      <c r="H419" s="2" t="s">
        <v>35</v>
      </c>
    </row>
    <row r="420" spans="1:8" ht="13" hidden="1">
      <c r="A420" s="15">
        <v>45228.746804097224</v>
      </c>
      <c r="B420" s="16">
        <v>45222</v>
      </c>
      <c r="C420" s="2" t="s">
        <v>116</v>
      </c>
      <c r="D420" s="2" t="s">
        <v>38</v>
      </c>
      <c r="E420" s="2">
        <v>503</v>
      </c>
      <c r="F420" s="2" t="s">
        <v>102</v>
      </c>
      <c r="G420" s="2" t="s">
        <v>145</v>
      </c>
      <c r="H420" s="2" t="s">
        <v>35</v>
      </c>
    </row>
    <row r="421" spans="1:8" ht="13" hidden="1">
      <c r="A421" s="15">
        <v>45228.747095879633</v>
      </c>
      <c r="B421" s="16">
        <v>45223</v>
      </c>
      <c r="C421" s="2" t="s">
        <v>335</v>
      </c>
      <c r="D421" s="2" t="s">
        <v>38</v>
      </c>
      <c r="E421" s="2">
        <v>1000</v>
      </c>
      <c r="F421" s="2" t="s">
        <v>102</v>
      </c>
      <c r="H421" s="2" t="s">
        <v>35</v>
      </c>
    </row>
    <row r="422" spans="1:8" ht="13" hidden="1">
      <c r="A422" s="15">
        <v>45228.747399780092</v>
      </c>
      <c r="B422" s="16">
        <v>45223</v>
      </c>
      <c r="C422" s="2" t="s">
        <v>112</v>
      </c>
      <c r="D422" s="2" t="s">
        <v>38</v>
      </c>
      <c r="E422" s="2">
        <v>110</v>
      </c>
      <c r="F422" s="2" t="s">
        <v>102</v>
      </c>
      <c r="G422" s="2" t="s">
        <v>103</v>
      </c>
      <c r="H422" s="2" t="s">
        <v>35</v>
      </c>
    </row>
    <row r="423" spans="1:8" ht="13" hidden="1">
      <c r="A423" s="15">
        <v>45228.753064664357</v>
      </c>
      <c r="B423" s="16">
        <v>45223</v>
      </c>
      <c r="C423" s="2" t="s">
        <v>336</v>
      </c>
      <c r="D423" s="2" t="s">
        <v>40</v>
      </c>
      <c r="E423" s="2">
        <v>24270</v>
      </c>
      <c r="F423" s="2" t="s">
        <v>100</v>
      </c>
      <c r="H423" s="2" t="s">
        <v>35</v>
      </c>
    </row>
    <row r="424" spans="1:8" ht="13" hidden="1">
      <c r="A424" s="15">
        <v>45228.753369270838</v>
      </c>
      <c r="B424" s="16">
        <v>45223</v>
      </c>
      <c r="C424" s="2" t="s">
        <v>240</v>
      </c>
      <c r="D424" s="2" t="s">
        <v>42</v>
      </c>
      <c r="E424" s="2">
        <v>330</v>
      </c>
      <c r="F424" s="2" t="s">
        <v>100</v>
      </c>
      <c r="H424" s="2" t="s">
        <v>35</v>
      </c>
    </row>
    <row r="425" spans="1:8" ht="13" hidden="1">
      <c r="A425" s="15">
        <v>45228.747740486113</v>
      </c>
      <c r="B425" s="16">
        <v>45224</v>
      </c>
      <c r="C425" s="2" t="s">
        <v>112</v>
      </c>
      <c r="D425" s="2" t="s">
        <v>38</v>
      </c>
      <c r="E425" s="2">
        <v>110</v>
      </c>
      <c r="F425" s="2" t="s">
        <v>102</v>
      </c>
      <c r="G425" s="2" t="s">
        <v>103</v>
      </c>
      <c r="H425" s="2" t="s">
        <v>35</v>
      </c>
    </row>
    <row r="426" spans="1:8" ht="13" hidden="1">
      <c r="A426" s="15">
        <v>45233.7662905787</v>
      </c>
      <c r="B426" s="16">
        <v>45224</v>
      </c>
      <c r="C426" s="2" t="s">
        <v>337</v>
      </c>
      <c r="D426" s="2" t="s">
        <v>40</v>
      </c>
      <c r="E426" s="2">
        <v>27170</v>
      </c>
      <c r="F426" s="2" t="s">
        <v>100</v>
      </c>
      <c r="G426" s="2" t="s">
        <v>338</v>
      </c>
      <c r="H426" s="2" t="s">
        <v>35</v>
      </c>
    </row>
    <row r="427" spans="1:8" ht="13" hidden="1">
      <c r="A427" s="15">
        <v>45233.766666249998</v>
      </c>
      <c r="B427" s="16">
        <v>45224</v>
      </c>
      <c r="C427" s="2" t="s">
        <v>105</v>
      </c>
      <c r="D427" s="2" t="s">
        <v>40</v>
      </c>
      <c r="E427" s="2">
        <v>2660</v>
      </c>
      <c r="F427" s="2" t="s">
        <v>100</v>
      </c>
      <c r="H427" s="2" t="s">
        <v>35</v>
      </c>
    </row>
    <row r="428" spans="1:8" ht="13" hidden="1">
      <c r="A428" s="15">
        <v>45228.748003657412</v>
      </c>
      <c r="B428" s="16">
        <v>45225</v>
      </c>
      <c r="C428" s="2" t="s">
        <v>339</v>
      </c>
      <c r="D428" s="2" t="s">
        <v>38</v>
      </c>
      <c r="E428" s="2">
        <v>1200</v>
      </c>
      <c r="F428" s="2" t="s">
        <v>102</v>
      </c>
      <c r="H428" s="2" t="s">
        <v>35</v>
      </c>
    </row>
    <row r="429" spans="1:8" ht="13" hidden="1">
      <c r="A429" s="15">
        <v>45228.748276863422</v>
      </c>
      <c r="B429" s="16">
        <v>45225</v>
      </c>
      <c r="C429" s="2" t="s">
        <v>245</v>
      </c>
      <c r="D429" s="2" t="s">
        <v>38</v>
      </c>
      <c r="E429" s="2">
        <v>190</v>
      </c>
      <c r="F429" s="2" t="s">
        <v>102</v>
      </c>
      <c r="G429" s="2" t="s">
        <v>103</v>
      </c>
      <c r="H429" s="2" t="s">
        <v>35</v>
      </c>
    </row>
    <row r="430" spans="1:8" ht="13" hidden="1">
      <c r="A430" s="15">
        <v>45228.748584050925</v>
      </c>
      <c r="B430" s="16">
        <v>45225</v>
      </c>
      <c r="C430" s="2" t="s">
        <v>116</v>
      </c>
      <c r="D430" s="2" t="s">
        <v>38</v>
      </c>
      <c r="E430" s="2">
        <v>1339</v>
      </c>
      <c r="F430" s="2" t="s">
        <v>102</v>
      </c>
      <c r="G430" s="2" t="s">
        <v>145</v>
      </c>
      <c r="H430" s="2" t="s">
        <v>35</v>
      </c>
    </row>
    <row r="431" spans="1:8" ht="13" hidden="1">
      <c r="A431" s="15">
        <v>45233.767007256945</v>
      </c>
      <c r="B431" s="16">
        <v>45225</v>
      </c>
      <c r="C431" s="2" t="s">
        <v>105</v>
      </c>
      <c r="D431" s="2" t="s">
        <v>40</v>
      </c>
      <c r="E431" s="2">
        <v>3400</v>
      </c>
      <c r="F431" s="2" t="s">
        <v>100</v>
      </c>
      <c r="H431" s="2" t="s">
        <v>35</v>
      </c>
    </row>
    <row r="432" spans="1:8" ht="13" hidden="1">
      <c r="A432" s="15">
        <v>45158.65140456018</v>
      </c>
      <c r="B432" s="16">
        <v>45226</v>
      </c>
      <c r="C432" s="2" t="s">
        <v>340</v>
      </c>
      <c r="D432" s="2" t="s">
        <v>5</v>
      </c>
      <c r="E432" s="2">
        <v>93000</v>
      </c>
      <c r="F432" s="2" t="s">
        <v>102</v>
      </c>
      <c r="H432" s="2" t="s">
        <v>35</v>
      </c>
    </row>
    <row r="433" spans="1:8" ht="13" hidden="1">
      <c r="A433" s="15">
        <v>45158.656513784721</v>
      </c>
      <c r="B433" s="16">
        <v>45226</v>
      </c>
      <c r="C433" s="2" t="s">
        <v>17</v>
      </c>
      <c r="D433" s="2" t="s">
        <v>45</v>
      </c>
      <c r="E433" s="2">
        <v>8470</v>
      </c>
      <c r="F433" s="2" t="s">
        <v>102</v>
      </c>
      <c r="H433" s="2" t="s">
        <v>35</v>
      </c>
    </row>
    <row r="434" spans="1:8" ht="13" hidden="1">
      <c r="A434" s="15">
        <v>45158.654283113428</v>
      </c>
      <c r="B434" s="16">
        <v>45226</v>
      </c>
      <c r="C434" s="2" t="s">
        <v>239</v>
      </c>
      <c r="D434" s="2" t="s">
        <v>47</v>
      </c>
      <c r="E434" s="2">
        <v>16000</v>
      </c>
      <c r="F434" s="2" t="s">
        <v>102</v>
      </c>
      <c r="H434" s="2" t="s">
        <v>35</v>
      </c>
    </row>
    <row r="435" spans="1:8" ht="13" hidden="1">
      <c r="A435" s="15">
        <v>45158.653550590279</v>
      </c>
      <c r="B435" s="16">
        <v>45226</v>
      </c>
      <c r="C435" s="2" t="s">
        <v>146</v>
      </c>
      <c r="D435" s="2" t="s">
        <v>47</v>
      </c>
      <c r="E435" s="2">
        <v>3400</v>
      </c>
      <c r="F435" s="2" t="s">
        <v>102</v>
      </c>
      <c r="H435" s="2" t="s">
        <v>35</v>
      </c>
    </row>
    <row r="436" spans="1:8" ht="13" hidden="1">
      <c r="A436" s="15">
        <v>45158.65319863426</v>
      </c>
      <c r="B436" s="16">
        <v>45226</v>
      </c>
      <c r="C436" s="2" t="s">
        <v>9</v>
      </c>
      <c r="D436" s="2" t="s">
        <v>47</v>
      </c>
      <c r="E436" s="2">
        <v>13600</v>
      </c>
      <c r="F436" s="2" t="s">
        <v>102</v>
      </c>
      <c r="H436" s="2" t="s">
        <v>35</v>
      </c>
    </row>
    <row r="437" spans="1:8" ht="13" hidden="1">
      <c r="A437" s="15">
        <v>45228.748945625004</v>
      </c>
      <c r="B437" s="16">
        <v>45226</v>
      </c>
      <c r="C437" s="2" t="s">
        <v>106</v>
      </c>
      <c r="D437" s="2" t="s">
        <v>38</v>
      </c>
      <c r="E437" s="2">
        <v>980</v>
      </c>
      <c r="F437" s="2" t="s">
        <v>102</v>
      </c>
      <c r="G437" s="2" t="s">
        <v>194</v>
      </c>
      <c r="H437" s="2" t="s">
        <v>35</v>
      </c>
    </row>
    <row r="438" spans="1:8" ht="13" hidden="1">
      <c r="A438" s="15">
        <v>45233.767375254625</v>
      </c>
      <c r="B438" s="16">
        <v>45226</v>
      </c>
      <c r="C438" s="2" t="s">
        <v>240</v>
      </c>
      <c r="D438" s="2" t="s">
        <v>42</v>
      </c>
      <c r="E438" s="2">
        <v>990</v>
      </c>
      <c r="F438" s="2" t="s">
        <v>100</v>
      </c>
      <c r="H438" s="2" t="s">
        <v>35</v>
      </c>
    </row>
    <row r="439" spans="1:8" ht="13" hidden="1">
      <c r="A439" s="15">
        <v>45228.74930729167</v>
      </c>
      <c r="B439" s="16">
        <v>45227</v>
      </c>
      <c r="C439" s="2" t="s">
        <v>341</v>
      </c>
      <c r="D439" s="2" t="s">
        <v>38</v>
      </c>
      <c r="E439" s="2">
        <v>3286</v>
      </c>
      <c r="F439" s="2" t="s">
        <v>102</v>
      </c>
      <c r="G439" s="2" t="s">
        <v>145</v>
      </c>
      <c r="H439" s="2" t="s">
        <v>35</v>
      </c>
    </row>
    <row r="440" spans="1:8" ht="13" hidden="1">
      <c r="A440" s="15">
        <v>45228.749611874999</v>
      </c>
      <c r="B440" s="16">
        <v>45228</v>
      </c>
      <c r="C440" s="2" t="s">
        <v>45</v>
      </c>
      <c r="D440" s="2" t="s">
        <v>45</v>
      </c>
      <c r="E440" s="2">
        <v>330</v>
      </c>
      <c r="F440" s="2" t="s">
        <v>102</v>
      </c>
      <c r="G440" s="2" t="s">
        <v>136</v>
      </c>
      <c r="H440" s="2" t="s">
        <v>35</v>
      </c>
    </row>
    <row r="441" spans="1:8" ht="13" hidden="1">
      <c r="A441" s="15">
        <v>45228.749917893518</v>
      </c>
      <c r="B441" s="16">
        <v>45228</v>
      </c>
      <c r="C441" s="2" t="s">
        <v>116</v>
      </c>
      <c r="D441" s="2" t="s">
        <v>38</v>
      </c>
      <c r="E441" s="2">
        <v>1151</v>
      </c>
      <c r="F441" s="2" t="s">
        <v>102</v>
      </c>
      <c r="G441" s="2" t="s">
        <v>145</v>
      </c>
      <c r="H441" s="2" t="s">
        <v>35</v>
      </c>
    </row>
    <row r="442" spans="1:8" ht="13" hidden="1">
      <c r="A442" s="15">
        <v>45228.750284212962</v>
      </c>
      <c r="B442" s="16">
        <v>45228</v>
      </c>
      <c r="C442" s="2" t="s">
        <v>342</v>
      </c>
      <c r="D442" s="2" t="s">
        <v>43</v>
      </c>
      <c r="E442" s="2">
        <v>1045</v>
      </c>
      <c r="F442" s="2" t="s">
        <v>102</v>
      </c>
      <c r="G442" s="2" t="s">
        <v>343</v>
      </c>
      <c r="H442" s="2" t="s">
        <v>35</v>
      </c>
    </row>
    <row r="443" spans="1:8" ht="13" hidden="1">
      <c r="A443" s="15">
        <v>45233.760829976847</v>
      </c>
      <c r="B443" s="16">
        <v>45229</v>
      </c>
      <c r="C443" s="2" t="s">
        <v>190</v>
      </c>
      <c r="D443" s="2" t="s">
        <v>38</v>
      </c>
      <c r="E443" s="2">
        <v>1050</v>
      </c>
      <c r="F443" s="2" t="s">
        <v>102</v>
      </c>
      <c r="G443" s="2" t="s">
        <v>191</v>
      </c>
      <c r="H443" s="2" t="s">
        <v>35</v>
      </c>
    </row>
    <row r="444" spans="1:8" ht="13" hidden="1">
      <c r="A444" s="15">
        <v>45233.761246875001</v>
      </c>
      <c r="B444" s="16">
        <v>45229</v>
      </c>
      <c r="C444" s="2" t="s">
        <v>112</v>
      </c>
      <c r="D444" s="2" t="s">
        <v>38</v>
      </c>
      <c r="E444" s="2">
        <v>110</v>
      </c>
      <c r="F444" s="2" t="s">
        <v>102</v>
      </c>
      <c r="G444" s="2" t="s">
        <v>103</v>
      </c>
      <c r="H444" s="2" t="s">
        <v>35</v>
      </c>
    </row>
    <row r="445" spans="1:8" ht="13" hidden="1">
      <c r="A445" s="15">
        <v>45233.761710335646</v>
      </c>
      <c r="B445" s="16">
        <v>45230</v>
      </c>
      <c r="C445" s="2" t="s">
        <v>344</v>
      </c>
      <c r="D445" s="2" t="s">
        <v>45</v>
      </c>
      <c r="E445" s="2">
        <v>220</v>
      </c>
      <c r="F445" s="2" t="s">
        <v>102</v>
      </c>
      <c r="G445" s="2" t="s">
        <v>169</v>
      </c>
      <c r="H445" s="2" t="s">
        <v>35</v>
      </c>
    </row>
    <row r="446" spans="1:8" ht="13" hidden="1">
      <c r="A446" s="15">
        <v>45233.762099745371</v>
      </c>
      <c r="B446" s="16">
        <v>45230</v>
      </c>
      <c r="C446" s="2" t="s">
        <v>241</v>
      </c>
      <c r="D446" s="2" t="s">
        <v>38</v>
      </c>
      <c r="E446" s="2">
        <v>450</v>
      </c>
      <c r="F446" s="2" t="s">
        <v>102</v>
      </c>
      <c r="G446" s="2" t="s">
        <v>103</v>
      </c>
      <c r="H446" s="2" t="s">
        <v>35</v>
      </c>
    </row>
    <row r="447" spans="1:8" ht="13" hidden="1">
      <c r="A447" s="15">
        <v>45233.762469525464</v>
      </c>
      <c r="B447" s="16">
        <v>45230</v>
      </c>
      <c r="C447" s="2" t="s">
        <v>345</v>
      </c>
      <c r="D447" s="2" t="s">
        <v>38</v>
      </c>
      <c r="E447" s="2">
        <v>255</v>
      </c>
      <c r="F447" s="2" t="s">
        <v>102</v>
      </c>
      <c r="G447" s="2">
        <v>255</v>
      </c>
      <c r="H447" s="2" t="s">
        <v>35</v>
      </c>
    </row>
    <row r="448" spans="1:8" ht="13" hidden="1">
      <c r="A448" s="15">
        <v>45233.762852025466</v>
      </c>
      <c r="B448" s="16">
        <v>45230</v>
      </c>
      <c r="C448" s="2" t="s">
        <v>116</v>
      </c>
      <c r="D448" s="2" t="s">
        <v>38</v>
      </c>
      <c r="E448" s="2">
        <v>895</v>
      </c>
      <c r="F448" s="2" t="s">
        <v>102</v>
      </c>
      <c r="G448" s="2" t="s">
        <v>145</v>
      </c>
      <c r="H448" s="2" t="s">
        <v>35</v>
      </c>
    </row>
    <row r="449" spans="1:8" ht="13" hidden="1">
      <c r="A449" s="15">
        <v>45233.763095034723</v>
      </c>
      <c r="B449" s="16">
        <v>45231</v>
      </c>
      <c r="C449" s="2" t="s">
        <v>106</v>
      </c>
      <c r="D449" s="2" t="s">
        <v>38</v>
      </c>
      <c r="E449" s="2">
        <v>850</v>
      </c>
      <c r="F449" s="2" t="s">
        <v>102</v>
      </c>
      <c r="G449" s="2" t="s">
        <v>322</v>
      </c>
      <c r="H449" s="2" t="s">
        <v>35</v>
      </c>
    </row>
    <row r="450" spans="1:8" ht="13" hidden="1">
      <c r="A450" s="15">
        <v>45233.763363854167</v>
      </c>
      <c r="B450" s="16">
        <v>45231</v>
      </c>
      <c r="C450" s="2" t="s">
        <v>112</v>
      </c>
      <c r="D450" s="2" t="s">
        <v>38</v>
      </c>
      <c r="E450" s="2">
        <v>110</v>
      </c>
      <c r="F450" s="2" t="s">
        <v>102</v>
      </c>
      <c r="G450" s="2" t="s">
        <v>103</v>
      </c>
      <c r="H450" s="2" t="s">
        <v>35</v>
      </c>
    </row>
    <row r="451" spans="1:8" ht="13" hidden="1">
      <c r="A451" s="15">
        <v>45233.763854178236</v>
      </c>
      <c r="B451" s="16">
        <v>45231</v>
      </c>
      <c r="C451" s="2" t="s">
        <v>116</v>
      </c>
      <c r="D451" s="2" t="s">
        <v>38</v>
      </c>
      <c r="E451" s="2">
        <v>416</v>
      </c>
      <c r="F451" s="2" t="s">
        <v>102</v>
      </c>
      <c r="G451" s="2" t="s">
        <v>103</v>
      </c>
      <c r="H451" s="2" t="s">
        <v>35</v>
      </c>
    </row>
    <row r="452" spans="1:8" ht="13" hidden="1">
      <c r="A452" s="15">
        <v>45233.764165300927</v>
      </c>
      <c r="B452" s="16">
        <v>45232</v>
      </c>
      <c r="C452" s="2" t="s">
        <v>241</v>
      </c>
      <c r="D452" s="2" t="s">
        <v>38</v>
      </c>
      <c r="E452" s="2">
        <v>318</v>
      </c>
      <c r="F452" s="2" t="s">
        <v>102</v>
      </c>
      <c r="G452" s="2" t="s">
        <v>103</v>
      </c>
      <c r="H452" s="2" t="s">
        <v>35</v>
      </c>
    </row>
    <row r="453" spans="1:8" ht="13" hidden="1">
      <c r="A453" s="15">
        <v>45233.764462638894</v>
      </c>
      <c r="B453" s="16">
        <v>45233</v>
      </c>
      <c r="C453" s="2" t="s">
        <v>116</v>
      </c>
      <c r="D453" s="2" t="s">
        <v>38</v>
      </c>
      <c r="E453" s="2">
        <v>1401</v>
      </c>
      <c r="F453" s="2" t="s">
        <v>102</v>
      </c>
      <c r="G453" s="2" t="s">
        <v>145</v>
      </c>
      <c r="H453" s="2" t="s">
        <v>35</v>
      </c>
    </row>
    <row r="454" spans="1:8" ht="13" hidden="1">
      <c r="A454" s="15">
        <v>45235.728228506945</v>
      </c>
      <c r="B454" s="16">
        <v>45234</v>
      </c>
      <c r="C454" s="2" t="s">
        <v>236</v>
      </c>
      <c r="D454" s="2" t="s">
        <v>43</v>
      </c>
      <c r="E454" s="2">
        <v>327</v>
      </c>
      <c r="F454" s="2" t="s">
        <v>102</v>
      </c>
      <c r="G454" s="2" t="s">
        <v>346</v>
      </c>
      <c r="H454" s="2" t="s">
        <v>35</v>
      </c>
    </row>
    <row r="455" spans="1:8" ht="13" hidden="1">
      <c r="A455" s="15">
        <v>45235.728610474536</v>
      </c>
      <c r="B455" s="16">
        <v>45234</v>
      </c>
      <c r="C455" s="2" t="s">
        <v>163</v>
      </c>
      <c r="D455" s="2" t="s">
        <v>38</v>
      </c>
      <c r="E455" s="2">
        <v>1680</v>
      </c>
      <c r="F455" s="2" t="s">
        <v>102</v>
      </c>
      <c r="G455" s="2" t="s">
        <v>164</v>
      </c>
      <c r="H455" s="2" t="s">
        <v>35</v>
      </c>
    </row>
    <row r="456" spans="1:8" ht="13" hidden="1">
      <c r="A456" s="15">
        <v>45235.728944618051</v>
      </c>
      <c r="B456" s="16">
        <v>45234</v>
      </c>
      <c r="C456" s="2" t="s">
        <v>116</v>
      </c>
      <c r="D456" s="2" t="s">
        <v>38</v>
      </c>
      <c r="E456" s="2">
        <v>935</v>
      </c>
      <c r="F456" s="2" t="s">
        <v>102</v>
      </c>
      <c r="G456" s="2" t="s">
        <v>145</v>
      </c>
      <c r="H456" s="2" t="s">
        <v>35</v>
      </c>
    </row>
    <row r="457" spans="1:8" ht="13" hidden="1">
      <c r="A457" s="15">
        <v>45241.754305729162</v>
      </c>
      <c r="B457" s="16">
        <v>45234</v>
      </c>
      <c r="C457" s="2" t="s">
        <v>277</v>
      </c>
      <c r="D457" s="2" t="s">
        <v>46</v>
      </c>
      <c r="E457" s="2">
        <v>3520</v>
      </c>
      <c r="F457" s="2" t="s">
        <v>100</v>
      </c>
      <c r="G457" s="2" t="s">
        <v>129</v>
      </c>
      <c r="H457" s="2" t="s">
        <v>35</v>
      </c>
    </row>
    <row r="458" spans="1:8" ht="13" hidden="1">
      <c r="A458" s="15">
        <v>45235.729399618052</v>
      </c>
      <c r="B458" s="16">
        <v>45235</v>
      </c>
      <c r="C458" s="2" t="s">
        <v>347</v>
      </c>
      <c r="D458" s="2" t="s">
        <v>39</v>
      </c>
      <c r="E458" s="2">
        <v>1740</v>
      </c>
      <c r="F458" s="2" t="s">
        <v>102</v>
      </c>
      <c r="G458" s="2" t="s">
        <v>348</v>
      </c>
      <c r="H458" s="2" t="s">
        <v>35</v>
      </c>
    </row>
    <row r="459" spans="1:8" ht="13" hidden="1">
      <c r="A459" s="15">
        <v>45235.729941990736</v>
      </c>
      <c r="B459" s="16">
        <v>45235</v>
      </c>
      <c r="C459" s="2" t="s">
        <v>245</v>
      </c>
      <c r="D459" s="2" t="s">
        <v>39</v>
      </c>
      <c r="E459" s="2">
        <v>490</v>
      </c>
      <c r="F459" s="2" t="s">
        <v>102</v>
      </c>
      <c r="G459" s="2" t="s">
        <v>349</v>
      </c>
      <c r="H459" s="2" t="s">
        <v>35</v>
      </c>
    </row>
    <row r="460" spans="1:8" ht="13" hidden="1">
      <c r="A460" s="15">
        <v>45235.730267916668</v>
      </c>
      <c r="B460" s="16">
        <v>45235</v>
      </c>
      <c r="C460" s="2" t="s">
        <v>116</v>
      </c>
      <c r="D460" s="2" t="s">
        <v>38</v>
      </c>
      <c r="E460" s="2">
        <v>764</v>
      </c>
      <c r="F460" s="2" t="s">
        <v>102</v>
      </c>
      <c r="G460" s="2" t="s">
        <v>145</v>
      </c>
      <c r="H460" s="2" t="s">
        <v>35</v>
      </c>
    </row>
    <row r="461" spans="1:8" ht="13" hidden="1">
      <c r="A461" s="15">
        <v>45241.754667581015</v>
      </c>
      <c r="B461" s="16">
        <v>45235</v>
      </c>
      <c r="C461" s="2" t="s">
        <v>308</v>
      </c>
      <c r="D461" s="2" t="s">
        <v>40</v>
      </c>
      <c r="E461" s="2">
        <v>12130</v>
      </c>
      <c r="F461" s="2" t="s">
        <v>100</v>
      </c>
      <c r="H461" s="2" t="s">
        <v>35</v>
      </c>
    </row>
    <row r="462" spans="1:8" ht="13" hidden="1">
      <c r="A462" s="15">
        <v>45241.754931678239</v>
      </c>
      <c r="B462" s="16">
        <v>45235</v>
      </c>
      <c r="C462" s="2" t="s">
        <v>240</v>
      </c>
      <c r="D462" s="2" t="s">
        <v>42</v>
      </c>
      <c r="E462" s="2">
        <v>330</v>
      </c>
      <c r="F462" s="2" t="s">
        <v>100</v>
      </c>
      <c r="H462" s="2" t="s">
        <v>35</v>
      </c>
    </row>
    <row r="463" spans="1:8" ht="13" hidden="1">
      <c r="A463" s="15">
        <v>45241.755247569439</v>
      </c>
      <c r="B463" s="16">
        <v>45235</v>
      </c>
      <c r="C463" s="2" t="s">
        <v>350</v>
      </c>
      <c r="D463" s="2" t="s">
        <v>40</v>
      </c>
      <c r="E463" s="2">
        <v>1000</v>
      </c>
      <c r="F463" s="2" t="s">
        <v>100</v>
      </c>
      <c r="H463" s="2" t="s">
        <v>35</v>
      </c>
    </row>
    <row r="464" spans="1:8" ht="13" hidden="1">
      <c r="A464" s="15">
        <v>45241.742995127315</v>
      </c>
      <c r="B464" s="16">
        <v>45236</v>
      </c>
      <c r="C464" s="2" t="s">
        <v>106</v>
      </c>
      <c r="D464" s="2" t="s">
        <v>38</v>
      </c>
      <c r="E464" s="2">
        <v>1100</v>
      </c>
      <c r="F464" s="2" t="s">
        <v>102</v>
      </c>
      <c r="G464" s="2" t="s">
        <v>227</v>
      </c>
      <c r="H464" s="2" t="s">
        <v>35</v>
      </c>
    </row>
    <row r="465" spans="1:8" ht="13" hidden="1">
      <c r="A465" s="15">
        <v>45241.743339837965</v>
      </c>
      <c r="B465" s="16">
        <v>45236</v>
      </c>
      <c r="C465" s="2" t="s">
        <v>112</v>
      </c>
      <c r="D465" s="2" t="s">
        <v>38</v>
      </c>
      <c r="E465" s="2">
        <v>110</v>
      </c>
      <c r="F465" s="2" t="s">
        <v>102</v>
      </c>
      <c r="G465" s="2" t="s">
        <v>103</v>
      </c>
      <c r="H465" s="2" t="s">
        <v>35</v>
      </c>
    </row>
    <row r="466" spans="1:8" ht="13" hidden="1">
      <c r="A466" s="15">
        <v>45241.743608321762</v>
      </c>
      <c r="B466" s="16">
        <v>45237</v>
      </c>
      <c r="C466" s="2" t="s">
        <v>259</v>
      </c>
      <c r="D466" s="2" t="s">
        <v>38</v>
      </c>
      <c r="E466" s="2">
        <v>1100</v>
      </c>
      <c r="F466" s="2" t="s">
        <v>102</v>
      </c>
      <c r="G466" s="2" t="s">
        <v>260</v>
      </c>
      <c r="H466" s="2" t="s">
        <v>35</v>
      </c>
    </row>
    <row r="467" spans="1:8" ht="13" hidden="1">
      <c r="A467" s="15">
        <v>45241.74391686343</v>
      </c>
      <c r="B467" s="16">
        <v>45237</v>
      </c>
      <c r="C467" s="2" t="s">
        <v>112</v>
      </c>
      <c r="D467" s="2" t="s">
        <v>38</v>
      </c>
      <c r="E467" s="2">
        <v>110</v>
      </c>
      <c r="F467" s="2" t="s">
        <v>102</v>
      </c>
      <c r="G467" s="2" t="s">
        <v>103</v>
      </c>
      <c r="H467" s="2" t="s">
        <v>35</v>
      </c>
    </row>
    <row r="468" spans="1:8" ht="13" hidden="1">
      <c r="A468" s="15">
        <v>45241.744202812501</v>
      </c>
      <c r="B468" s="16">
        <v>45237</v>
      </c>
      <c r="C468" s="2" t="s">
        <v>116</v>
      </c>
      <c r="D468" s="2" t="s">
        <v>38</v>
      </c>
      <c r="E468" s="2">
        <v>840</v>
      </c>
      <c r="F468" s="2" t="s">
        <v>102</v>
      </c>
      <c r="G468" s="2" t="s">
        <v>145</v>
      </c>
      <c r="H468" s="2" t="s">
        <v>35</v>
      </c>
    </row>
    <row r="469" spans="1:8" ht="13" hidden="1">
      <c r="A469" s="15">
        <v>45241.748605995366</v>
      </c>
      <c r="B469" s="16">
        <v>45237</v>
      </c>
      <c r="C469" s="2" t="s">
        <v>258</v>
      </c>
      <c r="E469" s="2">
        <v>14640</v>
      </c>
      <c r="H469" s="2" t="s">
        <v>34</v>
      </c>
    </row>
    <row r="470" spans="1:8" ht="13" hidden="1">
      <c r="A470" s="15">
        <v>45241.744633287039</v>
      </c>
      <c r="B470" s="16">
        <v>45238</v>
      </c>
      <c r="C470" s="2" t="s">
        <v>106</v>
      </c>
      <c r="D470" s="2" t="s">
        <v>38</v>
      </c>
      <c r="E470" s="2">
        <v>880</v>
      </c>
      <c r="F470" s="2" t="s">
        <v>102</v>
      </c>
      <c r="G470" s="2" t="s">
        <v>194</v>
      </c>
      <c r="H470" s="2" t="s">
        <v>35</v>
      </c>
    </row>
    <row r="471" spans="1:8" ht="13" hidden="1">
      <c r="A471" s="15">
        <v>45241.745458981481</v>
      </c>
      <c r="B471" s="16">
        <v>45238</v>
      </c>
      <c r="C471" s="2" t="s">
        <v>286</v>
      </c>
      <c r="D471" s="2" t="s">
        <v>38</v>
      </c>
      <c r="E471" s="2">
        <v>255</v>
      </c>
      <c r="F471" s="2" t="s">
        <v>102</v>
      </c>
      <c r="G471" s="2" t="s">
        <v>103</v>
      </c>
      <c r="H471" s="2" t="s">
        <v>35</v>
      </c>
    </row>
    <row r="472" spans="1:8" ht="13" hidden="1">
      <c r="A472" s="15">
        <v>45241.745774062496</v>
      </c>
      <c r="B472" s="16">
        <v>45238</v>
      </c>
      <c r="C472" s="2" t="s">
        <v>116</v>
      </c>
      <c r="D472" s="2" t="s">
        <v>38</v>
      </c>
      <c r="E472" s="2">
        <v>468</v>
      </c>
      <c r="F472" s="2" t="s">
        <v>102</v>
      </c>
      <c r="G472" s="2" t="s">
        <v>145</v>
      </c>
      <c r="H472" s="2" t="s">
        <v>35</v>
      </c>
    </row>
    <row r="473" spans="1:8" ht="13" hidden="1">
      <c r="A473" s="15">
        <v>45241.746196979162</v>
      </c>
      <c r="B473" s="16">
        <v>45239</v>
      </c>
      <c r="C473" s="2" t="s">
        <v>112</v>
      </c>
      <c r="D473" s="2" t="s">
        <v>38</v>
      </c>
      <c r="E473" s="2">
        <v>110</v>
      </c>
      <c r="F473" s="2" t="s">
        <v>102</v>
      </c>
      <c r="G473" s="2" t="s">
        <v>145</v>
      </c>
      <c r="H473" s="2" t="s">
        <v>35</v>
      </c>
    </row>
    <row r="474" spans="1:8" ht="13" hidden="1">
      <c r="A474" s="15">
        <v>45241.74643756944</v>
      </c>
      <c r="B474" s="16">
        <v>45239</v>
      </c>
      <c r="C474" s="2" t="s">
        <v>351</v>
      </c>
      <c r="D474" s="2" t="s">
        <v>38</v>
      </c>
      <c r="E474" s="2">
        <v>1500</v>
      </c>
      <c r="F474" s="2" t="s">
        <v>102</v>
      </c>
      <c r="H474" s="2" t="s">
        <v>35</v>
      </c>
    </row>
    <row r="475" spans="1:8" ht="13" hidden="1">
      <c r="A475" s="15">
        <v>45241.755606990744</v>
      </c>
      <c r="B475" s="16">
        <v>45239</v>
      </c>
      <c r="C475" s="2" t="s">
        <v>15</v>
      </c>
      <c r="D475" s="2" t="s">
        <v>48</v>
      </c>
      <c r="E475" s="2">
        <v>880</v>
      </c>
      <c r="F475" s="2" t="s">
        <v>100</v>
      </c>
      <c r="H475" s="2" t="s">
        <v>35</v>
      </c>
    </row>
    <row r="476" spans="1:8" ht="13" hidden="1">
      <c r="A476" s="15">
        <v>45241.746674074078</v>
      </c>
      <c r="B476" s="16">
        <v>45240</v>
      </c>
      <c r="C476" s="2" t="s">
        <v>110</v>
      </c>
      <c r="D476" s="2" t="s">
        <v>38</v>
      </c>
      <c r="E476" s="2">
        <v>248</v>
      </c>
      <c r="F476" s="2" t="s">
        <v>102</v>
      </c>
      <c r="G476" s="2" t="s">
        <v>103</v>
      </c>
      <c r="H476" s="2" t="s">
        <v>35</v>
      </c>
    </row>
    <row r="477" spans="1:8" ht="13" hidden="1">
      <c r="A477" s="15">
        <v>45241.746977592593</v>
      </c>
      <c r="B477" s="16">
        <v>45240</v>
      </c>
      <c r="C477" s="2" t="s">
        <v>106</v>
      </c>
      <c r="D477" s="2" t="s">
        <v>38</v>
      </c>
      <c r="E477" s="2">
        <v>1200</v>
      </c>
      <c r="F477" s="2" t="s">
        <v>102</v>
      </c>
      <c r="G477" s="2" t="s">
        <v>227</v>
      </c>
      <c r="H477" s="2" t="s">
        <v>35</v>
      </c>
    </row>
    <row r="478" spans="1:8" ht="13" hidden="1">
      <c r="A478" s="15">
        <v>45241.747241597222</v>
      </c>
      <c r="B478" s="16">
        <v>45240</v>
      </c>
      <c r="C478" s="2" t="s">
        <v>112</v>
      </c>
      <c r="D478" s="2" t="s">
        <v>38</v>
      </c>
      <c r="E478" s="2">
        <v>110</v>
      </c>
      <c r="F478" s="2" t="s">
        <v>102</v>
      </c>
      <c r="G478" s="2" t="s">
        <v>103</v>
      </c>
      <c r="H478" s="2" t="s">
        <v>35</v>
      </c>
    </row>
    <row r="479" spans="1:8" ht="13" hidden="1">
      <c r="A479" s="15">
        <v>45241.747575335648</v>
      </c>
      <c r="B479" s="16">
        <v>45240</v>
      </c>
      <c r="C479" s="2" t="s">
        <v>116</v>
      </c>
      <c r="D479" s="2" t="s">
        <v>38</v>
      </c>
      <c r="E479" s="2">
        <v>686</v>
      </c>
      <c r="F479" s="2" t="s">
        <v>102</v>
      </c>
      <c r="G479" s="2" t="s">
        <v>145</v>
      </c>
      <c r="H479" s="2" t="s">
        <v>35</v>
      </c>
    </row>
    <row r="480" spans="1:8" ht="13" hidden="1">
      <c r="A480" s="15">
        <v>45248.708148090278</v>
      </c>
      <c r="B480" s="16">
        <v>45240</v>
      </c>
      <c r="C480" s="2" t="s">
        <v>105</v>
      </c>
      <c r="D480" s="2" t="s">
        <v>40</v>
      </c>
      <c r="E480" s="2">
        <v>4600</v>
      </c>
      <c r="F480" s="2" t="s">
        <v>100</v>
      </c>
      <c r="H480" s="2" t="s">
        <v>35</v>
      </c>
    </row>
    <row r="481" spans="1:8" ht="13" hidden="1">
      <c r="A481" s="15">
        <v>45248.708418587965</v>
      </c>
      <c r="B481" s="16">
        <v>45240</v>
      </c>
      <c r="C481" s="2" t="s">
        <v>240</v>
      </c>
      <c r="D481" s="2" t="s">
        <v>42</v>
      </c>
      <c r="E481" s="2">
        <v>110</v>
      </c>
      <c r="F481" s="2" t="s">
        <v>100</v>
      </c>
      <c r="H481" s="2" t="s">
        <v>35</v>
      </c>
    </row>
    <row r="482" spans="1:8" ht="13" hidden="1">
      <c r="A482" s="15">
        <v>45241.752414212962</v>
      </c>
      <c r="B482" s="16">
        <v>45227</v>
      </c>
      <c r="C482" s="2" t="s">
        <v>158</v>
      </c>
      <c r="D482" s="2" t="s">
        <v>49</v>
      </c>
      <c r="E482" s="2">
        <v>4980</v>
      </c>
      <c r="F482" s="2" t="s">
        <v>100</v>
      </c>
      <c r="G482" s="2" t="s">
        <v>159</v>
      </c>
      <c r="H482" s="2" t="s">
        <v>35</v>
      </c>
    </row>
    <row r="483" spans="1:8" ht="13" hidden="1">
      <c r="A483" s="15">
        <v>45241.752735706017</v>
      </c>
      <c r="B483" s="16">
        <v>45227</v>
      </c>
      <c r="C483" s="2" t="s">
        <v>105</v>
      </c>
      <c r="D483" s="2" t="s">
        <v>38</v>
      </c>
      <c r="E483" s="2">
        <v>4700</v>
      </c>
      <c r="F483" s="2" t="s">
        <v>100</v>
      </c>
      <c r="H483" s="2" t="s">
        <v>35</v>
      </c>
    </row>
    <row r="484" spans="1:8" ht="13" hidden="1">
      <c r="A484" s="15">
        <v>45241.753208229165</v>
      </c>
      <c r="B484" s="16">
        <v>45229</v>
      </c>
      <c r="C484" s="2" t="s">
        <v>183</v>
      </c>
      <c r="D484" s="2" t="s">
        <v>46</v>
      </c>
      <c r="E484" s="2">
        <v>6010</v>
      </c>
      <c r="F484" s="2" t="s">
        <v>100</v>
      </c>
      <c r="G484" s="2" t="s">
        <v>300</v>
      </c>
      <c r="H484" s="2" t="s">
        <v>35</v>
      </c>
    </row>
    <row r="485" spans="1:8" ht="13" hidden="1">
      <c r="A485" s="15">
        <v>45241.753516192126</v>
      </c>
      <c r="B485" s="16">
        <v>45231</v>
      </c>
      <c r="C485" s="2" t="s">
        <v>10</v>
      </c>
      <c r="D485" s="2" t="s">
        <v>45</v>
      </c>
      <c r="E485" s="2">
        <v>280</v>
      </c>
      <c r="F485" s="2" t="s">
        <v>100</v>
      </c>
      <c r="H485" s="2" t="s">
        <v>35</v>
      </c>
    </row>
    <row r="486" spans="1:8" ht="13" hidden="1">
      <c r="A486" s="15">
        <v>45241.753806111112</v>
      </c>
      <c r="B486" s="16">
        <v>45231</v>
      </c>
      <c r="C486" s="2" t="s">
        <v>248</v>
      </c>
      <c r="D486" s="2" t="s">
        <v>49</v>
      </c>
      <c r="E486" s="2">
        <v>700</v>
      </c>
      <c r="F486" s="2" t="s">
        <v>100</v>
      </c>
      <c r="G486" s="2" t="s">
        <v>179</v>
      </c>
      <c r="H486" s="2" t="s">
        <v>35</v>
      </c>
    </row>
    <row r="487" spans="1:8" ht="13" hidden="1">
      <c r="A487" s="15">
        <v>45241.747898958332</v>
      </c>
      <c r="B487" s="16">
        <v>45241</v>
      </c>
      <c r="C487" s="2" t="s">
        <v>116</v>
      </c>
      <c r="D487" s="2" t="s">
        <v>38</v>
      </c>
      <c r="E487" s="2">
        <v>1164</v>
      </c>
      <c r="F487" s="2" t="s">
        <v>102</v>
      </c>
      <c r="G487" s="2" t="s">
        <v>145</v>
      </c>
      <c r="H487" s="2" t="s">
        <v>35</v>
      </c>
    </row>
    <row r="488" spans="1:8" ht="13" hidden="1">
      <c r="A488" s="15">
        <v>45248.708933437505</v>
      </c>
      <c r="B488" s="16">
        <v>45241</v>
      </c>
      <c r="C488" s="2" t="s">
        <v>275</v>
      </c>
      <c r="D488" s="2" t="s">
        <v>42</v>
      </c>
      <c r="E488" s="2">
        <v>3468</v>
      </c>
      <c r="F488" s="2" t="s">
        <v>100</v>
      </c>
      <c r="H488" s="2" t="s">
        <v>35</v>
      </c>
    </row>
    <row r="489" spans="1:8" ht="13" hidden="1">
      <c r="A489" s="15">
        <v>45248.709310439815</v>
      </c>
      <c r="B489" s="16">
        <v>45241</v>
      </c>
      <c r="C489" s="2" t="s">
        <v>18</v>
      </c>
      <c r="D489" s="2" t="s">
        <v>41</v>
      </c>
      <c r="E489" s="2">
        <v>5318</v>
      </c>
      <c r="F489" s="2" t="s">
        <v>100</v>
      </c>
      <c r="H489" s="2" t="s">
        <v>35</v>
      </c>
    </row>
    <row r="490" spans="1:8" ht="13" hidden="1">
      <c r="A490" s="15">
        <v>45248.607259826385</v>
      </c>
      <c r="B490" s="16">
        <v>45242</v>
      </c>
      <c r="C490" s="2" t="s">
        <v>116</v>
      </c>
      <c r="D490" s="2" t="s">
        <v>38</v>
      </c>
      <c r="E490" s="2">
        <v>1483</v>
      </c>
      <c r="F490" s="2" t="s">
        <v>102</v>
      </c>
      <c r="G490" s="2" t="s">
        <v>145</v>
      </c>
      <c r="H490" s="2" t="s">
        <v>35</v>
      </c>
    </row>
    <row r="491" spans="1:8" ht="13" hidden="1">
      <c r="A491" s="15">
        <v>45248.607653472223</v>
      </c>
      <c r="B491" s="16">
        <v>45242</v>
      </c>
      <c r="C491" s="2" t="s">
        <v>352</v>
      </c>
      <c r="D491" s="2" t="s">
        <v>44</v>
      </c>
      <c r="E491" s="2">
        <v>1990</v>
      </c>
      <c r="F491" s="2" t="s">
        <v>102</v>
      </c>
      <c r="G491" s="2" t="s">
        <v>132</v>
      </c>
      <c r="H491" s="2" t="s">
        <v>35</v>
      </c>
    </row>
    <row r="492" spans="1:8" ht="13" hidden="1">
      <c r="A492" s="15">
        <v>45248.70974888889</v>
      </c>
      <c r="B492" s="16">
        <v>45242</v>
      </c>
      <c r="C492" s="2" t="s">
        <v>353</v>
      </c>
      <c r="D492" s="2" t="s">
        <v>44</v>
      </c>
      <c r="E492" s="2">
        <v>7990</v>
      </c>
      <c r="F492" s="2" t="s">
        <v>100</v>
      </c>
      <c r="G492" s="2" t="s">
        <v>354</v>
      </c>
      <c r="H492" s="2" t="s">
        <v>35</v>
      </c>
    </row>
    <row r="493" spans="1:8" ht="13" hidden="1">
      <c r="A493" s="15">
        <v>45248.608198796297</v>
      </c>
      <c r="B493" s="16">
        <v>45243</v>
      </c>
      <c r="C493" s="2" t="s">
        <v>355</v>
      </c>
      <c r="D493" s="2" t="s">
        <v>38</v>
      </c>
      <c r="E493" s="2">
        <v>1300</v>
      </c>
      <c r="F493" s="2" t="s">
        <v>102</v>
      </c>
      <c r="G493" s="2" t="s">
        <v>256</v>
      </c>
      <c r="H493" s="2" t="s">
        <v>35</v>
      </c>
    </row>
    <row r="494" spans="1:8" ht="13" hidden="1">
      <c r="A494" s="15">
        <v>45248.608496111112</v>
      </c>
      <c r="B494" s="16">
        <v>45243</v>
      </c>
      <c r="C494" s="2" t="s">
        <v>112</v>
      </c>
      <c r="D494" s="2" t="s">
        <v>38</v>
      </c>
      <c r="E494" s="2">
        <v>110</v>
      </c>
      <c r="F494" s="2" t="s">
        <v>102</v>
      </c>
      <c r="G494" s="2" t="s">
        <v>103</v>
      </c>
      <c r="H494" s="2" t="s">
        <v>35</v>
      </c>
    </row>
    <row r="495" spans="1:8" ht="13" hidden="1">
      <c r="A495" s="15">
        <v>45248.71010546296</v>
      </c>
      <c r="B495" s="16">
        <v>45243</v>
      </c>
      <c r="C495" s="2" t="s">
        <v>275</v>
      </c>
      <c r="D495" s="2" t="s">
        <v>42</v>
      </c>
      <c r="E495" s="2">
        <v>1532</v>
      </c>
      <c r="F495" s="2" t="s">
        <v>100</v>
      </c>
      <c r="H495" s="2" t="s">
        <v>35</v>
      </c>
    </row>
    <row r="496" spans="1:8" ht="13" hidden="1">
      <c r="A496" s="15">
        <v>45248.608878576386</v>
      </c>
      <c r="B496" s="16">
        <v>45244</v>
      </c>
      <c r="C496" s="2" t="s">
        <v>294</v>
      </c>
      <c r="D496" s="2" t="s">
        <v>38</v>
      </c>
      <c r="E496" s="2">
        <v>980</v>
      </c>
      <c r="F496" s="2" t="s">
        <v>102</v>
      </c>
      <c r="G496" s="2" t="s">
        <v>194</v>
      </c>
      <c r="H496" s="2" t="s">
        <v>35</v>
      </c>
    </row>
    <row r="497" spans="1:8" ht="13" hidden="1">
      <c r="A497" s="15">
        <v>45248.609468402778</v>
      </c>
      <c r="B497" s="16">
        <v>45244</v>
      </c>
      <c r="C497" s="2" t="s">
        <v>286</v>
      </c>
      <c r="D497" s="2" t="s">
        <v>38</v>
      </c>
      <c r="E497" s="2">
        <v>255</v>
      </c>
      <c r="F497" s="2" t="s">
        <v>102</v>
      </c>
      <c r="G497" s="2" t="s">
        <v>103</v>
      </c>
      <c r="H497" s="2" t="s">
        <v>35</v>
      </c>
    </row>
    <row r="498" spans="1:8" ht="13" hidden="1">
      <c r="A498" s="15">
        <v>45248.610016099541</v>
      </c>
      <c r="B498" s="16">
        <v>45244</v>
      </c>
      <c r="C498" s="2" t="s">
        <v>241</v>
      </c>
      <c r="D498" s="2" t="s">
        <v>38</v>
      </c>
      <c r="E498" s="2">
        <v>313</v>
      </c>
      <c r="F498" s="2" t="s">
        <v>102</v>
      </c>
      <c r="G498" s="2" t="s">
        <v>103</v>
      </c>
      <c r="H498" s="2" t="s">
        <v>35</v>
      </c>
    </row>
    <row r="499" spans="1:8" ht="13" hidden="1">
      <c r="A499" s="15">
        <v>45248.610450995373</v>
      </c>
      <c r="B499" s="16">
        <v>45245</v>
      </c>
      <c r="C499" s="2" t="s">
        <v>110</v>
      </c>
      <c r="D499" s="2" t="s">
        <v>38</v>
      </c>
      <c r="E499" s="2">
        <v>258</v>
      </c>
      <c r="F499" s="2" t="s">
        <v>102</v>
      </c>
      <c r="G499" s="2" t="s">
        <v>356</v>
      </c>
      <c r="H499" s="2" t="s">
        <v>35</v>
      </c>
    </row>
    <row r="500" spans="1:8" ht="13" hidden="1">
      <c r="A500" s="15">
        <v>45248.610953946758</v>
      </c>
      <c r="B500" s="16">
        <v>45245</v>
      </c>
      <c r="C500" s="2" t="s">
        <v>106</v>
      </c>
      <c r="D500" s="2" t="s">
        <v>38</v>
      </c>
      <c r="E500" s="2">
        <v>1100</v>
      </c>
      <c r="F500" s="2" t="s">
        <v>102</v>
      </c>
      <c r="G500" s="2" t="s">
        <v>191</v>
      </c>
      <c r="H500" s="2" t="s">
        <v>35</v>
      </c>
    </row>
    <row r="501" spans="1:8" ht="13" hidden="1">
      <c r="A501" s="15">
        <v>45248.611862858801</v>
      </c>
      <c r="B501" s="16">
        <v>45245</v>
      </c>
      <c r="C501" s="2" t="s">
        <v>112</v>
      </c>
      <c r="D501" s="2" t="s">
        <v>38</v>
      </c>
      <c r="E501" s="2">
        <v>120</v>
      </c>
      <c r="F501" s="2" t="s">
        <v>102</v>
      </c>
      <c r="G501" s="2" t="s">
        <v>356</v>
      </c>
      <c r="H501" s="2" t="s">
        <v>35</v>
      </c>
    </row>
    <row r="502" spans="1:8" ht="13" hidden="1">
      <c r="A502" s="15">
        <v>45248.612125127314</v>
      </c>
      <c r="B502" s="16">
        <v>45245</v>
      </c>
      <c r="C502" s="2" t="s">
        <v>357</v>
      </c>
      <c r="D502" s="2" t="s">
        <v>38</v>
      </c>
      <c r="E502" s="2">
        <v>410</v>
      </c>
      <c r="F502" s="2" t="s">
        <v>102</v>
      </c>
      <c r="G502" s="2" t="s">
        <v>103</v>
      </c>
      <c r="H502" s="2" t="s">
        <v>35</v>
      </c>
    </row>
    <row r="503" spans="1:8" ht="13" hidden="1">
      <c r="A503" s="15">
        <v>45248.612463877318</v>
      </c>
      <c r="B503" s="16">
        <v>45246</v>
      </c>
      <c r="C503" s="2" t="s">
        <v>106</v>
      </c>
      <c r="D503" s="2" t="s">
        <v>38</v>
      </c>
      <c r="E503" s="2">
        <v>1100</v>
      </c>
      <c r="F503" s="2" t="s">
        <v>102</v>
      </c>
      <c r="G503" s="2" t="s">
        <v>227</v>
      </c>
      <c r="H503" s="2" t="s">
        <v>35</v>
      </c>
    </row>
    <row r="504" spans="1:8" ht="13" hidden="1">
      <c r="A504" s="15">
        <v>45248.612848449076</v>
      </c>
      <c r="B504" s="16">
        <v>45246</v>
      </c>
      <c r="C504" s="2" t="s">
        <v>196</v>
      </c>
      <c r="D504" s="2" t="s">
        <v>38</v>
      </c>
      <c r="E504" s="2">
        <v>276</v>
      </c>
      <c r="F504" s="2" t="s">
        <v>102</v>
      </c>
      <c r="G504" s="2" t="s">
        <v>356</v>
      </c>
      <c r="H504" s="2" t="s">
        <v>35</v>
      </c>
    </row>
    <row r="505" spans="1:8" ht="13" hidden="1">
      <c r="A505" s="15">
        <v>45253.642858842592</v>
      </c>
      <c r="B505" s="16">
        <v>45246</v>
      </c>
      <c r="C505" s="2" t="s">
        <v>20</v>
      </c>
      <c r="D505" s="2" t="s">
        <v>39</v>
      </c>
      <c r="E505" s="2">
        <v>1490</v>
      </c>
      <c r="F505" s="2" t="s">
        <v>100</v>
      </c>
      <c r="H505" s="2" t="s">
        <v>35</v>
      </c>
    </row>
    <row r="506" spans="1:8" ht="13" hidden="1">
      <c r="A506" s="15">
        <v>45253.643186018518</v>
      </c>
      <c r="B506" s="16">
        <v>45246</v>
      </c>
      <c r="C506" s="2" t="s">
        <v>22</v>
      </c>
      <c r="D506" s="2" t="s">
        <v>39</v>
      </c>
      <c r="E506" s="2">
        <v>2310</v>
      </c>
      <c r="F506" s="2" t="s">
        <v>100</v>
      </c>
      <c r="H506" s="2" t="s">
        <v>35</v>
      </c>
    </row>
    <row r="507" spans="1:8" ht="13" hidden="1">
      <c r="A507" s="15">
        <v>45248.61322295139</v>
      </c>
      <c r="B507" s="16">
        <v>45247</v>
      </c>
      <c r="C507" s="2" t="s">
        <v>110</v>
      </c>
      <c r="D507" s="2" t="s">
        <v>38</v>
      </c>
      <c r="E507" s="2">
        <v>258</v>
      </c>
      <c r="F507" s="2" t="s">
        <v>102</v>
      </c>
      <c r="G507" s="2" t="s">
        <v>356</v>
      </c>
      <c r="H507" s="2" t="s">
        <v>35</v>
      </c>
    </row>
    <row r="508" spans="1:8" ht="13" hidden="1">
      <c r="A508" s="15">
        <v>45248.613581168982</v>
      </c>
      <c r="B508" s="16">
        <v>45247</v>
      </c>
      <c r="C508" s="2" t="s">
        <v>106</v>
      </c>
      <c r="D508" s="2" t="s">
        <v>38</v>
      </c>
      <c r="E508" s="2">
        <v>1200</v>
      </c>
      <c r="F508" s="2" t="s">
        <v>102</v>
      </c>
      <c r="G508" s="2" t="s">
        <v>358</v>
      </c>
      <c r="H508" s="2" t="s">
        <v>35</v>
      </c>
    </row>
    <row r="509" spans="1:8" ht="13" hidden="1">
      <c r="A509" s="15">
        <v>45248.613882789352</v>
      </c>
      <c r="B509" s="16">
        <v>45247</v>
      </c>
      <c r="C509" s="2" t="s">
        <v>112</v>
      </c>
      <c r="D509" s="2" t="s">
        <v>38</v>
      </c>
      <c r="E509" s="2">
        <v>120</v>
      </c>
      <c r="F509" s="2" t="s">
        <v>102</v>
      </c>
      <c r="G509" s="2" t="s">
        <v>356</v>
      </c>
      <c r="H509" s="2" t="s">
        <v>35</v>
      </c>
    </row>
    <row r="510" spans="1:8" ht="13" hidden="1">
      <c r="A510" s="15">
        <v>45248.614139710648</v>
      </c>
      <c r="B510" s="16">
        <v>45247</v>
      </c>
      <c r="C510" s="2" t="s">
        <v>359</v>
      </c>
      <c r="D510" s="2" t="s">
        <v>39</v>
      </c>
      <c r="E510" s="2">
        <v>4000</v>
      </c>
      <c r="F510" s="2" t="s">
        <v>102</v>
      </c>
      <c r="H510" s="2" t="s">
        <v>35</v>
      </c>
    </row>
    <row r="511" spans="1:8" ht="13" hidden="1">
      <c r="A511" s="15">
        <v>45248.614447083339</v>
      </c>
      <c r="B511" s="16">
        <v>45247</v>
      </c>
      <c r="C511" s="2" t="s">
        <v>116</v>
      </c>
      <c r="D511" s="2" t="s">
        <v>38</v>
      </c>
      <c r="E511" s="2">
        <v>341</v>
      </c>
      <c r="F511" s="2" t="s">
        <v>102</v>
      </c>
      <c r="G511" s="2" t="s">
        <v>145</v>
      </c>
      <c r="H511" s="2" t="s">
        <v>35</v>
      </c>
    </row>
    <row r="512" spans="1:8" ht="13" hidden="1">
      <c r="A512" s="15">
        <v>45253.64348846065</v>
      </c>
      <c r="B512" s="16">
        <v>45247</v>
      </c>
      <c r="C512" s="2" t="s">
        <v>350</v>
      </c>
      <c r="D512" s="2" t="s">
        <v>40</v>
      </c>
      <c r="E512" s="2">
        <v>1000</v>
      </c>
      <c r="F512" s="2" t="s">
        <v>100</v>
      </c>
      <c r="H512" s="2" t="s">
        <v>35</v>
      </c>
    </row>
    <row r="513" spans="1:8" ht="13" hidden="1">
      <c r="A513" s="15">
        <v>45248.614787013888</v>
      </c>
      <c r="B513" s="16">
        <v>45248</v>
      </c>
      <c r="C513" s="2" t="s">
        <v>116</v>
      </c>
      <c r="D513" s="2" t="s">
        <v>38</v>
      </c>
      <c r="E513" s="2">
        <v>946</v>
      </c>
      <c r="F513" s="2" t="s">
        <v>102</v>
      </c>
      <c r="G513" s="2" t="s">
        <v>145</v>
      </c>
      <c r="H513" s="2" t="s">
        <v>35</v>
      </c>
    </row>
    <row r="514" spans="1:8" ht="13" hidden="1">
      <c r="A514" s="15">
        <v>45249.737818726848</v>
      </c>
      <c r="B514" s="16">
        <v>45248</v>
      </c>
      <c r="C514" s="2" t="s">
        <v>331</v>
      </c>
      <c r="D514" s="2" t="s">
        <v>39</v>
      </c>
      <c r="E514" s="2">
        <v>1932</v>
      </c>
      <c r="F514" s="2" t="s">
        <v>102</v>
      </c>
      <c r="G514" s="2" t="s">
        <v>332</v>
      </c>
      <c r="H514" s="2" t="s">
        <v>35</v>
      </c>
    </row>
    <row r="515" spans="1:8" ht="13" hidden="1">
      <c r="A515" s="15">
        <v>45249.738114548614</v>
      </c>
      <c r="B515" s="16">
        <v>45248</v>
      </c>
      <c r="C515" s="2" t="s">
        <v>360</v>
      </c>
      <c r="D515" s="2" t="s">
        <v>39</v>
      </c>
      <c r="E515" s="2">
        <v>1333</v>
      </c>
      <c r="F515" s="2" t="s">
        <v>102</v>
      </c>
      <c r="G515" s="2" t="s">
        <v>107</v>
      </c>
      <c r="H515" s="2" t="s">
        <v>35</v>
      </c>
    </row>
    <row r="516" spans="1:8" ht="13" hidden="1">
      <c r="A516" s="15">
        <v>45249.738458414351</v>
      </c>
      <c r="B516" s="16">
        <v>45249</v>
      </c>
      <c r="C516" s="2" t="s">
        <v>163</v>
      </c>
      <c r="D516" s="2" t="s">
        <v>38</v>
      </c>
      <c r="E516" s="2">
        <v>1880</v>
      </c>
      <c r="F516" s="2" t="s">
        <v>102</v>
      </c>
      <c r="G516" s="2" t="s">
        <v>164</v>
      </c>
      <c r="H516" s="2" t="s">
        <v>35</v>
      </c>
    </row>
    <row r="517" spans="1:8" ht="13" hidden="1">
      <c r="A517" s="15">
        <v>45249.73877221065</v>
      </c>
      <c r="B517" s="16">
        <v>45249</v>
      </c>
      <c r="C517" s="2" t="s">
        <v>116</v>
      </c>
      <c r="D517" s="2" t="s">
        <v>38</v>
      </c>
      <c r="E517" s="2">
        <v>886</v>
      </c>
      <c r="F517" s="2" t="s">
        <v>102</v>
      </c>
      <c r="G517" s="2" t="s">
        <v>145</v>
      </c>
      <c r="H517" s="2" t="s">
        <v>35</v>
      </c>
    </row>
    <row r="518" spans="1:8" ht="13" hidden="1">
      <c r="A518" s="15">
        <v>45253.639717025464</v>
      </c>
      <c r="B518" s="16">
        <v>45250</v>
      </c>
      <c r="C518" s="2" t="s">
        <v>106</v>
      </c>
      <c r="D518" s="2" t="s">
        <v>38</v>
      </c>
      <c r="E518" s="2">
        <v>1100</v>
      </c>
      <c r="F518" s="2" t="s">
        <v>102</v>
      </c>
      <c r="G518" s="2" t="s">
        <v>256</v>
      </c>
      <c r="H518" s="2" t="s">
        <v>35</v>
      </c>
    </row>
    <row r="519" spans="1:8" ht="13" hidden="1">
      <c r="A519" s="15">
        <v>45253.639984236113</v>
      </c>
      <c r="B519" s="16">
        <v>45250</v>
      </c>
      <c r="C519" s="2" t="s">
        <v>112</v>
      </c>
      <c r="D519" s="2" t="s">
        <v>38</v>
      </c>
      <c r="E519" s="2">
        <v>120</v>
      </c>
      <c r="F519" s="2" t="s">
        <v>102</v>
      </c>
      <c r="G519" s="2" t="s">
        <v>356</v>
      </c>
      <c r="H519" s="2" t="s">
        <v>35</v>
      </c>
    </row>
    <row r="520" spans="1:8" ht="13" hidden="1">
      <c r="A520" s="15">
        <v>45253.640309386574</v>
      </c>
      <c r="B520" s="16">
        <v>45250</v>
      </c>
      <c r="C520" s="2" t="s">
        <v>116</v>
      </c>
      <c r="D520" s="2" t="s">
        <v>38</v>
      </c>
      <c r="E520" s="2">
        <v>475</v>
      </c>
      <c r="F520" s="2" t="s">
        <v>102</v>
      </c>
      <c r="G520" s="2" t="s">
        <v>145</v>
      </c>
      <c r="H520" s="2" t="s">
        <v>35</v>
      </c>
    </row>
    <row r="521" spans="1:8" ht="13" hidden="1">
      <c r="A521" s="15">
        <v>45253.643838888893</v>
      </c>
      <c r="B521" s="16">
        <v>45250</v>
      </c>
      <c r="C521" s="2" t="s">
        <v>24</v>
      </c>
      <c r="D521" s="2" t="s">
        <v>49</v>
      </c>
      <c r="E521" s="2">
        <v>1100</v>
      </c>
      <c r="F521" s="2" t="s">
        <v>100</v>
      </c>
      <c r="H521" s="2" t="s">
        <v>35</v>
      </c>
    </row>
    <row r="522" spans="1:8" ht="13" hidden="1">
      <c r="A522" s="15">
        <v>45253.640687777777</v>
      </c>
      <c r="B522" s="16">
        <v>45251</v>
      </c>
      <c r="C522" s="2" t="s">
        <v>190</v>
      </c>
      <c r="D522" s="2" t="s">
        <v>38</v>
      </c>
      <c r="E522" s="2">
        <v>970</v>
      </c>
      <c r="F522" s="2" t="s">
        <v>102</v>
      </c>
      <c r="G522" s="2" t="s">
        <v>191</v>
      </c>
      <c r="H522" s="2" t="s">
        <v>35</v>
      </c>
    </row>
    <row r="523" spans="1:8" ht="13" hidden="1">
      <c r="A523" s="15">
        <v>45253.641007638886</v>
      </c>
      <c r="B523" s="16">
        <v>45251</v>
      </c>
      <c r="C523" s="2" t="s">
        <v>112</v>
      </c>
      <c r="D523" s="2" t="s">
        <v>38</v>
      </c>
      <c r="E523" s="2">
        <v>120</v>
      </c>
      <c r="F523" s="2" t="s">
        <v>102</v>
      </c>
      <c r="G523" s="2" t="s">
        <v>356</v>
      </c>
      <c r="H523" s="2" t="s">
        <v>35</v>
      </c>
    </row>
    <row r="524" spans="1:8" ht="13" hidden="1">
      <c r="A524" s="15">
        <v>45256.740162037036</v>
      </c>
      <c r="B524" s="16">
        <v>45251</v>
      </c>
      <c r="C524" s="2" t="s">
        <v>361</v>
      </c>
      <c r="D524" s="2" t="s">
        <v>39</v>
      </c>
      <c r="E524" s="2">
        <v>4520</v>
      </c>
      <c r="F524" s="2" t="s">
        <v>100</v>
      </c>
      <c r="H524" s="2" t="s">
        <v>35</v>
      </c>
    </row>
    <row r="525" spans="1:8" ht="13" hidden="1">
      <c r="A525" s="15">
        <v>45256.74041525463</v>
      </c>
      <c r="B525" s="16">
        <v>45251</v>
      </c>
      <c r="C525" s="2" t="s">
        <v>209</v>
      </c>
      <c r="D525" s="2" t="s">
        <v>42</v>
      </c>
      <c r="E525" s="2">
        <v>990</v>
      </c>
      <c r="F525" s="2" t="s">
        <v>100</v>
      </c>
      <c r="H525" s="2" t="s">
        <v>35</v>
      </c>
    </row>
    <row r="526" spans="1:8" ht="13" hidden="1">
      <c r="A526" s="15">
        <v>45256.740739432869</v>
      </c>
      <c r="B526" s="16">
        <v>45251</v>
      </c>
      <c r="C526" s="2" t="s">
        <v>232</v>
      </c>
      <c r="D526" s="2" t="s">
        <v>40</v>
      </c>
      <c r="E526" s="2">
        <v>1000</v>
      </c>
      <c r="F526" s="2" t="s">
        <v>100</v>
      </c>
      <c r="H526" s="2" t="s">
        <v>35</v>
      </c>
    </row>
    <row r="527" spans="1:8" ht="13" hidden="1">
      <c r="A527" s="15">
        <v>45253.641310127314</v>
      </c>
      <c r="B527" s="16">
        <v>45252</v>
      </c>
      <c r="C527" s="2" t="s">
        <v>241</v>
      </c>
      <c r="D527" s="2" t="s">
        <v>38</v>
      </c>
      <c r="E527" s="2">
        <v>280</v>
      </c>
      <c r="F527" s="2" t="s">
        <v>102</v>
      </c>
      <c r="G527" s="2" t="s">
        <v>356</v>
      </c>
      <c r="H527" s="2" t="s">
        <v>35</v>
      </c>
    </row>
    <row r="528" spans="1:8" ht="13" hidden="1">
      <c r="A528" s="15">
        <v>45253.641706203707</v>
      </c>
      <c r="B528" s="16">
        <v>45252</v>
      </c>
      <c r="C528" s="2" t="s">
        <v>116</v>
      </c>
      <c r="D528" s="2" t="s">
        <v>38</v>
      </c>
      <c r="E528" s="2">
        <v>414</v>
      </c>
      <c r="F528" s="2" t="s">
        <v>102</v>
      </c>
      <c r="G528" s="2" t="s">
        <v>145</v>
      </c>
      <c r="H528" s="2" t="s">
        <v>35</v>
      </c>
    </row>
    <row r="529" spans="1:8" ht="13" hidden="1">
      <c r="A529" s="15">
        <v>45253.642031574069</v>
      </c>
      <c r="B529" s="16">
        <v>45253</v>
      </c>
      <c r="C529" s="2" t="s">
        <v>116</v>
      </c>
      <c r="D529" s="2" t="s">
        <v>38</v>
      </c>
      <c r="E529" s="2">
        <v>1603</v>
      </c>
      <c r="F529" s="2" t="s">
        <v>102</v>
      </c>
      <c r="G529" s="2" t="s">
        <v>145</v>
      </c>
      <c r="H529" s="2" t="s">
        <v>35</v>
      </c>
    </row>
    <row r="530" spans="1:8" ht="13" hidden="1">
      <c r="A530" s="15">
        <v>45256.741085312504</v>
      </c>
      <c r="B530" s="16">
        <v>45253</v>
      </c>
      <c r="C530" s="2" t="s">
        <v>303</v>
      </c>
      <c r="D530" s="2" t="s">
        <v>39</v>
      </c>
      <c r="E530" s="2">
        <v>3300</v>
      </c>
      <c r="F530" s="2" t="s">
        <v>100</v>
      </c>
      <c r="H530" s="2" t="s">
        <v>35</v>
      </c>
    </row>
    <row r="531" spans="1:8" ht="13" hidden="1">
      <c r="A531" s="15">
        <v>45254.406726921297</v>
      </c>
      <c r="B531" s="16">
        <v>45254</v>
      </c>
      <c r="C531" s="2" t="s">
        <v>362</v>
      </c>
      <c r="E531" s="2">
        <v>323083</v>
      </c>
      <c r="H531" s="2" t="s">
        <v>34</v>
      </c>
    </row>
    <row r="532" spans="1:8" ht="13" hidden="1">
      <c r="A532" s="15">
        <v>45256.738053796296</v>
      </c>
      <c r="B532" s="16">
        <v>45254</v>
      </c>
      <c r="C532" s="2" t="s">
        <v>106</v>
      </c>
      <c r="D532" s="2" t="s">
        <v>38</v>
      </c>
      <c r="E532" s="2">
        <v>980</v>
      </c>
      <c r="F532" s="2" t="s">
        <v>102</v>
      </c>
      <c r="G532" s="2" t="s">
        <v>194</v>
      </c>
      <c r="H532" s="2" t="s">
        <v>35</v>
      </c>
    </row>
    <row r="533" spans="1:8" ht="13" hidden="1">
      <c r="A533" s="15">
        <v>45256.738354710644</v>
      </c>
      <c r="B533" s="16">
        <v>45254</v>
      </c>
      <c r="C533" s="2" t="s">
        <v>112</v>
      </c>
      <c r="D533" s="2" t="s">
        <v>38</v>
      </c>
      <c r="E533" s="2">
        <v>110</v>
      </c>
      <c r="F533" s="2" t="s">
        <v>102</v>
      </c>
      <c r="G533" s="2" t="s">
        <v>103</v>
      </c>
      <c r="H533" s="2" t="s">
        <v>35</v>
      </c>
    </row>
    <row r="534" spans="1:8" ht="13" hidden="1">
      <c r="A534" s="15">
        <v>45256.738659155089</v>
      </c>
      <c r="B534" s="16">
        <v>45254</v>
      </c>
      <c r="C534" s="2" t="s">
        <v>116</v>
      </c>
      <c r="D534" s="2" t="s">
        <v>38</v>
      </c>
      <c r="E534" s="2">
        <v>794</v>
      </c>
      <c r="F534" s="2" t="s">
        <v>102</v>
      </c>
      <c r="G534" s="2" t="s">
        <v>145</v>
      </c>
      <c r="H534" s="2" t="s">
        <v>35</v>
      </c>
    </row>
    <row r="535" spans="1:8" ht="13" hidden="1">
      <c r="A535" s="15">
        <v>45256.739043530091</v>
      </c>
      <c r="B535" s="16">
        <v>45255</v>
      </c>
      <c r="C535" s="2" t="s">
        <v>116</v>
      </c>
      <c r="D535" s="2" t="s">
        <v>38</v>
      </c>
      <c r="E535" s="2">
        <v>1539</v>
      </c>
      <c r="F535" s="2" t="s">
        <v>102</v>
      </c>
      <c r="G535" s="2" t="s">
        <v>145</v>
      </c>
      <c r="H535" s="2" t="s">
        <v>35</v>
      </c>
    </row>
    <row r="536" spans="1:8" ht="13" hidden="1">
      <c r="A536" s="15">
        <v>45256.739342615736</v>
      </c>
      <c r="B536" s="16">
        <v>45256</v>
      </c>
      <c r="C536" s="2" t="s">
        <v>116</v>
      </c>
      <c r="D536" s="2" t="s">
        <v>38</v>
      </c>
      <c r="E536" s="2">
        <v>2286</v>
      </c>
      <c r="F536" s="2" t="s">
        <v>102</v>
      </c>
      <c r="G536" s="2" t="s">
        <v>145</v>
      </c>
      <c r="H536" s="2" t="s">
        <v>35</v>
      </c>
    </row>
    <row r="537" spans="1:8" ht="13" hidden="1">
      <c r="A537" s="15">
        <v>45263.654193969909</v>
      </c>
      <c r="B537" s="16">
        <v>45256</v>
      </c>
      <c r="C537" s="2" t="s">
        <v>204</v>
      </c>
      <c r="D537" s="2" t="s">
        <v>45</v>
      </c>
      <c r="E537" s="2">
        <v>4500</v>
      </c>
      <c r="F537" s="2" t="s">
        <v>100</v>
      </c>
      <c r="G537" s="2" t="s">
        <v>325</v>
      </c>
      <c r="H537" s="2" t="s">
        <v>35</v>
      </c>
    </row>
    <row r="538" spans="1:8" ht="13" hidden="1">
      <c r="A538" s="15">
        <v>45208.92915520833</v>
      </c>
      <c r="B538" s="16">
        <v>45257</v>
      </c>
      <c r="C538" s="2" t="s">
        <v>363</v>
      </c>
      <c r="D538" s="2" t="s">
        <v>5</v>
      </c>
      <c r="E538" s="2">
        <v>93000</v>
      </c>
      <c r="F538" s="2" t="s">
        <v>102</v>
      </c>
      <c r="H538" s="2" t="s">
        <v>35</v>
      </c>
    </row>
    <row r="539" spans="1:8" ht="13" hidden="1">
      <c r="A539" s="15">
        <v>45208.93070769676</v>
      </c>
      <c r="B539" s="16">
        <v>45257</v>
      </c>
      <c r="C539" s="2" t="s">
        <v>17</v>
      </c>
      <c r="D539" s="2" t="s">
        <v>45</v>
      </c>
      <c r="E539" s="2">
        <v>8470</v>
      </c>
      <c r="F539" s="2" t="s">
        <v>102</v>
      </c>
      <c r="H539" s="2" t="s">
        <v>35</v>
      </c>
    </row>
    <row r="540" spans="1:8" ht="13" hidden="1">
      <c r="A540" s="15">
        <v>45208.931333749999</v>
      </c>
      <c r="B540" s="16">
        <v>45257</v>
      </c>
      <c r="C540" s="2" t="s">
        <v>330</v>
      </c>
      <c r="D540" s="2" t="s">
        <v>47</v>
      </c>
      <c r="E540" s="2">
        <v>30000</v>
      </c>
      <c r="F540" s="2" t="s">
        <v>102</v>
      </c>
      <c r="H540" s="2" t="s">
        <v>35</v>
      </c>
    </row>
    <row r="541" spans="1:8" ht="13" hidden="1">
      <c r="A541" s="15">
        <v>45208.930309675925</v>
      </c>
      <c r="B541" s="16">
        <v>45257</v>
      </c>
      <c r="C541" s="2" t="s">
        <v>239</v>
      </c>
      <c r="D541" s="2" t="s">
        <v>47</v>
      </c>
      <c r="E541" s="2">
        <v>16000</v>
      </c>
      <c r="F541" s="2" t="s">
        <v>102</v>
      </c>
      <c r="H541" s="2" t="s">
        <v>35</v>
      </c>
    </row>
    <row r="542" spans="1:8" ht="13" hidden="1">
      <c r="A542" s="15">
        <v>45208.929925833334</v>
      </c>
      <c r="B542" s="16">
        <v>45257</v>
      </c>
      <c r="C542" s="2" t="s">
        <v>146</v>
      </c>
      <c r="D542" s="2" t="s">
        <v>47</v>
      </c>
      <c r="E542" s="2">
        <v>3400</v>
      </c>
      <c r="F542" s="2" t="s">
        <v>102</v>
      </c>
      <c r="H542" s="2" t="s">
        <v>35</v>
      </c>
    </row>
    <row r="543" spans="1:8" ht="13" hidden="1">
      <c r="A543" s="15">
        <v>45208.929476666672</v>
      </c>
      <c r="B543" s="16">
        <v>45257</v>
      </c>
      <c r="C543" s="2" t="s">
        <v>9</v>
      </c>
      <c r="D543" s="2" t="s">
        <v>47</v>
      </c>
      <c r="E543" s="2">
        <v>13600</v>
      </c>
      <c r="F543" s="2" t="s">
        <v>102</v>
      </c>
      <c r="H543" s="2" t="s">
        <v>35</v>
      </c>
    </row>
    <row r="544" spans="1:8" ht="13" hidden="1">
      <c r="A544" s="15">
        <v>45263.646375509255</v>
      </c>
      <c r="B544" s="16">
        <v>45257</v>
      </c>
      <c r="C544" s="2" t="s">
        <v>364</v>
      </c>
      <c r="D544" s="2" t="s">
        <v>38</v>
      </c>
      <c r="E544" s="2">
        <v>750</v>
      </c>
      <c r="F544" s="2" t="s">
        <v>102</v>
      </c>
      <c r="H544" s="2" t="s">
        <v>35</v>
      </c>
    </row>
    <row r="545" spans="1:8" ht="13" hidden="1">
      <c r="A545" s="15">
        <v>45263.646651678238</v>
      </c>
      <c r="B545" s="16">
        <v>45257</v>
      </c>
      <c r="C545" s="2" t="s">
        <v>112</v>
      </c>
      <c r="D545" s="2" t="s">
        <v>38</v>
      </c>
      <c r="E545" s="2">
        <v>110</v>
      </c>
      <c r="F545" s="2" t="s">
        <v>102</v>
      </c>
      <c r="G545" s="2" t="s">
        <v>103</v>
      </c>
      <c r="H545" s="2" t="s">
        <v>35</v>
      </c>
    </row>
    <row r="546" spans="1:8" ht="13" hidden="1">
      <c r="A546" s="15">
        <v>45263.654778287033</v>
      </c>
      <c r="B546" s="16">
        <v>45257</v>
      </c>
      <c r="C546" s="2" t="s">
        <v>365</v>
      </c>
      <c r="D546" s="2" t="s">
        <v>45</v>
      </c>
      <c r="E546" s="2">
        <v>1344</v>
      </c>
      <c r="F546" s="2" t="s">
        <v>100</v>
      </c>
      <c r="G546" s="2" t="s">
        <v>129</v>
      </c>
      <c r="H546" s="2" t="s">
        <v>35</v>
      </c>
    </row>
    <row r="547" spans="1:8" ht="13" hidden="1">
      <c r="A547" s="15">
        <v>45263.646981562502</v>
      </c>
      <c r="B547" s="16">
        <v>45258</v>
      </c>
      <c r="C547" s="2" t="s">
        <v>366</v>
      </c>
      <c r="D547" s="2" t="s">
        <v>43</v>
      </c>
      <c r="E547" s="2">
        <v>573</v>
      </c>
      <c r="F547" s="2" t="s">
        <v>102</v>
      </c>
      <c r="H547" s="2" t="s">
        <v>35</v>
      </c>
    </row>
    <row r="548" spans="1:8" ht="13" hidden="1">
      <c r="A548" s="15">
        <v>45263.647688773148</v>
      </c>
      <c r="B548" s="16">
        <v>45258</v>
      </c>
      <c r="C548" s="2" t="s">
        <v>367</v>
      </c>
      <c r="D548" s="2" t="s">
        <v>38</v>
      </c>
      <c r="E548" s="2">
        <v>1200</v>
      </c>
      <c r="F548" s="2" t="s">
        <v>102</v>
      </c>
      <c r="H548" s="2" t="s">
        <v>35</v>
      </c>
    </row>
    <row r="549" spans="1:8" ht="13" hidden="1">
      <c r="A549" s="15">
        <v>45263.647996192129</v>
      </c>
      <c r="B549" s="16">
        <v>45258</v>
      </c>
      <c r="C549" s="2" t="s">
        <v>112</v>
      </c>
      <c r="D549" s="2" t="s">
        <v>38</v>
      </c>
      <c r="E549" s="2">
        <v>120</v>
      </c>
      <c r="F549" s="2" t="s">
        <v>102</v>
      </c>
      <c r="G549" s="2" t="s">
        <v>356</v>
      </c>
      <c r="H549" s="2" t="s">
        <v>35</v>
      </c>
    </row>
    <row r="550" spans="1:8" ht="13" hidden="1">
      <c r="A550" s="15">
        <v>45263.648410011578</v>
      </c>
      <c r="B550" s="16">
        <v>45258</v>
      </c>
      <c r="C550" s="2" t="s">
        <v>116</v>
      </c>
      <c r="D550" s="2" t="s">
        <v>38</v>
      </c>
      <c r="E550" s="2">
        <v>1432</v>
      </c>
      <c r="F550" s="2" t="s">
        <v>102</v>
      </c>
      <c r="G550" s="2" t="s">
        <v>145</v>
      </c>
      <c r="H550" s="2" t="s">
        <v>35</v>
      </c>
    </row>
    <row r="551" spans="1:8" ht="13" hidden="1">
      <c r="A551" s="15">
        <v>45269.729549768519</v>
      </c>
      <c r="B551" s="16">
        <v>45258</v>
      </c>
      <c r="C551" s="2" t="s">
        <v>368</v>
      </c>
      <c r="D551" s="2" t="s">
        <v>39</v>
      </c>
      <c r="E551" s="2">
        <v>1100</v>
      </c>
      <c r="F551" s="2" t="s">
        <v>100</v>
      </c>
      <c r="H551" s="2" t="s">
        <v>35</v>
      </c>
    </row>
    <row r="552" spans="1:8" ht="13" hidden="1">
      <c r="A552" s="15">
        <v>45269.729826712966</v>
      </c>
      <c r="B552" s="16">
        <v>45258</v>
      </c>
      <c r="C552" s="2" t="s">
        <v>158</v>
      </c>
      <c r="D552" s="2" t="s">
        <v>49</v>
      </c>
      <c r="E552" s="2">
        <v>4980</v>
      </c>
      <c r="F552" s="2" t="s">
        <v>100</v>
      </c>
      <c r="H552" s="2" t="s">
        <v>35</v>
      </c>
    </row>
    <row r="553" spans="1:8" ht="13" hidden="1">
      <c r="A553" s="15">
        <v>45263.648688194444</v>
      </c>
      <c r="B553" s="16">
        <v>45259</v>
      </c>
      <c r="C553" s="2" t="s">
        <v>106</v>
      </c>
      <c r="D553" s="2" t="s">
        <v>38</v>
      </c>
      <c r="E553" s="2">
        <v>1200</v>
      </c>
      <c r="F553" s="2" t="s">
        <v>102</v>
      </c>
      <c r="G553" s="2" t="s">
        <v>227</v>
      </c>
      <c r="H553" s="2" t="s">
        <v>35</v>
      </c>
    </row>
    <row r="554" spans="1:8" ht="13" hidden="1">
      <c r="A554" s="15">
        <v>45263.649072187502</v>
      </c>
      <c r="B554" s="16">
        <v>45259</v>
      </c>
      <c r="C554" s="2" t="s">
        <v>369</v>
      </c>
      <c r="D554" s="2" t="s">
        <v>38</v>
      </c>
      <c r="E554" s="2">
        <v>266</v>
      </c>
      <c r="F554" s="2" t="s">
        <v>102</v>
      </c>
      <c r="G554" s="2" t="s">
        <v>356</v>
      </c>
      <c r="H554" s="2" t="s">
        <v>35</v>
      </c>
    </row>
    <row r="555" spans="1:8" ht="13" hidden="1">
      <c r="A555" s="15">
        <v>45263.649499224535</v>
      </c>
      <c r="B555" s="16">
        <v>45259</v>
      </c>
      <c r="C555" s="2" t="s">
        <v>370</v>
      </c>
      <c r="D555" s="2" t="s">
        <v>39</v>
      </c>
      <c r="E555" s="2">
        <v>2500</v>
      </c>
      <c r="F555" s="2" t="s">
        <v>102</v>
      </c>
      <c r="H555" s="2" t="s">
        <v>35</v>
      </c>
    </row>
    <row r="556" spans="1:8" ht="13" hidden="1">
      <c r="A556" s="15">
        <v>45269.73015206019</v>
      </c>
      <c r="B556" s="16">
        <v>45259</v>
      </c>
      <c r="C556" s="2" t="s">
        <v>350</v>
      </c>
      <c r="D556" s="2" t="s">
        <v>40</v>
      </c>
      <c r="E556" s="2">
        <v>1000</v>
      </c>
      <c r="F556" s="2" t="s">
        <v>100</v>
      </c>
      <c r="H556" s="2" t="s">
        <v>35</v>
      </c>
    </row>
    <row r="557" spans="1:8" ht="13" hidden="1">
      <c r="A557" s="15">
        <v>45269.730457071761</v>
      </c>
      <c r="B557" s="16">
        <v>45259</v>
      </c>
      <c r="C557" s="2" t="s">
        <v>183</v>
      </c>
      <c r="D557" s="2" t="s">
        <v>46</v>
      </c>
      <c r="E557" s="2">
        <v>1100</v>
      </c>
      <c r="F557" s="2" t="s">
        <v>100</v>
      </c>
      <c r="G557" s="2" t="s">
        <v>371</v>
      </c>
      <c r="H557" s="2" t="s">
        <v>35</v>
      </c>
    </row>
    <row r="558" spans="1:8" ht="13" hidden="1">
      <c r="A558" s="15">
        <v>45263.649770000004</v>
      </c>
      <c r="B558" s="16">
        <v>45260</v>
      </c>
      <c r="C558" s="2" t="s">
        <v>372</v>
      </c>
      <c r="D558" s="2" t="s">
        <v>38</v>
      </c>
      <c r="E558" s="2">
        <v>1200</v>
      </c>
      <c r="F558" s="2" t="s">
        <v>102</v>
      </c>
      <c r="H558" s="2" t="s">
        <v>35</v>
      </c>
    </row>
    <row r="559" spans="1:8" ht="13" hidden="1">
      <c r="A559" s="15">
        <v>45263.650033738428</v>
      </c>
      <c r="B559" s="16">
        <v>45260</v>
      </c>
      <c r="C559" s="2" t="s">
        <v>112</v>
      </c>
      <c r="D559" s="2" t="s">
        <v>38</v>
      </c>
      <c r="E559" s="2">
        <v>120</v>
      </c>
      <c r="F559" s="2" t="s">
        <v>102</v>
      </c>
      <c r="G559" s="2" t="s">
        <v>356</v>
      </c>
      <c r="H559" s="2" t="s">
        <v>35</v>
      </c>
    </row>
    <row r="560" spans="1:8" ht="13" hidden="1">
      <c r="A560" s="15">
        <v>45263.650310787038</v>
      </c>
      <c r="B560" s="16">
        <v>45260</v>
      </c>
      <c r="C560" s="2" t="s">
        <v>116</v>
      </c>
      <c r="D560" s="2" t="s">
        <v>38</v>
      </c>
      <c r="E560" s="2">
        <v>784</v>
      </c>
      <c r="F560" s="2" t="s">
        <v>102</v>
      </c>
      <c r="G560" s="2" t="s">
        <v>145</v>
      </c>
      <c r="H560" s="2" t="s">
        <v>35</v>
      </c>
    </row>
    <row r="561" spans="1:8" ht="13" hidden="1">
      <c r="A561" s="15">
        <v>45263.652958379629</v>
      </c>
      <c r="B561" s="16">
        <v>45261</v>
      </c>
      <c r="C561" s="2" t="s">
        <v>373</v>
      </c>
      <c r="E561" s="2">
        <v>50000</v>
      </c>
      <c r="H561" s="2" t="s">
        <v>34</v>
      </c>
    </row>
    <row r="562" spans="1:8" ht="13" hidden="1">
      <c r="A562" s="15">
        <v>45269.730903773147</v>
      </c>
      <c r="B562" s="16">
        <v>45260</v>
      </c>
      <c r="C562" s="2" t="s">
        <v>374</v>
      </c>
      <c r="D562" s="2" t="s">
        <v>45</v>
      </c>
      <c r="E562" s="2">
        <v>6820</v>
      </c>
      <c r="F562" s="2" t="s">
        <v>100</v>
      </c>
      <c r="G562" s="2" t="s">
        <v>129</v>
      </c>
      <c r="H562" s="2" t="s">
        <v>35</v>
      </c>
    </row>
    <row r="563" spans="1:8" ht="13" hidden="1">
      <c r="A563" s="15">
        <v>45269.731182546297</v>
      </c>
      <c r="B563" s="16">
        <v>45260</v>
      </c>
      <c r="C563" s="2" t="s">
        <v>375</v>
      </c>
      <c r="D563" s="2" t="s">
        <v>39</v>
      </c>
      <c r="E563" s="2">
        <v>3000</v>
      </c>
      <c r="F563" s="2" t="s">
        <v>100</v>
      </c>
      <c r="H563" s="2" t="s">
        <v>35</v>
      </c>
    </row>
    <row r="564" spans="1:8" ht="13" hidden="1">
      <c r="A564" s="15">
        <v>45263.650624074071</v>
      </c>
      <c r="B564" s="16">
        <v>45261</v>
      </c>
      <c r="C564" s="2" t="s">
        <v>110</v>
      </c>
      <c r="D564" s="2" t="s">
        <v>38</v>
      </c>
      <c r="E564" s="2">
        <v>259</v>
      </c>
      <c r="F564" s="2" t="s">
        <v>102</v>
      </c>
      <c r="G564" s="2" t="s">
        <v>103</v>
      </c>
      <c r="H564" s="2" t="s">
        <v>35</v>
      </c>
    </row>
    <row r="565" spans="1:8" ht="13" hidden="1">
      <c r="A565" s="15">
        <v>45263.651753148151</v>
      </c>
      <c r="B565" s="16">
        <v>45262</v>
      </c>
      <c r="C565" s="2" t="s">
        <v>112</v>
      </c>
      <c r="D565" s="2" t="s">
        <v>39</v>
      </c>
      <c r="E565" s="2">
        <v>620</v>
      </c>
      <c r="F565" s="2" t="s">
        <v>102</v>
      </c>
      <c r="G565" s="2" t="s">
        <v>376</v>
      </c>
      <c r="H565" s="2" t="s">
        <v>35</v>
      </c>
    </row>
    <row r="566" spans="1:8" ht="13" hidden="1">
      <c r="A566" s="15">
        <v>45263.650890925928</v>
      </c>
      <c r="B566" s="16">
        <v>45261</v>
      </c>
      <c r="C566" s="2" t="s">
        <v>377</v>
      </c>
      <c r="D566" s="2" t="s">
        <v>38</v>
      </c>
      <c r="E566" s="2">
        <v>1100</v>
      </c>
      <c r="F566" s="2" t="s">
        <v>102</v>
      </c>
      <c r="G566" s="2" t="s">
        <v>322</v>
      </c>
      <c r="H566" s="2" t="s">
        <v>35</v>
      </c>
    </row>
    <row r="567" spans="1:8" ht="13" hidden="1">
      <c r="A567" s="15">
        <v>45263.651117280097</v>
      </c>
      <c r="B567" s="16">
        <v>45261</v>
      </c>
      <c r="C567" s="2" t="s">
        <v>378</v>
      </c>
      <c r="D567" s="2" t="s">
        <v>43</v>
      </c>
      <c r="E567" s="2">
        <v>899</v>
      </c>
      <c r="F567" s="2" t="s">
        <v>102</v>
      </c>
      <c r="H567" s="2" t="s">
        <v>35</v>
      </c>
    </row>
    <row r="568" spans="1:8" ht="13" hidden="1">
      <c r="A568" s="15">
        <v>45263.651452777776</v>
      </c>
      <c r="B568" s="16">
        <v>45261</v>
      </c>
      <c r="C568" s="2" t="s">
        <v>112</v>
      </c>
      <c r="D568" s="2" t="s">
        <v>38</v>
      </c>
      <c r="E568" s="2">
        <v>120</v>
      </c>
      <c r="F568" s="2" t="s">
        <v>102</v>
      </c>
      <c r="G568" s="2" t="s">
        <v>356</v>
      </c>
      <c r="H568" s="2" t="s">
        <v>35</v>
      </c>
    </row>
    <row r="569" spans="1:8" ht="13" hidden="1">
      <c r="A569" s="15">
        <v>45269.731505381947</v>
      </c>
      <c r="B569" s="16">
        <v>45261</v>
      </c>
      <c r="C569" s="2" t="s">
        <v>248</v>
      </c>
      <c r="D569" s="2" t="s">
        <v>49</v>
      </c>
      <c r="E569" s="2">
        <v>700</v>
      </c>
      <c r="F569" s="2" t="s">
        <v>100</v>
      </c>
      <c r="G569" s="2" t="s">
        <v>179</v>
      </c>
      <c r="H569" s="2" t="s">
        <v>35</v>
      </c>
    </row>
    <row r="570" spans="1:8" ht="13" hidden="1">
      <c r="A570" s="15">
        <v>45269.73270876157</v>
      </c>
      <c r="B570" s="16">
        <v>45261</v>
      </c>
      <c r="C570" s="2" t="s">
        <v>10</v>
      </c>
      <c r="D570" s="2" t="s">
        <v>40</v>
      </c>
      <c r="E570" s="2">
        <v>280</v>
      </c>
      <c r="F570" s="2" t="s">
        <v>100</v>
      </c>
      <c r="H570" s="2" t="s">
        <v>35</v>
      </c>
    </row>
    <row r="571" spans="1:8" ht="13" hidden="1">
      <c r="A571" s="15">
        <v>45269.733001759261</v>
      </c>
      <c r="B571" s="16">
        <v>45261</v>
      </c>
      <c r="C571" s="2" t="s">
        <v>240</v>
      </c>
      <c r="D571" s="2" t="s">
        <v>42</v>
      </c>
      <c r="E571" s="2">
        <v>330</v>
      </c>
      <c r="F571" s="2" t="s">
        <v>100</v>
      </c>
      <c r="H571" s="2" t="s">
        <v>35</v>
      </c>
    </row>
    <row r="572" spans="1:8" ht="13" hidden="1">
      <c r="A572" s="15">
        <v>45269.733430219909</v>
      </c>
      <c r="B572" s="16">
        <v>45261</v>
      </c>
      <c r="C572" s="2" t="s">
        <v>379</v>
      </c>
      <c r="D572" s="2" t="s">
        <v>45</v>
      </c>
      <c r="E572" s="2">
        <v>8936</v>
      </c>
      <c r="F572" s="2" t="s">
        <v>100</v>
      </c>
      <c r="G572" s="2" t="s">
        <v>129</v>
      </c>
      <c r="H572" s="2" t="s">
        <v>35</v>
      </c>
    </row>
    <row r="573" spans="1:8" ht="13" hidden="1">
      <c r="A573" s="15">
        <v>45263.652066006944</v>
      </c>
      <c r="B573" s="16">
        <v>45262</v>
      </c>
      <c r="C573" s="2" t="s">
        <v>116</v>
      </c>
      <c r="D573" s="2" t="s">
        <v>38</v>
      </c>
      <c r="E573" s="2">
        <v>592</v>
      </c>
      <c r="F573" s="2" t="s">
        <v>102</v>
      </c>
      <c r="G573" s="2" t="s">
        <v>145</v>
      </c>
      <c r="H573" s="2" t="s">
        <v>35</v>
      </c>
    </row>
    <row r="574" spans="1:8" ht="13" hidden="1">
      <c r="A574" s="15">
        <v>45263.652399432875</v>
      </c>
      <c r="B574" s="16">
        <v>45263</v>
      </c>
      <c r="C574" s="2" t="s">
        <v>116</v>
      </c>
      <c r="D574" s="2" t="s">
        <v>38</v>
      </c>
      <c r="E574" s="2">
        <v>2367</v>
      </c>
      <c r="F574" s="2" t="s">
        <v>102</v>
      </c>
      <c r="G574" s="2" t="s">
        <v>145</v>
      </c>
      <c r="H574" s="2" t="s">
        <v>35</v>
      </c>
    </row>
    <row r="575" spans="1:8" ht="13" hidden="1">
      <c r="A575" s="15">
        <v>45269.722492337962</v>
      </c>
      <c r="B575" s="16">
        <v>45264</v>
      </c>
      <c r="C575" s="2" t="s">
        <v>106</v>
      </c>
      <c r="D575" s="2" t="s">
        <v>38</v>
      </c>
      <c r="E575" s="2">
        <v>980</v>
      </c>
      <c r="F575" s="2" t="s">
        <v>102</v>
      </c>
      <c r="G575" s="2" t="s">
        <v>194</v>
      </c>
      <c r="H575" s="2" t="s">
        <v>35</v>
      </c>
    </row>
    <row r="576" spans="1:8" ht="13" hidden="1">
      <c r="A576" s="15">
        <v>45269.722775995368</v>
      </c>
      <c r="B576" s="16">
        <v>45264</v>
      </c>
      <c r="C576" s="2" t="s">
        <v>112</v>
      </c>
      <c r="D576" s="2" t="s">
        <v>38</v>
      </c>
      <c r="E576" s="2">
        <v>120</v>
      </c>
      <c r="F576" s="2" t="s">
        <v>102</v>
      </c>
      <c r="G576" s="2" t="s">
        <v>356</v>
      </c>
      <c r="H576" s="2" t="s">
        <v>35</v>
      </c>
    </row>
    <row r="577" spans="1:8" ht="13" hidden="1">
      <c r="A577" s="15">
        <v>45269.72311431713</v>
      </c>
      <c r="B577" s="16">
        <v>45264</v>
      </c>
      <c r="C577" s="2" t="s">
        <v>222</v>
      </c>
      <c r="D577" s="2" t="s">
        <v>46</v>
      </c>
      <c r="E577" s="2">
        <v>4180</v>
      </c>
      <c r="F577" s="2" t="s">
        <v>102</v>
      </c>
      <c r="G577" s="2" t="s">
        <v>300</v>
      </c>
      <c r="H577" s="2" t="s">
        <v>35</v>
      </c>
    </row>
    <row r="578" spans="1:8" ht="13" hidden="1">
      <c r="A578" s="15">
        <v>45269.7234537037</v>
      </c>
      <c r="B578" s="16">
        <v>45265</v>
      </c>
      <c r="C578" s="2" t="s">
        <v>106</v>
      </c>
      <c r="D578" s="2" t="s">
        <v>38</v>
      </c>
      <c r="E578" s="2">
        <v>1100</v>
      </c>
      <c r="F578" s="2" t="s">
        <v>102</v>
      </c>
      <c r="G578" s="2" t="s">
        <v>256</v>
      </c>
      <c r="H578" s="2" t="s">
        <v>35</v>
      </c>
    </row>
    <row r="579" spans="1:8" ht="13" hidden="1">
      <c r="A579" s="15">
        <v>45269.723768171301</v>
      </c>
      <c r="B579" s="16">
        <v>45265</v>
      </c>
      <c r="C579" s="2" t="s">
        <v>112</v>
      </c>
      <c r="D579" s="2" t="s">
        <v>38</v>
      </c>
      <c r="E579" s="2">
        <v>110</v>
      </c>
      <c r="F579" s="2" t="s">
        <v>102</v>
      </c>
      <c r="G579" s="2" t="s">
        <v>103</v>
      </c>
      <c r="H579" s="2" t="s">
        <v>35</v>
      </c>
    </row>
    <row r="580" spans="1:8" ht="13" hidden="1">
      <c r="A580" s="15">
        <v>45269.724139328704</v>
      </c>
      <c r="B580" s="16">
        <v>45265</v>
      </c>
      <c r="C580" s="2" t="s">
        <v>116</v>
      </c>
      <c r="D580" s="2" t="s">
        <v>38</v>
      </c>
      <c r="E580" s="2">
        <v>490</v>
      </c>
      <c r="F580" s="2" t="s">
        <v>102</v>
      </c>
      <c r="G580" s="2" t="s">
        <v>145</v>
      </c>
      <c r="H580" s="2" t="s">
        <v>35</v>
      </c>
    </row>
    <row r="581" spans="1:8" ht="13" hidden="1">
      <c r="A581" s="15">
        <v>45269.733741006945</v>
      </c>
      <c r="B581" s="16">
        <v>45265</v>
      </c>
      <c r="C581" s="2" t="s">
        <v>240</v>
      </c>
      <c r="D581" s="2" t="s">
        <v>42</v>
      </c>
      <c r="E581" s="2">
        <v>990</v>
      </c>
      <c r="F581" s="2" t="s">
        <v>100</v>
      </c>
      <c r="H581" s="2" t="s">
        <v>35</v>
      </c>
    </row>
    <row r="582" spans="1:8" ht="13" hidden="1">
      <c r="A582" s="15">
        <v>45269.73412601852</v>
      </c>
      <c r="B582" s="16">
        <v>45265</v>
      </c>
      <c r="C582" s="2" t="s">
        <v>308</v>
      </c>
      <c r="D582" s="2" t="s">
        <v>40</v>
      </c>
      <c r="E582" s="2">
        <v>12130</v>
      </c>
      <c r="F582" s="2" t="s">
        <v>100</v>
      </c>
      <c r="H582" s="2" t="s">
        <v>35</v>
      </c>
    </row>
    <row r="583" spans="1:8" ht="13" hidden="1">
      <c r="A583" s="15">
        <v>45269.73440681713</v>
      </c>
      <c r="B583" s="16">
        <v>45265</v>
      </c>
      <c r="C583" s="2" t="s">
        <v>350</v>
      </c>
      <c r="D583" s="2" t="s">
        <v>40</v>
      </c>
      <c r="E583" s="2">
        <v>1000</v>
      </c>
      <c r="F583" s="2" t="s">
        <v>100</v>
      </c>
      <c r="H583" s="2" t="s">
        <v>35</v>
      </c>
    </row>
    <row r="584" spans="1:8" ht="13" hidden="1">
      <c r="A584" s="15">
        <v>45266.476940312496</v>
      </c>
      <c r="B584" s="16">
        <v>45266</v>
      </c>
      <c r="C584" s="2" t="s">
        <v>258</v>
      </c>
      <c r="E584" s="2">
        <v>17620</v>
      </c>
      <c r="H584" s="2" t="s">
        <v>34</v>
      </c>
    </row>
    <row r="585" spans="1:8" ht="13" hidden="1">
      <c r="A585" s="15">
        <v>45269.724446597218</v>
      </c>
      <c r="B585" s="16">
        <v>45266</v>
      </c>
      <c r="C585" s="2" t="s">
        <v>112</v>
      </c>
      <c r="D585" s="2" t="s">
        <v>38</v>
      </c>
      <c r="E585" s="2">
        <v>110</v>
      </c>
      <c r="F585" s="2" t="s">
        <v>102</v>
      </c>
      <c r="G585" s="2" t="s">
        <v>103</v>
      </c>
      <c r="H585" s="2" t="s">
        <v>35</v>
      </c>
    </row>
    <row r="586" spans="1:8" ht="13" hidden="1">
      <c r="A586" s="15">
        <v>45269.724709560185</v>
      </c>
      <c r="B586" s="16">
        <v>45266</v>
      </c>
      <c r="C586" s="2" t="s">
        <v>116</v>
      </c>
      <c r="D586" s="2" t="s">
        <v>38</v>
      </c>
      <c r="E586" s="2">
        <v>533</v>
      </c>
      <c r="F586" s="2" t="s">
        <v>102</v>
      </c>
      <c r="G586" s="2" t="s">
        <v>145</v>
      </c>
      <c r="H586" s="2" t="s">
        <v>35</v>
      </c>
    </row>
    <row r="587" spans="1:8" ht="13" hidden="1">
      <c r="A587" s="15">
        <v>45269.725023055551</v>
      </c>
      <c r="B587" s="16">
        <v>45267</v>
      </c>
      <c r="C587" s="2" t="s">
        <v>106</v>
      </c>
      <c r="D587" s="2" t="s">
        <v>38</v>
      </c>
      <c r="E587" s="2">
        <v>880</v>
      </c>
      <c r="F587" s="2" t="s">
        <v>102</v>
      </c>
      <c r="G587" s="2" t="s">
        <v>194</v>
      </c>
      <c r="H587" s="2" t="s">
        <v>35</v>
      </c>
    </row>
    <row r="588" spans="1:8" ht="13" hidden="1">
      <c r="A588" s="15">
        <v>45269.725317673612</v>
      </c>
      <c r="B588" s="16">
        <v>45267</v>
      </c>
      <c r="C588" s="2" t="s">
        <v>112</v>
      </c>
      <c r="D588" s="2" t="s">
        <v>38</v>
      </c>
      <c r="E588" s="2">
        <v>110</v>
      </c>
      <c r="F588" s="2" t="s">
        <v>102</v>
      </c>
      <c r="G588" s="2" t="s">
        <v>103</v>
      </c>
      <c r="H588" s="2" t="s">
        <v>35</v>
      </c>
    </row>
    <row r="589" spans="1:8" ht="13" hidden="1">
      <c r="A589" s="15">
        <v>45269.734926481484</v>
      </c>
      <c r="B589" s="16">
        <v>45267</v>
      </c>
      <c r="C589" s="2" t="s">
        <v>380</v>
      </c>
      <c r="D589" s="2" t="s">
        <v>45</v>
      </c>
      <c r="E589" s="2">
        <v>2980</v>
      </c>
      <c r="F589" s="2" t="s">
        <v>100</v>
      </c>
      <c r="G589" s="2" t="s">
        <v>129</v>
      </c>
      <c r="H589" s="2" t="s">
        <v>35</v>
      </c>
    </row>
    <row r="590" spans="1:8" ht="13" hidden="1">
      <c r="A590" s="15">
        <v>45269.725553402779</v>
      </c>
      <c r="B590" s="16">
        <v>45268</v>
      </c>
      <c r="C590" s="2" t="s">
        <v>105</v>
      </c>
      <c r="D590" s="2" t="s">
        <v>40</v>
      </c>
      <c r="E590" s="2">
        <v>1900</v>
      </c>
      <c r="F590" s="2" t="s">
        <v>102</v>
      </c>
      <c r="H590" s="2" t="s">
        <v>35</v>
      </c>
    </row>
    <row r="591" spans="1:8" ht="13" hidden="1">
      <c r="A591" s="15">
        <v>45269.725810763892</v>
      </c>
      <c r="B591" s="16">
        <v>45268</v>
      </c>
      <c r="C591" s="2" t="s">
        <v>241</v>
      </c>
      <c r="D591" s="2" t="s">
        <v>38</v>
      </c>
      <c r="E591" s="2">
        <v>345</v>
      </c>
      <c r="F591" s="2" t="s">
        <v>102</v>
      </c>
      <c r="G591" s="2" t="s">
        <v>103</v>
      </c>
      <c r="H591" s="2" t="s">
        <v>35</v>
      </c>
    </row>
    <row r="592" spans="1:8" ht="13" hidden="1">
      <c r="A592" s="15">
        <v>45269.726150590279</v>
      </c>
      <c r="B592" s="16">
        <v>45268</v>
      </c>
      <c r="C592" s="2" t="s">
        <v>112</v>
      </c>
      <c r="D592" s="2" t="s">
        <v>38</v>
      </c>
      <c r="E592" s="2">
        <v>110</v>
      </c>
      <c r="F592" s="2" t="s">
        <v>102</v>
      </c>
      <c r="G592" s="2" t="s">
        <v>103</v>
      </c>
      <c r="H592" s="2" t="s">
        <v>35</v>
      </c>
    </row>
    <row r="593" spans="1:8" ht="13" hidden="1">
      <c r="A593" s="15">
        <v>45280.91450684028</v>
      </c>
      <c r="B593" s="16">
        <v>45268</v>
      </c>
      <c r="C593" s="2" t="s">
        <v>12</v>
      </c>
      <c r="D593" s="2" t="s">
        <v>39</v>
      </c>
      <c r="E593" s="2">
        <v>1320</v>
      </c>
      <c r="F593" s="2" t="s">
        <v>100</v>
      </c>
      <c r="H593" s="2" t="s">
        <v>35</v>
      </c>
    </row>
    <row r="594" spans="1:8" ht="13" hidden="1">
      <c r="A594" s="15">
        <v>45280.914806550922</v>
      </c>
      <c r="B594" s="16">
        <v>45268</v>
      </c>
      <c r="C594" s="2" t="s">
        <v>176</v>
      </c>
      <c r="D594" s="2" t="s">
        <v>41</v>
      </c>
      <c r="E594" s="2">
        <v>3172</v>
      </c>
      <c r="F594" s="2" t="s">
        <v>100</v>
      </c>
      <c r="H594" s="2" t="s">
        <v>35</v>
      </c>
    </row>
    <row r="595" spans="1:8" ht="13" hidden="1">
      <c r="A595" s="15">
        <v>45280.915100081023</v>
      </c>
      <c r="B595" s="16">
        <v>45268</v>
      </c>
      <c r="C595" s="2" t="s">
        <v>209</v>
      </c>
      <c r="D595" s="2" t="s">
        <v>40</v>
      </c>
      <c r="E595" s="2">
        <v>1000</v>
      </c>
      <c r="F595" s="2" t="s">
        <v>100</v>
      </c>
      <c r="H595" s="2" t="s">
        <v>35</v>
      </c>
    </row>
    <row r="596" spans="1:8" ht="13" hidden="1">
      <c r="A596" s="15">
        <v>45269.726475833333</v>
      </c>
      <c r="B596" s="16">
        <v>45269</v>
      </c>
      <c r="C596" s="2" t="s">
        <v>163</v>
      </c>
      <c r="D596" s="2" t="s">
        <v>38</v>
      </c>
      <c r="E596" s="2">
        <v>1720</v>
      </c>
      <c r="F596" s="2" t="s">
        <v>102</v>
      </c>
      <c r="G596" s="2" t="s">
        <v>164</v>
      </c>
      <c r="H596" s="2" t="s">
        <v>35</v>
      </c>
    </row>
    <row r="597" spans="1:8" ht="13" hidden="1">
      <c r="A597" s="15">
        <v>45269.726836423608</v>
      </c>
      <c r="B597" s="16">
        <v>45269</v>
      </c>
      <c r="C597" s="2" t="s">
        <v>116</v>
      </c>
      <c r="D597" s="2" t="s">
        <v>38</v>
      </c>
      <c r="E597" s="2">
        <v>916</v>
      </c>
      <c r="F597" s="2" t="s">
        <v>102</v>
      </c>
      <c r="G597" s="2" t="s">
        <v>145</v>
      </c>
      <c r="H597" s="2" t="s">
        <v>35</v>
      </c>
    </row>
    <row r="598" spans="1:8" ht="13" hidden="1">
      <c r="A598" s="15">
        <v>45269.727140555551</v>
      </c>
      <c r="B598" s="16">
        <v>45269</v>
      </c>
      <c r="C598" s="2" t="s">
        <v>168</v>
      </c>
      <c r="D598" s="2" t="s">
        <v>45</v>
      </c>
      <c r="E598" s="2">
        <v>550</v>
      </c>
      <c r="F598" s="2" t="s">
        <v>102</v>
      </c>
      <c r="G598" s="2" t="s">
        <v>136</v>
      </c>
      <c r="H598" s="2" t="s">
        <v>35</v>
      </c>
    </row>
    <row r="599" spans="1:8" ht="13" hidden="1">
      <c r="A599" s="15">
        <v>45280.900578645829</v>
      </c>
      <c r="B599" s="16">
        <v>45269</v>
      </c>
      <c r="C599" s="2" t="s">
        <v>381</v>
      </c>
      <c r="D599" s="2" t="s">
        <v>39</v>
      </c>
      <c r="E599" s="2">
        <v>3600</v>
      </c>
      <c r="F599" s="2" t="s">
        <v>102</v>
      </c>
      <c r="H599" s="2" t="s">
        <v>35</v>
      </c>
    </row>
    <row r="600" spans="1:8" ht="13" hidden="1">
      <c r="A600" s="15">
        <v>45280.915352546297</v>
      </c>
      <c r="B600" s="16">
        <v>45269</v>
      </c>
      <c r="C600" s="2" t="s">
        <v>240</v>
      </c>
      <c r="D600" s="2" t="s">
        <v>42</v>
      </c>
      <c r="E600" s="2">
        <v>330</v>
      </c>
      <c r="F600" s="2" t="s">
        <v>100</v>
      </c>
      <c r="H600" s="2" t="s">
        <v>35</v>
      </c>
    </row>
    <row r="601" spans="1:8" ht="13" hidden="1">
      <c r="A601" s="15">
        <v>45280.915610104166</v>
      </c>
      <c r="B601" s="16">
        <v>45269</v>
      </c>
      <c r="C601" s="2" t="s">
        <v>105</v>
      </c>
      <c r="D601" s="2" t="s">
        <v>40</v>
      </c>
      <c r="E601" s="2">
        <v>1200</v>
      </c>
      <c r="F601" s="2" t="s">
        <v>100</v>
      </c>
      <c r="H601" s="2" t="s">
        <v>35</v>
      </c>
    </row>
    <row r="602" spans="1:8" ht="13" hidden="1">
      <c r="A602" s="15">
        <v>45280.915928252318</v>
      </c>
      <c r="B602" s="16">
        <v>45269</v>
      </c>
      <c r="C602" s="2" t="s">
        <v>197</v>
      </c>
      <c r="D602" s="2" t="s">
        <v>48</v>
      </c>
      <c r="E602" s="2">
        <v>880</v>
      </c>
      <c r="F602" s="2" t="s">
        <v>100</v>
      </c>
      <c r="H602" s="2" t="s">
        <v>35</v>
      </c>
    </row>
    <row r="603" spans="1:8" ht="13" hidden="1">
      <c r="A603" s="15">
        <v>45280.900894432867</v>
      </c>
      <c r="B603" s="16">
        <v>45270</v>
      </c>
      <c r="C603" s="2" t="s">
        <v>382</v>
      </c>
      <c r="D603" s="2" t="s">
        <v>38</v>
      </c>
      <c r="E603" s="2">
        <v>183</v>
      </c>
      <c r="F603" s="2" t="s">
        <v>102</v>
      </c>
      <c r="G603" s="2" t="s">
        <v>103</v>
      </c>
      <c r="H603" s="2" t="s">
        <v>35</v>
      </c>
    </row>
    <row r="604" spans="1:8" ht="13" hidden="1">
      <c r="A604" s="15">
        <v>45280.90141622685</v>
      </c>
      <c r="B604" s="16">
        <v>45270</v>
      </c>
      <c r="C604" s="2" t="s">
        <v>116</v>
      </c>
      <c r="D604" s="2" t="s">
        <v>38</v>
      </c>
      <c r="E604" s="2">
        <v>1328</v>
      </c>
      <c r="F604" s="2" t="s">
        <v>102</v>
      </c>
      <c r="G604" s="2" t="s">
        <v>145</v>
      </c>
      <c r="H604" s="2" t="s">
        <v>35</v>
      </c>
    </row>
    <row r="605" spans="1:8" ht="13" hidden="1">
      <c r="A605" s="15">
        <v>45280.916262627317</v>
      </c>
      <c r="B605" s="16">
        <v>45270</v>
      </c>
      <c r="C605" s="2" t="s">
        <v>240</v>
      </c>
      <c r="D605" s="2" t="s">
        <v>42</v>
      </c>
      <c r="E605" s="2">
        <v>66</v>
      </c>
      <c r="F605" s="2" t="s">
        <v>100</v>
      </c>
      <c r="H605" s="2" t="s">
        <v>35</v>
      </c>
    </row>
    <row r="606" spans="1:8" ht="13" hidden="1">
      <c r="A606" s="15">
        <v>45280.90178083333</v>
      </c>
      <c r="B606" s="16">
        <v>45271</v>
      </c>
      <c r="C606" s="2" t="s">
        <v>190</v>
      </c>
      <c r="D606" s="2" t="s">
        <v>38</v>
      </c>
      <c r="E606" s="2">
        <v>1300</v>
      </c>
      <c r="F606" s="2" t="s">
        <v>102</v>
      </c>
      <c r="G606" s="2" t="s">
        <v>200</v>
      </c>
      <c r="H606" s="2" t="s">
        <v>35</v>
      </c>
    </row>
    <row r="607" spans="1:8" ht="13" hidden="1">
      <c r="A607" s="15">
        <v>45280.902029062505</v>
      </c>
      <c r="B607" s="16">
        <v>45271</v>
      </c>
      <c r="C607" s="2" t="s">
        <v>112</v>
      </c>
      <c r="D607" s="2" t="s">
        <v>38</v>
      </c>
      <c r="E607" s="2">
        <v>110</v>
      </c>
      <c r="F607" s="2" t="s">
        <v>102</v>
      </c>
      <c r="G607" s="2" t="s">
        <v>103</v>
      </c>
      <c r="H607" s="2" t="s">
        <v>35</v>
      </c>
    </row>
    <row r="608" spans="1:8" ht="13" hidden="1">
      <c r="A608" s="15">
        <v>45280.916551712959</v>
      </c>
      <c r="B608" s="16">
        <v>45271</v>
      </c>
      <c r="C608" s="2" t="s">
        <v>18</v>
      </c>
      <c r="D608" s="2" t="s">
        <v>41</v>
      </c>
      <c r="E608" s="2">
        <v>5318</v>
      </c>
      <c r="F608" s="2" t="s">
        <v>100</v>
      </c>
      <c r="H608" s="2" t="s">
        <v>35</v>
      </c>
    </row>
    <row r="609" spans="1:8" ht="13" hidden="1">
      <c r="A609" s="15">
        <v>45280.916769502313</v>
      </c>
      <c r="B609" s="16">
        <v>45271</v>
      </c>
      <c r="C609" s="2" t="s">
        <v>275</v>
      </c>
      <c r="D609" s="2" t="s">
        <v>42</v>
      </c>
      <c r="E609" s="2">
        <v>3465</v>
      </c>
      <c r="F609" s="2" t="s">
        <v>100</v>
      </c>
      <c r="H609" s="2" t="s">
        <v>35</v>
      </c>
    </row>
    <row r="610" spans="1:8" ht="13" hidden="1">
      <c r="A610" s="15">
        <v>45280.902469780092</v>
      </c>
      <c r="B610" s="16">
        <v>45272</v>
      </c>
      <c r="C610" s="2" t="s">
        <v>110</v>
      </c>
      <c r="D610" s="2" t="s">
        <v>38</v>
      </c>
      <c r="E610" s="2">
        <v>259</v>
      </c>
      <c r="F610" s="2" t="s">
        <v>102</v>
      </c>
      <c r="G610" s="2" t="s">
        <v>103</v>
      </c>
      <c r="H610" s="2" t="s">
        <v>35</v>
      </c>
    </row>
    <row r="611" spans="1:8" ht="13" hidden="1">
      <c r="A611" s="15">
        <v>45280.902820069445</v>
      </c>
      <c r="B611" s="16">
        <v>45272</v>
      </c>
      <c r="C611" s="2" t="s">
        <v>241</v>
      </c>
      <c r="D611" s="2" t="s">
        <v>38</v>
      </c>
      <c r="E611" s="2">
        <v>248</v>
      </c>
      <c r="F611" s="2" t="s">
        <v>102</v>
      </c>
      <c r="G611" s="2" t="s">
        <v>103</v>
      </c>
      <c r="H611" s="2" t="s">
        <v>35</v>
      </c>
    </row>
    <row r="612" spans="1:8" ht="13" hidden="1">
      <c r="A612" s="15">
        <v>45280.905921481477</v>
      </c>
      <c r="B612" s="16">
        <v>45272</v>
      </c>
      <c r="C612" s="2" t="s">
        <v>351</v>
      </c>
      <c r="D612" s="2" t="s">
        <v>38</v>
      </c>
      <c r="E612" s="2">
        <v>1200</v>
      </c>
      <c r="F612" s="2" t="s">
        <v>102</v>
      </c>
      <c r="H612" s="2" t="s">
        <v>35</v>
      </c>
    </row>
    <row r="613" spans="1:8" ht="13" hidden="1">
      <c r="A613" s="15">
        <v>45280.903163194445</v>
      </c>
      <c r="B613" s="16">
        <v>45273</v>
      </c>
      <c r="C613" s="2" t="s">
        <v>236</v>
      </c>
      <c r="D613" s="2" t="s">
        <v>43</v>
      </c>
      <c r="E613" s="2">
        <v>305</v>
      </c>
      <c r="F613" s="2" t="s">
        <v>102</v>
      </c>
      <c r="H613" s="2" t="s">
        <v>35</v>
      </c>
    </row>
    <row r="614" spans="1:8" ht="13" hidden="1">
      <c r="A614" s="15">
        <v>45280.903565000001</v>
      </c>
      <c r="B614" s="16">
        <v>45273</v>
      </c>
      <c r="C614" s="2" t="s">
        <v>106</v>
      </c>
      <c r="D614" s="2" t="s">
        <v>38</v>
      </c>
      <c r="E614" s="2">
        <v>1000</v>
      </c>
      <c r="F614" s="2" t="s">
        <v>102</v>
      </c>
      <c r="G614" s="2" t="s">
        <v>194</v>
      </c>
      <c r="H614" s="2" t="s">
        <v>35</v>
      </c>
    </row>
    <row r="615" spans="1:8" ht="13" hidden="1">
      <c r="A615" s="15">
        <v>45280.904186793981</v>
      </c>
      <c r="B615" s="16">
        <v>45273</v>
      </c>
      <c r="C615" s="2" t="s">
        <v>112</v>
      </c>
      <c r="D615" s="2" t="s">
        <v>38</v>
      </c>
      <c r="E615" s="2">
        <v>110</v>
      </c>
      <c r="F615" s="2" t="s">
        <v>102</v>
      </c>
      <c r="G615" s="2" t="s">
        <v>103</v>
      </c>
      <c r="H615" s="2" t="s">
        <v>35</v>
      </c>
    </row>
    <row r="616" spans="1:8" ht="13" hidden="1">
      <c r="A616" s="15">
        <v>45280.917028391203</v>
      </c>
      <c r="B616" s="16">
        <v>45273</v>
      </c>
      <c r="C616" s="2" t="s">
        <v>105</v>
      </c>
      <c r="D616" s="2" t="s">
        <v>41</v>
      </c>
      <c r="E616" s="2">
        <v>1900</v>
      </c>
      <c r="F616" s="2" t="s">
        <v>100</v>
      </c>
      <c r="H616" s="2" t="s">
        <v>35</v>
      </c>
    </row>
    <row r="617" spans="1:8" ht="13" hidden="1">
      <c r="A617" s="15">
        <v>45280.917330763885</v>
      </c>
      <c r="B617" s="16">
        <v>45273</v>
      </c>
      <c r="C617" s="2" t="s">
        <v>275</v>
      </c>
      <c r="D617" s="2" t="s">
        <v>42</v>
      </c>
      <c r="E617" s="2">
        <v>1532</v>
      </c>
      <c r="F617" s="2" t="s">
        <v>100</v>
      </c>
      <c r="H617" s="2" t="s">
        <v>35</v>
      </c>
    </row>
    <row r="618" spans="1:8" ht="13" hidden="1">
      <c r="A618" s="15">
        <v>45280.904465567131</v>
      </c>
      <c r="B618" s="16">
        <v>45274</v>
      </c>
      <c r="C618" s="2" t="s">
        <v>256</v>
      </c>
      <c r="D618" s="2" t="s">
        <v>38</v>
      </c>
      <c r="E618" s="2">
        <v>1200</v>
      </c>
      <c r="F618" s="2" t="s">
        <v>102</v>
      </c>
      <c r="H618" s="2" t="s">
        <v>35</v>
      </c>
    </row>
    <row r="619" spans="1:8" ht="13" hidden="1">
      <c r="A619" s="15">
        <v>45280.906378530097</v>
      </c>
      <c r="B619" s="16">
        <v>45274</v>
      </c>
      <c r="C619" s="2" t="s">
        <v>112</v>
      </c>
      <c r="D619" s="2" t="s">
        <v>38</v>
      </c>
      <c r="E619" s="2">
        <v>110</v>
      </c>
      <c r="F619" s="2" t="s">
        <v>102</v>
      </c>
      <c r="G619" s="2" t="s">
        <v>103</v>
      </c>
      <c r="H619" s="2" t="s">
        <v>35</v>
      </c>
    </row>
    <row r="620" spans="1:8" ht="13" hidden="1">
      <c r="A620" s="15">
        <v>45280.906748402776</v>
      </c>
      <c r="B620" s="16">
        <v>45275</v>
      </c>
      <c r="C620" s="2" t="s">
        <v>110</v>
      </c>
      <c r="D620" s="2" t="s">
        <v>38</v>
      </c>
      <c r="E620" s="2">
        <v>672</v>
      </c>
      <c r="F620" s="2" t="s">
        <v>102</v>
      </c>
      <c r="G620" s="2" t="s">
        <v>383</v>
      </c>
      <c r="H620" s="2" t="s">
        <v>35</v>
      </c>
    </row>
    <row r="621" spans="1:8" ht="13" hidden="1">
      <c r="A621" s="15">
        <v>45280.907099074073</v>
      </c>
      <c r="B621" s="16">
        <v>45275</v>
      </c>
      <c r="C621" s="2" t="s">
        <v>245</v>
      </c>
      <c r="D621" s="2" t="s">
        <v>38</v>
      </c>
      <c r="E621" s="2">
        <v>250</v>
      </c>
      <c r="F621" s="2" t="s">
        <v>102</v>
      </c>
      <c r="G621" s="2" t="s">
        <v>384</v>
      </c>
      <c r="H621" s="2" t="s">
        <v>35</v>
      </c>
    </row>
    <row r="622" spans="1:8" ht="13" hidden="1">
      <c r="A622" s="15">
        <v>45280.907458125002</v>
      </c>
      <c r="B622" s="16">
        <v>45275</v>
      </c>
      <c r="C622" s="2" t="s">
        <v>385</v>
      </c>
      <c r="D622" s="2" t="s">
        <v>39</v>
      </c>
      <c r="E622" s="2">
        <v>3600</v>
      </c>
      <c r="F622" s="2" t="s">
        <v>102</v>
      </c>
      <c r="H622" s="2" t="s">
        <v>35</v>
      </c>
    </row>
    <row r="623" spans="1:8" ht="13" hidden="1">
      <c r="A623" s="15">
        <v>45280.907773125</v>
      </c>
      <c r="B623" s="16">
        <v>45275</v>
      </c>
      <c r="C623" s="2" t="s">
        <v>386</v>
      </c>
      <c r="D623" s="2" t="s">
        <v>38</v>
      </c>
      <c r="E623" s="2">
        <v>324</v>
      </c>
      <c r="F623" s="2" t="s">
        <v>102</v>
      </c>
      <c r="G623" s="2" t="s">
        <v>103</v>
      </c>
      <c r="H623" s="2" t="s">
        <v>35</v>
      </c>
    </row>
    <row r="624" spans="1:8" ht="13" hidden="1">
      <c r="A624" s="15">
        <v>45280.917682905092</v>
      </c>
      <c r="B624" s="16">
        <v>45275</v>
      </c>
      <c r="C624" s="2" t="s">
        <v>105</v>
      </c>
      <c r="D624" s="2" t="s">
        <v>40</v>
      </c>
      <c r="E624" s="2">
        <v>1630</v>
      </c>
      <c r="F624" s="2" t="s">
        <v>100</v>
      </c>
      <c r="H624" s="2" t="s">
        <v>35</v>
      </c>
    </row>
    <row r="625" spans="1:8" ht="13" hidden="1">
      <c r="A625" s="15">
        <v>45280.918048993059</v>
      </c>
      <c r="B625" s="16">
        <v>45275</v>
      </c>
      <c r="C625" s="2" t="s">
        <v>240</v>
      </c>
      <c r="D625" s="2" t="s">
        <v>42</v>
      </c>
      <c r="E625" s="2">
        <v>330</v>
      </c>
      <c r="F625" s="2" t="s">
        <v>100</v>
      </c>
      <c r="H625" s="2" t="s">
        <v>35</v>
      </c>
    </row>
    <row r="626" spans="1:8" ht="13" hidden="1">
      <c r="A626" s="15">
        <v>45280.918332303241</v>
      </c>
      <c r="B626" s="16">
        <v>45275</v>
      </c>
      <c r="C626" s="2" t="s">
        <v>387</v>
      </c>
      <c r="D626" s="2" t="s">
        <v>39</v>
      </c>
      <c r="E626" s="2">
        <v>30900</v>
      </c>
      <c r="F626" s="2" t="s">
        <v>100</v>
      </c>
      <c r="H626" s="2" t="s">
        <v>35</v>
      </c>
    </row>
    <row r="627" spans="1:8" ht="13" hidden="1">
      <c r="A627" s="15">
        <v>45280.918752291662</v>
      </c>
      <c r="B627" s="16">
        <v>45275</v>
      </c>
      <c r="C627" s="2" t="s">
        <v>350</v>
      </c>
      <c r="D627" s="2" t="s">
        <v>40</v>
      </c>
      <c r="E627" s="2">
        <v>2000</v>
      </c>
      <c r="F627" s="2" t="s">
        <v>100</v>
      </c>
      <c r="H627" s="2" t="s">
        <v>35</v>
      </c>
    </row>
    <row r="628" spans="1:8" ht="13" hidden="1">
      <c r="A628" s="15">
        <v>45280.908080011577</v>
      </c>
      <c r="B628" s="16">
        <v>45276</v>
      </c>
      <c r="C628" s="2" t="s">
        <v>114</v>
      </c>
      <c r="D628" s="2" t="s">
        <v>38</v>
      </c>
      <c r="E628" s="2">
        <v>127</v>
      </c>
      <c r="F628" s="2" t="s">
        <v>102</v>
      </c>
      <c r="G628" s="2" t="s">
        <v>103</v>
      </c>
      <c r="H628" s="2" t="s">
        <v>35</v>
      </c>
    </row>
    <row r="629" spans="1:8" ht="13" hidden="1">
      <c r="A629" s="15">
        <v>45280.908367048614</v>
      </c>
      <c r="B629" s="16">
        <v>45276</v>
      </c>
      <c r="C629" s="2" t="s">
        <v>388</v>
      </c>
      <c r="D629" s="2" t="s">
        <v>39</v>
      </c>
      <c r="E629" s="2">
        <v>6000</v>
      </c>
      <c r="F629" s="2" t="s">
        <v>102</v>
      </c>
      <c r="H629" s="2" t="s">
        <v>35</v>
      </c>
    </row>
    <row r="630" spans="1:8" ht="13" hidden="1">
      <c r="A630" s="15">
        <v>45280.908944201394</v>
      </c>
      <c r="B630" s="16">
        <v>45276</v>
      </c>
      <c r="C630" s="2" t="s">
        <v>389</v>
      </c>
      <c r="D630" s="2" t="s">
        <v>38</v>
      </c>
      <c r="E630" s="2">
        <v>1100</v>
      </c>
      <c r="F630" s="2" t="s">
        <v>102</v>
      </c>
      <c r="G630" s="2" t="s">
        <v>390</v>
      </c>
      <c r="H630" s="2" t="s">
        <v>35</v>
      </c>
    </row>
    <row r="631" spans="1:8" ht="13" hidden="1">
      <c r="A631" s="15">
        <v>45280.909309571754</v>
      </c>
      <c r="B631" s="16">
        <v>45276</v>
      </c>
      <c r="C631" s="2" t="s">
        <v>391</v>
      </c>
      <c r="D631" s="2" t="s">
        <v>39</v>
      </c>
      <c r="E631" s="2">
        <v>6300</v>
      </c>
      <c r="F631" s="2" t="s">
        <v>102</v>
      </c>
      <c r="H631" s="2" t="s">
        <v>35</v>
      </c>
    </row>
    <row r="632" spans="1:8" ht="13" hidden="1">
      <c r="A632" s="15">
        <v>45280.908686481482</v>
      </c>
      <c r="B632" s="16">
        <v>45277</v>
      </c>
      <c r="C632" s="2" t="s">
        <v>114</v>
      </c>
      <c r="D632" s="2" t="s">
        <v>38</v>
      </c>
      <c r="E632" s="2">
        <v>170</v>
      </c>
      <c r="F632" s="2" t="s">
        <v>102</v>
      </c>
      <c r="G632" s="2" t="s">
        <v>103</v>
      </c>
      <c r="H632" s="2" t="s">
        <v>35</v>
      </c>
    </row>
    <row r="633" spans="1:8" ht="13" hidden="1">
      <c r="A633" s="15">
        <v>45280.909672372683</v>
      </c>
      <c r="B633" s="16">
        <v>45277</v>
      </c>
      <c r="C633" s="2" t="s">
        <v>111</v>
      </c>
      <c r="D633" s="2" t="s">
        <v>39</v>
      </c>
      <c r="E633" s="2">
        <v>1100</v>
      </c>
      <c r="F633" s="2" t="s">
        <v>102</v>
      </c>
      <c r="G633" s="2" t="s">
        <v>392</v>
      </c>
      <c r="H633" s="2" t="s">
        <v>35</v>
      </c>
    </row>
    <row r="634" spans="1:8" ht="13" hidden="1">
      <c r="A634" s="15">
        <v>45280.910094224542</v>
      </c>
      <c r="B634" s="16">
        <v>45277</v>
      </c>
      <c r="C634" s="2" t="s">
        <v>112</v>
      </c>
      <c r="D634" s="2" t="s">
        <v>39</v>
      </c>
      <c r="E634" s="2">
        <v>1050</v>
      </c>
      <c r="F634" s="2" t="s">
        <v>102</v>
      </c>
      <c r="G634" s="2" t="s">
        <v>393</v>
      </c>
      <c r="H634" s="2" t="s">
        <v>35</v>
      </c>
    </row>
    <row r="635" spans="1:8" ht="13" hidden="1">
      <c r="A635" s="15">
        <v>45280.910475543977</v>
      </c>
      <c r="B635" s="16">
        <v>45277</v>
      </c>
      <c r="C635" s="2" t="s">
        <v>394</v>
      </c>
      <c r="D635" s="2" t="s">
        <v>38</v>
      </c>
      <c r="E635" s="2">
        <v>332</v>
      </c>
      <c r="F635" s="2" t="s">
        <v>102</v>
      </c>
      <c r="G635" s="2" t="s">
        <v>103</v>
      </c>
      <c r="H635" s="2" t="s">
        <v>35</v>
      </c>
    </row>
    <row r="636" spans="1:8" ht="13" hidden="1">
      <c r="A636" s="15">
        <v>45280.919098460647</v>
      </c>
      <c r="B636" s="16">
        <v>45277</v>
      </c>
      <c r="C636" s="2" t="s">
        <v>368</v>
      </c>
      <c r="D636" s="2" t="s">
        <v>39</v>
      </c>
      <c r="E636" s="2">
        <v>1180</v>
      </c>
      <c r="F636" s="2" t="s">
        <v>100</v>
      </c>
      <c r="H636" s="2" t="s">
        <v>35</v>
      </c>
    </row>
    <row r="637" spans="1:8" ht="13" hidden="1">
      <c r="A637" s="15">
        <v>45280.910735497688</v>
      </c>
      <c r="B637" s="16">
        <v>45278</v>
      </c>
      <c r="C637" s="2" t="s">
        <v>207</v>
      </c>
      <c r="D637" s="2" t="s">
        <v>39</v>
      </c>
      <c r="E637" s="2">
        <v>1555</v>
      </c>
      <c r="F637" s="2" t="s">
        <v>102</v>
      </c>
      <c r="H637" s="2" t="s">
        <v>35</v>
      </c>
    </row>
    <row r="638" spans="1:8" ht="13" hidden="1">
      <c r="A638" s="15">
        <v>45284.593841307869</v>
      </c>
      <c r="B638" s="16">
        <v>45278</v>
      </c>
      <c r="C638" s="2" t="s">
        <v>395</v>
      </c>
      <c r="D638" s="2" t="s">
        <v>152</v>
      </c>
      <c r="E638" s="2">
        <v>1650</v>
      </c>
      <c r="F638" s="2" t="s">
        <v>100</v>
      </c>
      <c r="G638" s="2" t="s">
        <v>396</v>
      </c>
      <c r="H638" s="2" t="s">
        <v>35</v>
      </c>
    </row>
    <row r="639" spans="1:8" ht="13" hidden="1">
      <c r="A639" s="15">
        <v>45284.59416414352</v>
      </c>
      <c r="B639" s="16">
        <v>45278</v>
      </c>
      <c r="C639" s="2" t="s">
        <v>350</v>
      </c>
      <c r="D639" s="2" t="s">
        <v>40</v>
      </c>
      <c r="E639" s="2">
        <v>1000</v>
      </c>
      <c r="F639" s="2" t="s">
        <v>100</v>
      </c>
      <c r="H639" s="2" t="s">
        <v>35</v>
      </c>
    </row>
    <row r="640" spans="1:8" ht="13" hidden="1">
      <c r="A640" s="15">
        <v>45284.594583206017</v>
      </c>
      <c r="B640" s="16">
        <v>45278</v>
      </c>
      <c r="C640" s="2" t="s">
        <v>22</v>
      </c>
      <c r="D640" s="2" t="s">
        <v>39</v>
      </c>
      <c r="E640" s="2">
        <v>2310</v>
      </c>
      <c r="F640" s="2" t="s">
        <v>100</v>
      </c>
      <c r="H640" s="2" t="s">
        <v>35</v>
      </c>
    </row>
    <row r="641" spans="1:8" ht="13" hidden="1">
      <c r="A641" s="15">
        <v>45280.9110803125</v>
      </c>
      <c r="B641" s="16">
        <v>45279</v>
      </c>
      <c r="C641" s="2" t="s">
        <v>116</v>
      </c>
      <c r="D641" s="2" t="s">
        <v>38</v>
      </c>
      <c r="E641" s="2">
        <v>2044</v>
      </c>
      <c r="F641" s="2" t="s">
        <v>102</v>
      </c>
      <c r="G641" s="2" t="s">
        <v>145</v>
      </c>
      <c r="H641" s="2" t="s">
        <v>35</v>
      </c>
    </row>
    <row r="642" spans="1:8" ht="13" hidden="1">
      <c r="A642" s="15">
        <v>45284.594796226855</v>
      </c>
      <c r="B642" s="16">
        <v>45279</v>
      </c>
      <c r="C642" s="2" t="s">
        <v>240</v>
      </c>
      <c r="D642" s="2" t="s">
        <v>42</v>
      </c>
      <c r="E642" s="2">
        <v>990</v>
      </c>
      <c r="F642" s="2" t="s">
        <v>100</v>
      </c>
      <c r="H642" s="2" t="s">
        <v>35</v>
      </c>
    </row>
    <row r="643" spans="1:8" ht="13" hidden="1">
      <c r="A643" s="15">
        <v>45280.911346006949</v>
      </c>
      <c r="B643" s="16">
        <v>45280</v>
      </c>
      <c r="C643" s="2" t="s">
        <v>184</v>
      </c>
      <c r="D643" s="2" t="s">
        <v>38</v>
      </c>
      <c r="E643" s="2">
        <v>1100</v>
      </c>
      <c r="F643" s="2" t="s">
        <v>102</v>
      </c>
      <c r="G643" s="2" t="s">
        <v>103</v>
      </c>
      <c r="H643" s="2" t="s">
        <v>35</v>
      </c>
    </row>
    <row r="644" spans="1:8" ht="13" hidden="1">
      <c r="A644" s="15">
        <v>45280.912812766204</v>
      </c>
      <c r="B644" s="16">
        <v>45280</v>
      </c>
      <c r="C644" s="2" t="s">
        <v>112</v>
      </c>
      <c r="D644" s="2" t="s">
        <v>38</v>
      </c>
      <c r="E644" s="2">
        <v>110</v>
      </c>
      <c r="F644" s="2" t="s">
        <v>102</v>
      </c>
      <c r="G644" s="2" t="s">
        <v>103</v>
      </c>
      <c r="H644" s="2" t="s">
        <v>35</v>
      </c>
    </row>
    <row r="645" spans="1:8" ht="13" hidden="1">
      <c r="A645" s="15">
        <v>45280.913102650462</v>
      </c>
      <c r="B645" s="16">
        <v>45280</v>
      </c>
      <c r="C645" s="2" t="s">
        <v>116</v>
      </c>
      <c r="D645" s="2" t="s">
        <v>38</v>
      </c>
      <c r="E645" s="2">
        <v>1084</v>
      </c>
      <c r="F645" s="2" t="s">
        <v>102</v>
      </c>
      <c r="G645" s="2" t="s">
        <v>145</v>
      </c>
      <c r="H645" s="2" t="s">
        <v>35</v>
      </c>
    </row>
    <row r="646" spans="1:8" ht="13" hidden="1">
      <c r="A646" s="15">
        <v>45284.595201319447</v>
      </c>
      <c r="B646" s="16">
        <v>45280</v>
      </c>
      <c r="C646" s="2" t="s">
        <v>24</v>
      </c>
      <c r="D646" s="2" t="s">
        <v>49</v>
      </c>
      <c r="E646" s="2">
        <v>1100</v>
      </c>
      <c r="F646" s="2" t="s">
        <v>100</v>
      </c>
      <c r="H646" s="2" t="s">
        <v>35</v>
      </c>
    </row>
    <row r="647" spans="1:8" ht="13" hidden="1">
      <c r="A647" s="15">
        <v>45280.919441030092</v>
      </c>
      <c r="B647" s="16">
        <v>45280</v>
      </c>
      <c r="C647" s="2" t="s">
        <v>87</v>
      </c>
      <c r="E647" s="2">
        <v>20000</v>
      </c>
      <c r="H647" s="2" t="s">
        <v>34</v>
      </c>
    </row>
    <row r="648" spans="1:8" ht="13" hidden="1">
      <c r="A648" s="15">
        <v>45284.590457233797</v>
      </c>
      <c r="B648" s="16">
        <v>45281</v>
      </c>
      <c r="C648" s="2" t="s">
        <v>106</v>
      </c>
      <c r="D648" s="2" t="s">
        <v>38</v>
      </c>
      <c r="E648" s="2">
        <v>980</v>
      </c>
      <c r="F648" s="2" t="s">
        <v>102</v>
      </c>
      <c r="G648" s="2" t="s">
        <v>194</v>
      </c>
      <c r="H648" s="2" t="s">
        <v>35</v>
      </c>
    </row>
    <row r="649" spans="1:8" ht="13" hidden="1">
      <c r="A649" s="15">
        <v>45284.590886909718</v>
      </c>
      <c r="B649" s="16">
        <v>45281</v>
      </c>
      <c r="C649" s="2" t="s">
        <v>112</v>
      </c>
      <c r="D649" s="2" t="s">
        <v>38</v>
      </c>
      <c r="E649" s="2">
        <v>110</v>
      </c>
      <c r="F649" s="2" t="s">
        <v>102</v>
      </c>
      <c r="G649" s="2" t="s">
        <v>103</v>
      </c>
      <c r="H649" s="2" t="s">
        <v>35</v>
      </c>
    </row>
    <row r="650" spans="1:8" ht="13" hidden="1">
      <c r="A650" s="15">
        <v>45284.595791770829</v>
      </c>
      <c r="B650" s="16">
        <v>45281</v>
      </c>
      <c r="C650" s="2" t="s">
        <v>397</v>
      </c>
      <c r="D650" s="2" t="s">
        <v>45</v>
      </c>
      <c r="E650" s="2">
        <v>3780</v>
      </c>
      <c r="F650" s="2" t="s">
        <v>100</v>
      </c>
      <c r="G650" s="2" t="s">
        <v>129</v>
      </c>
      <c r="H650" s="2" t="s">
        <v>35</v>
      </c>
    </row>
    <row r="651" spans="1:8" ht="13" hidden="1">
      <c r="A651" s="15">
        <v>45290.715130810189</v>
      </c>
      <c r="B651" s="16">
        <v>45281</v>
      </c>
      <c r="C651" s="2" t="s">
        <v>350</v>
      </c>
      <c r="D651" s="2" t="s">
        <v>40</v>
      </c>
      <c r="E651" s="2">
        <v>1000</v>
      </c>
      <c r="F651" s="2" t="s">
        <v>100</v>
      </c>
      <c r="H651" s="2" t="s">
        <v>35</v>
      </c>
    </row>
    <row r="652" spans="1:8" ht="13" hidden="1">
      <c r="A652" s="15">
        <v>45284.591341319443</v>
      </c>
      <c r="B652" s="16">
        <v>45282</v>
      </c>
      <c r="C652" s="2" t="s">
        <v>398</v>
      </c>
      <c r="D652" s="2" t="s">
        <v>38</v>
      </c>
      <c r="E652" s="2">
        <v>116</v>
      </c>
      <c r="F652" s="2" t="s">
        <v>102</v>
      </c>
      <c r="G652" s="2" t="s">
        <v>103</v>
      </c>
      <c r="H652" s="2" t="s">
        <v>35</v>
      </c>
    </row>
    <row r="653" spans="1:8" ht="13" hidden="1">
      <c r="A653" s="15">
        <v>45290.715423379632</v>
      </c>
      <c r="B653" s="16">
        <v>45282</v>
      </c>
      <c r="C653" s="2" t="s">
        <v>105</v>
      </c>
      <c r="D653" s="2" t="s">
        <v>40</v>
      </c>
      <c r="E653" s="2">
        <v>6000</v>
      </c>
      <c r="F653" s="2" t="s">
        <v>100</v>
      </c>
      <c r="H653" s="2" t="s">
        <v>35</v>
      </c>
    </row>
    <row r="654" spans="1:8" ht="13" hidden="1">
      <c r="A654" s="15">
        <v>45284.591665590277</v>
      </c>
      <c r="B654" s="16">
        <v>45283</v>
      </c>
      <c r="C654" s="2" t="s">
        <v>399</v>
      </c>
      <c r="D654" s="2" t="s">
        <v>45</v>
      </c>
      <c r="E654" s="2">
        <v>110</v>
      </c>
      <c r="F654" s="2" t="s">
        <v>102</v>
      </c>
      <c r="G654" s="2" t="s">
        <v>136</v>
      </c>
      <c r="H654" s="2" t="s">
        <v>35</v>
      </c>
    </row>
    <row r="655" spans="1:8" ht="13" hidden="1">
      <c r="A655" s="15">
        <v>45284.591959513884</v>
      </c>
      <c r="B655" s="16">
        <v>45283</v>
      </c>
      <c r="C655" s="2" t="s">
        <v>116</v>
      </c>
      <c r="D655" s="2" t="s">
        <v>38</v>
      </c>
      <c r="E655" s="2">
        <v>697</v>
      </c>
      <c r="F655" s="2" t="s">
        <v>102</v>
      </c>
      <c r="G655" s="2" t="s">
        <v>145</v>
      </c>
      <c r="H655" s="2" t="s">
        <v>35</v>
      </c>
    </row>
    <row r="656" spans="1:8" ht="13" hidden="1">
      <c r="A656" s="15">
        <v>45284.592269201385</v>
      </c>
      <c r="B656" s="16">
        <v>45283</v>
      </c>
      <c r="C656" s="2" t="s">
        <v>400</v>
      </c>
      <c r="D656" s="2" t="s">
        <v>38</v>
      </c>
      <c r="E656" s="2">
        <v>968</v>
      </c>
      <c r="F656" s="2" t="s">
        <v>102</v>
      </c>
      <c r="G656" s="2" t="s">
        <v>401</v>
      </c>
      <c r="H656" s="2" t="s">
        <v>35</v>
      </c>
    </row>
    <row r="657" spans="1:8" ht="13" hidden="1">
      <c r="A657" s="15">
        <v>45290.715756886573</v>
      </c>
      <c r="B657" s="16">
        <v>45283</v>
      </c>
      <c r="C657" s="2" t="s">
        <v>105</v>
      </c>
      <c r="D657" s="2" t="s">
        <v>40</v>
      </c>
      <c r="E657" s="2">
        <v>6900</v>
      </c>
      <c r="F657" s="2" t="s">
        <v>100</v>
      </c>
      <c r="H657" s="2" t="s">
        <v>35</v>
      </c>
    </row>
    <row r="658" spans="1:8" ht="13" hidden="1">
      <c r="A658" s="15">
        <v>45284.592561724538</v>
      </c>
      <c r="B658" s="16">
        <v>45284</v>
      </c>
      <c r="C658" s="2" t="s">
        <v>116</v>
      </c>
      <c r="D658" s="2" t="s">
        <v>38</v>
      </c>
      <c r="E658" s="2">
        <v>1918</v>
      </c>
      <c r="F658" s="2" t="s">
        <v>102</v>
      </c>
      <c r="G658" s="2" t="s">
        <v>145</v>
      </c>
      <c r="H658" s="2" t="s">
        <v>35</v>
      </c>
    </row>
    <row r="659" spans="1:8" ht="13" hidden="1">
      <c r="A659" s="15">
        <v>45290.716058136575</v>
      </c>
      <c r="B659" s="16">
        <v>45284</v>
      </c>
      <c r="C659" s="2" t="s">
        <v>402</v>
      </c>
      <c r="D659" s="2" t="s">
        <v>45</v>
      </c>
      <c r="E659" s="2">
        <v>922</v>
      </c>
      <c r="F659" s="2" t="s">
        <v>100</v>
      </c>
      <c r="G659" s="2" t="s">
        <v>129</v>
      </c>
      <c r="H659" s="2" t="s">
        <v>35</v>
      </c>
    </row>
    <row r="660" spans="1:8" ht="13" hidden="1">
      <c r="A660" s="15">
        <v>45285.411840219909</v>
      </c>
      <c r="B660" s="16">
        <v>45285</v>
      </c>
      <c r="C660" s="2" t="s">
        <v>403</v>
      </c>
      <c r="E660" s="2">
        <v>297889</v>
      </c>
      <c r="H660" s="2" t="s">
        <v>34</v>
      </c>
    </row>
    <row r="661" spans="1:8" ht="13" hidden="1">
      <c r="A661" s="15">
        <v>45290.708696180554</v>
      </c>
      <c r="B661" s="16">
        <v>45285</v>
      </c>
      <c r="C661" s="2" t="s">
        <v>112</v>
      </c>
      <c r="D661" s="2" t="s">
        <v>38</v>
      </c>
      <c r="E661" s="2">
        <v>120</v>
      </c>
      <c r="F661" s="2" t="s">
        <v>102</v>
      </c>
      <c r="G661" s="2" t="s">
        <v>356</v>
      </c>
      <c r="H661" s="2" t="s">
        <v>35</v>
      </c>
    </row>
    <row r="662" spans="1:8" ht="13" hidden="1">
      <c r="A662" s="15">
        <v>45290.709126018519</v>
      </c>
      <c r="B662" s="16">
        <v>45285</v>
      </c>
      <c r="C662" s="2" t="s">
        <v>106</v>
      </c>
      <c r="D662" s="2" t="s">
        <v>38</v>
      </c>
      <c r="E662" s="2">
        <v>1480</v>
      </c>
      <c r="F662" s="2" t="s">
        <v>102</v>
      </c>
      <c r="G662" s="2" t="s">
        <v>404</v>
      </c>
      <c r="H662" s="2" t="s">
        <v>35</v>
      </c>
    </row>
    <row r="663" spans="1:8" ht="13" hidden="1">
      <c r="A663" s="15">
        <v>45290.709474143514</v>
      </c>
      <c r="B663" s="16">
        <v>45285</v>
      </c>
      <c r="C663" s="2" t="s">
        <v>112</v>
      </c>
      <c r="D663" s="2" t="s">
        <v>38</v>
      </c>
      <c r="E663" s="2">
        <v>110</v>
      </c>
      <c r="F663" s="2" t="s">
        <v>102</v>
      </c>
      <c r="G663" s="2" t="s">
        <v>103</v>
      </c>
      <c r="H663" s="2" t="s">
        <v>35</v>
      </c>
    </row>
    <row r="664" spans="1:8" ht="13" hidden="1">
      <c r="A664" s="15">
        <v>45290.709914259263</v>
      </c>
      <c r="B664" s="16">
        <v>45285</v>
      </c>
      <c r="C664" s="2" t="s">
        <v>116</v>
      </c>
      <c r="D664" s="2" t="s">
        <v>38</v>
      </c>
      <c r="E664" s="2">
        <v>752</v>
      </c>
      <c r="F664" s="2" t="s">
        <v>102</v>
      </c>
      <c r="G664" s="2" t="s">
        <v>145</v>
      </c>
      <c r="H664" s="2" t="s">
        <v>35</v>
      </c>
    </row>
    <row r="665" spans="1:8" ht="13" hidden="1">
      <c r="A665" s="15">
        <v>45290.710437546295</v>
      </c>
      <c r="B665" s="16">
        <v>45286</v>
      </c>
      <c r="C665" s="2" t="s">
        <v>106</v>
      </c>
      <c r="D665" s="2" t="s">
        <v>38</v>
      </c>
      <c r="E665" s="2">
        <v>1100</v>
      </c>
      <c r="F665" s="2" t="s">
        <v>102</v>
      </c>
      <c r="G665" s="2" t="s">
        <v>191</v>
      </c>
      <c r="H665" s="2" t="s">
        <v>35</v>
      </c>
    </row>
    <row r="666" spans="1:8" ht="13" hidden="1">
      <c r="A666" s="15">
        <v>45253.645375115739</v>
      </c>
      <c r="B666" s="16">
        <v>45287</v>
      </c>
      <c r="C666" s="2" t="s">
        <v>405</v>
      </c>
      <c r="D666" s="2" t="s">
        <v>5</v>
      </c>
      <c r="E666" s="2">
        <v>93000</v>
      </c>
      <c r="F666" s="2" t="s">
        <v>102</v>
      </c>
      <c r="H666" s="2" t="s">
        <v>35</v>
      </c>
    </row>
    <row r="667" spans="1:8" ht="13" hidden="1">
      <c r="A667" s="15">
        <v>45253.64575354167</v>
      </c>
      <c r="B667" s="16">
        <v>45287</v>
      </c>
      <c r="C667" s="2" t="s">
        <v>17</v>
      </c>
      <c r="D667" s="2" t="s">
        <v>45</v>
      </c>
      <c r="E667" s="2">
        <v>8470</v>
      </c>
      <c r="F667" s="2" t="s">
        <v>102</v>
      </c>
      <c r="H667" s="2" t="s">
        <v>35</v>
      </c>
    </row>
    <row r="668" spans="1:8" ht="13" hidden="1">
      <c r="A668" s="15">
        <v>45253.646113078707</v>
      </c>
      <c r="B668" s="16">
        <v>45287</v>
      </c>
      <c r="C668" s="2" t="s">
        <v>11</v>
      </c>
      <c r="D668" s="2" t="s">
        <v>47</v>
      </c>
      <c r="E668" s="2">
        <v>30000</v>
      </c>
      <c r="F668" s="2" t="s">
        <v>102</v>
      </c>
      <c r="H668" s="2" t="s">
        <v>35</v>
      </c>
    </row>
    <row r="669" spans="1:8" ht="13" hidden="1">
      <c r="A669" s="15">
        <v>45253.646530763886</v>
      </c>
      <c r="B669" s="16">
        <v>45287</v>
      </c>
      <c r="C669" s="2" t="s">
        <v>239</v>
      </c>
      <c r="D669" s="2" t="s">
        <v>47</v>
      </c>
      <c r="E669" s="2">
        <v>16000</v>
      </c>
      <c r="F669" s="2" t="s">
        <v>102</v>
      </c>
      <c r="H669" s="2" t="s">
        <v>35</v>
      </c>
    </row>
    <row r="670" spans="1:8" ht="13" hidden="1">
      <c r="A670" s="15">
        <v>45253.647011226851</v>
      </c>
      <c r="B670" s="16">
        <v>45287</v>
      </c>
      <c r="C670" s="2" t="s">
        <v>406</v>
      </c>
      <c r="D670" s="2" t="s">
        <v>47</v>
      </c>
      <c r="E670" s="2">
        <v>3400</v>
      </c>
      <c r="F670" s="2" t="s">
        <v>102</v>
      </c>
      <c r="H670" s="2" t="s">
        <v>35</v>
      </c>
    </row>
    <row r="671" spans="1:8" ht="13" hidden="1">
      <c r="A671" s="15">
        <v>45253.647339363422</v>
      </c>
      <c r="B671" s="16">
        <v>45287</v>
      </c>
      <c r="C671" s="2" t="s">
        <v>9</v>
      </c>
      <c r="D671" s="2" t="s">
        <v>47</v>
      </c>
      <c r="E671" s="2">
        <v>13600</v>
      </c>
      <c r="F671" s="2" t="s">
        <v>102</v>
      </c>
      <c r="H671" s="2" t="s">
        <v>35</v>
      </c>
    </row>
    <row r="672" spans="1:8" ht="13" hidden="1">
      <c r="A672" s="15">
        <v>45290.710802164351</v>
      </c>
      <c r="B672" s="16">
        <v>45287</v>
      </c>
      <c r="C672" s="2" t="s">
        <v>110</v>
      </c>
      <c r="D672" s="2" t="s">
        <v>38</v>
      </c>
      <c r="E672" s="2">
        <v>258</v>
      </c>
      <c r="F672" s="2" t="s">
        <v>102</v>
      </c>
      <c r="G672" s="2" t="s">
        <v>356</v>
      </c>
      <c r="H672" s="2" t="s">
        <v>35</v>
      </c>
    </row>
    <row r="673" spans="1:8" ht="13" hidden="1">
      <c r="A673" s="15">
        <v>45290.711114386577</v>
      </c>
      <c r="B673" s="16">
        <v>45287</v>
      </c>
      <c r="C673" s="2" t="s">
        <v>106</v>
      </c>
      <c r="D673" s="2" t="s">
        <v>38</v>
      </c>
      <c r="E673" s="2">
        <v>473</v>
      </c>
      <c r="F673" s="2" t="s">
        <v>102</v>
      </c>
      <c r="G673" s="2" t="s">
        <v>103</v>
      </c>
      <c r="H673" s="2" t="s">
        <v>35</v>
      </c>
    </row>
    <row r="674" spans="1:8" ht="13" hidden="1">
      <c r="A674" s="15">
        <v>45290.711388425931</v>
      </c>
      <c r="B674" s="16">
        <v>45287</v>
      </c>
      <c r="C674" s="2" t="s">
        <v>112</v>
      </c>
      <c r="D674" s="2" t="s">
        <v>38</v>
      </c>
      <c r="E674" s="2">
        <v>110</v>
      </c>
      <c r="F674" s="2" t="s">
        <v>102</v>
      </c>
      <c r="G674" s="2" t="s">
        <v>103</v>
      </c>
      <c r="H674" s="2" t="s">
        <v>35</v>
      </c>
    </row>
    <row r="675" spans="1:8" ht="13" hidden="1">
      <c r="A675" s="15">
        <v>45290.711785486114</v>
      </c>
      <c r="B675" s="16">
        <v>45287</v>
      </c>
      <c r="C675" s="2" t="s">
        <v>116</v>
      </c>
      <c r="D675" s="2" t="s">
        <v>38</v>
      </c>
      <c r="E675" s="2">
        <v>241</v>
      </c>
      <c r="F675" s="2" t="s">
        <v>102</v>
      </c>
      <c r="G675" s="2" t="s">
        <v>103</v>
      </c>
      <c r="H675" s="2" t="s">
        <v>35</v>
      </c>
    </row>
    <row r="676" spans="1:8" ht="13" hidden="1">
      <c r="A676" s="15">
        <v>45290.716349131944</v>
      </c>
      <c r="B676" s="16">
        <v>45287</v>
      </c>
      <c r="C676" s="2" t="s">
        <v>407</v>
      </c>
      <c r="D676" s="2" t="s">
        <v>39</v>
      </c>
      <c r="E676" s="2">
        <v>17030</v>
      </c>
      <c r="F676" s="2" t="s">
        <v>100</v>
      </c>
      <c r="H676" s="2" t="s">
        <v>35</v>
      </c>
    </row>
    <row r="677" spans="1:8" ht="13" hidden="1">
      <c r="A677" s="15">
        <v>45290.717233958334</v>
      </c>
      <c r="B677" s="16">
        <v>45287</v>
      </c>
      <c r="C677" s="2" t="s">
        <v>408</v>
      </c>
      <c r="D677" s="2" t="s">
        <v>152</v>
      </c>
      <c r="E677" s="2">
        <v>10000</v>
      </c>
      <c r="F677" s="2" t="s">
        <v>100</v>
      </c>
      <c r="H677" s="2" t="s">
        <v>35</v>
      </c>
    </row>
    <row r="678" spans="1:8" ht="13" hidden="1">
      <c r="A678" s="15">
        <v>45293.68160369213</v>
      </c>
      <c r="B678" s="16">
        <v>45287</v>
      </c>
      <c r="C678" s="2" t="s">
        <v>409</v>
      </c>
      <c r="D678" s="2" t="s">
        <v>40</v>
      </c>
      <c r="E678" s="2">
        <v>15301</v>
      </c>
      <c r="F678" s="2" t="s">
        <v>100</v>
      </c>
      <c r="G678" s="2" t="s">
        <v>410</v>
      </c>
      <c r="H678" s="2" t="s">
        <v>35</v>
      </c>
    </row>
    <row r="679" spans="1:8" ht="13" hidden="1">
      <c r="A679" s="15">
        <v>45290.712084502316</v>
      </c>
      <c r="B679" s="16">
        <v>45288</v>
      </c>
      <c r="C679" s="2" t="s">
        <v>106</v>
      </c>
      <c r="D679" s="2" t="s">
        <v>38</v>
      </c>
      <c r="E679" s="2">
        <v>1130</v>
      </c>
      <c r="F679" s="2" t="s">
        <v>102</v>
      </c>
      <c r="G679" s="2" t="s">
        <v>191</v>
      </c>
      <c r="H679" s="2" t="s">
        <v>35</v>
      </c>
    </row>
    <row r="680" spans="1:8" ht="13" hidden="1">
      <c r="A680" s="15">
        <v>45290.712405995371</v>
      </c>
      <c r="B680" s="16">
        <v>45288</v>
      </c>
      <c r="C680" s="2" t="s">
        <v>116</v>
      </c>
      <c r="D680" s="2" t="s">
        <v>38</v>
      </c>
      <c r="E680" s="2">
        <v>639</v>
      </c>
      <c r="F680" s="2" t="s">
        <v>102</v>
      </c>
      <c r="G680" s="2" t="s">
        <v>145</v>
      </c>
      <c r="H680" s="2" t="s">
        <v>35</v>
      </c>
    </row>
    <row r="681" spans="1:8" ht="13" hidden="1">
      <c r="A681" s="15">
        <v>45299.760256307869</v>
      </c>
      <c r="B681" s="16">
        <v>45288</v>
      </c>
      <c r="C681" s="2" t="s">
        <v>158</v>
      </c>
      <c r="D681" s="2" t="s">
        <v>49</v>
      </c>
      <c r="E681" s="2">
        <v>4980</v>
      </c>
      <c r="F681" s="2" t="s">
        <v>100</v>
      </c>
      <c r="G681" s="2" t="s">
        <v>298</v>
      </c>
      <c r="H681" s="2" t="s">
        <v>35</v>
      </c>
    </row>
    <row r="682" spans="1:8" ht="13" hidden="1">
      <c r="A682" s="15">
        <v>45290.712787291668</v>
      </c>
      <c r="B682" s="16">
        <v>45289</v>
      </c>
      <c r="C682" s="2" t="s">
        <v>411</v>
      </c>
      <c r="D682" s="2" t="s">
        <v>45</v>
      </c>
      <c r="E682" s="2">
        <v>550</v>
      </c>
      <c r="F682" s="2" t="s">
        <v>102</v>
      </c>
      <c r="G682" s="2" t="s">
        <v>136</v>
      </c>
      <c r="H682" s="2" t="s">
        <v>35</v>
      </c>
    </row>
    <row r="683" spans="1:8" ht="13" hidden="1">
      <c r="A683" s="15">
        <v>45290.713081145834</v>
      </c>
      <c r="B683" s="16">
        <v>45289</v>
      </c>
      <c r="C683" s="2" t="s">
        <v>116</v>
      </c>
      <c r="D683" s="2" t="s">
        <v>38</v>
      </c>
      <c r="E683" s="2">
        <v>1820</v>
      </c>
      <c r="F683" s="2" t="s">
        <v>102</v>
      </c>
      <c r="G683" s="2" t="s">
        <v>145</v>
      </c>
      <c r="H683" s="2" t="s">
        <v>35</v>
      </c>
    </row>
    <row r="684" spans="1:8" ht="13" hidden="1">
      <c r="A684" s="15">
        <v>45290.713449560186</v>
      </c>
      <c r="B684" s="16">
        <v>45289</v>
      </c>
      <c r="C684" s="2" t="s">
        <v>412</v>
      </c>
      <c r="D684" s="2" t="s">
        <v>45</v>
      </c>
      <c r="E684" s="2">
        <v>877</v>
      </c>
      <c r="F684" s="2" t="s">
        <v>102</v>
      </c>
      <c r="H684" s="2" t="s">
        <v>35</v>
      </c>
    </row>
    <row r="685" spans="1:8" ht="13" hidden="1">
      <c r="A685" s="15">
        <v>45299.761013738425</v>
      </c>
      <c r="B685" s="16">
        <v>45289</v>
      </c>
      <c r="C685" s="2" t="s">
        <v>413</v>
      </c>
      <c r="D685" s="2" t="s">
        <v>45</v>
      </c>
      <c r="E685" s="2">
        <v>17800</v>
      </c>
      <c r="F685" s="2" t="s">
        <v>100</v>
      </c>
      <c r="G685" s="2" t="s">
        <v>129</v>
      </c>
      <c r="H685" s="2" t="s">
        <v>35</v>
      </c>
    </row>
    <row r="686" spans="1:8" ht="13" hidden="1">
      <c r="A686" s="15">
        <v>45299.761457754634</v>
      </c>
      <c r="B686" s="16">
        <v>45289</v>
      </c>
      <c r="C686" s="2" t="s">
        <v>204</v>
      </c>
      <c r="D686" s="2" t="s">
        <v>45</v>
      </c>
      <c r="E686" s="2">
        <v>4400</v>
      </c>
      <c r="F686" s="2" t="s">
        <v>100</v>
      </c>
      <c r="G686" s="2" t="s">
        <v>325</v>
      </c>
      <c r="H686" s="2" t="s">
        <v>35</v>
      </c>
    </row>
    <row r="687" spans="1:8" ht="13" hidden="1">
      <c r="A687" s="15">
        <v>45299.761848344904</v>
      </c>
      <c r="B687" s="16">
        <v>45289</v>
      </c>
      <c r="C687" s="2" t="s">
        <v>414</v>
      </c>
      <c r="D687" s="2" t="s">
        <v>45</v>
      </c>
      <c r="E687" s="2">
        <v>1390</v>
      </c>
      <c r="F687" s="2" t="s">
        <v>100</v>
      </c>
      <c r="G687" s="2" t="s">
        <v>129</v>
      </c>
      <c r="H687" s="2" t="s">
        <v>35</v>
      </c>
    </row>
    <row r="688" spans="1:8" ht="13" hidden="1">
      <c r="A688" s="15">
        <v>45290.713768171292</v>
      </c>
      <c r="B688" s="16">
        <v>45290</v>
      </c>
      <c r="C688" s="2" t="s">
        <v>163</v>
      </c>
      <c r="D688" s="2" t="s">
        <v>38</v>
      </c>
      <c r="E688" s="2">
        <v>1680</v>
      </c>
      <c r="F688" s="2" t="s">
        <v>102</v>
      </c>
      <c r="G688" s="2" t="s">
        <v>164</v>
      </c>
      <c r="H688" s="2" t="s">
        <v>35</v>
      </c>
    </row>
    <row r="689" spans="1:8" ht="13" hidden="1">
      <c r="A689" s="15">
        <v>45290.714133912035</v>
      </c>
      <c r="B689" s="16">
        <v>45290</v>
      </c>
      <c r="C689" s="2" t="s">
        <v>116</v>
      </c>
      <c r="D689" s="2" t="s">
        <v>38</v>
      </c>
      <c r="E689" s="2">
        <v>1161</v>
      </c>
      <c r="F689" s="2" t="s">
        <v>102</v>
      </c>
      <c r="G689" s="2" t="s">
        <v>145</v>
      </c>
      <c r="H689" s="2" t="s">
        <v>35</v>
      </c>
    </row>
    <row r="690" spans="1:8" ht="13" hidden="1">
      <c r="A690" s="15">
        <v>45293.676942013888</v>
      </c>
      <c r="B690" s="16">
        <v>45291</v>
      </c>
      <c r="C690" s="2" t="s">
        <v>114</v>
      </c>
      <c r="D690" s="2" t="s">
        <v>38</v>
      </c>
      <c r="E690" s="2">
        <v>170</v>
      </c>
      <c r="F690" s="2" t="s">
        <v>102</v>
      </c>
      <c r="G690" s="2" t="s">
        <v>103</v>
      </c>
      <c r="H690" s="2" t="s">
        <v>35</v>
      </c>
    </row>
    <row r="691" spans="1:8" ht="13" hidden="1">
      <c r="A691" s="15">
        <v>45293.680935474535</v>
      </c>
      <c r="B691" s="16">
        <v>45291</v>
      </c>
      <c r="C691" s="2" t="s">
        <v>87</v>
      </c>
      <c r="E691" s="2">
        <v>30000</v>
      </c>
      <c r="H691" s="2" t="s">
        <v>34</v>
      </c>
    </row>
    <row r="692" spans="1:8" ht="13" hidden="1">
      <c r="A692" s="15">
        <v>45299.76220621528</v>
      </c>
      <c r="B692" s="16">
        <v>45291</v>
      </c>
      <c r="C692" s="2" t="s">
        <v>277</v>
      </c>
      <c r="D692" s="2" t="s">
        <v>46</v>
      </c>
      <c r="E692" s="2">
        <v>1483</v>
      </c>
      <c r="F692" s="2" t="s">
        <v>100</v>
      </c>
      <c r="H692" s="2" t="s">
        <v>35</v>
      </c>
    </row>
    <row r="693" spans="1:8" ht="13" hidden="1">
      <c r="A693" s="15">
        <v>45299.762471249996</v>
      </c>
      <c r="B693" s="16">
        <v>45291</v>
      </c>
      <c r="C693" s="2" t="s">
        <v>415</v>
      </c>
      <c r="D693" s="2" t="s">
        <v>42</v>
      </c>
      <c r="E693" s="2">
        <v>330</v>
      </c>
      <c r="F693" s="2" t="s">
        <v>100</v>
      </c>
      <c r="H693" s="2" t="s">
        <v>35</v>
      </c>
    </row>
    <row r="694" spans="1:8" ht="13" hidden="1">
      <c r="A694" s="15">
        <v>45299.763124317134</v>
      </c>
      <c r="B694" s="16">
        <v>45291</v>
      </c>
      <c r="C694" s="2" t="s">
        <v>350</v>
      </c>
      <c r="D694" s="2" t="s">
        <v>40</v>
      </c>
      <c r="E694" s="2">
        <v>1000</v>
      </c>
      <c r="F694" s="2" t="s">
        <v>100</v>
      </c>
      <c r="H694" s="2" t="s">
        <v>35</v>
      </c>
    </row>
    <row r="695" spans="1:8" ht="13" hidden="1">
      <c r="A695" s="15">
        <v>45293.679706770832</v>
      </c>
      <c r="B695" s="16">
        <v>45292</v>
      </c>
      <c r="C695" s="2" t="s">
        <v>416</v>
      </c>
      <c r="D695" s="2" t="s">
        <v>38</v>
      </c>
      <c r="E695" s="2">
        <v>1337</v>
      </c>
      <c r="F695" s="2" t="s">
        <v>102</v>
      </c>
      <c r="G695" s="2" t="s">
        <v>417</v>
      </c>
      <c r="H695" s="2" t="s">
        <v>35</v>
      </c>
    </row>
    <row r="696" spans="1:8" ht="13" hidden="1">
      <c r="A696" s="15">
        <v>45293.680026875001</v>
      </c>
      <c r="B696" s="16">
        <v>45292</v>
      </c>
      <c r="C696" s="2" t="s">
        <v>236</v>
      </c>
      <c r="D696" s="2" t="s">
        <v>43</v>
      </c>
      <c r="E696" s="2">
        <v>279</v>
      </c>
      <c r="F696" s="2" t="s">
        <v>102</v>
      </c>
      <c r="G696" s="2" t="s">
        <v>417</v>
      </c>
      <c r="H696" s="2" t="s">
        <v>35</v>
      </c>
    </row>
    <row r="697" spans="1:8" ht="13" hidden="1">
      <c r="A697" s="15">
        <v>45299.763552152777</v>
      </c>
      <c r="B697" s="16">
        <v>45292</v>
      </c>
      <c r="C697" s="2" t="s">
        <v>418</v>
      </c>
      <c r="D697" s="2" t="s">
        <v>39</v>
      </c>
      <c r="E697" s="2">
        <v>4635</v>
      </c>
      <c r="F697" s="2" t="s">
        <v>100</v>
      </c>
      <c r="G697" s="2" t="s">
        <v>419</v>
      </c>
      <c r="H697" s="2" t="s">
        <v>35</v>
      </c>
    </row>
    <row r="698" spans="1:8" ht="13" hidden="1">
      <c r="A698" s="15">
        <v>45299.763811435187</v>
      </c>
      <c r="B698" s="16">
        <v>45292</v>
      </c>
      <c r="C698" s="2" t="s">
        <v>248</v>
      </c>
      <c r="D698" s="2" t="s">
        <v>49</v>
      </c>
      <c r="E698" s="2">
        <v>700</v>
      </c>
      <c r="F698" s="2" t="s">
        <v>100</v>
      </c>
      <c r="G698" s="2" t="s">
        <v>179</v>
      </c>
      <c r="H698" s="2" t="s">
        <v>35</v>
      </c>
    </row>
    <row r="699" spans="1:8" ht="13" hidden="1">
      <c r="A699" s="15">
        <v>45299.764072488426</v>
      </c>
      <c r="B699" s="16">
        <v>45292</v>
      </c>
      <c r="C699" s="2" t="s">
        <v>10</v>
      </c>
      <c r="D699" s="2" t="s">
        <v>45</v>
      </c>
      <c r="E699" s="2">
        <v>280</v>
      </c>
      <c r="F699" s="2" t="s">
        <v>100</v>
      </c>
      <c r="H699" s="2" t="s">
        <v>35</v>
      </c>
    </row>
    <row r="700" spans="1:8" ht="13" hidden="1">
      <c r="A700" s="15">
        <v>45293.677952962964</v>
      </c>
      <c r="B700" s="16">
        <v>45293</v>
      </c>
      <c r="C700" s="2" t="s">
        <v>420</v>
      </c>
      <c r="D700" s="2" t="s">
        <v>44</v>
      </c>
      <c r="E700" s="2">
        <v>2170</v>
      </c>
      <c r="F700" s="2" t="s">
        <v>102</v>
      </c>
      <c r="G700" s="2" t="s">
        <v>132</v>
      </c>
      <c r="H700" s="2" t="s">
        <v>35</v>
      </c>
    </row>
    <row r="701" spans="1:8" ht="13" hidden="1">
      <c r="A701" s="15">
        <v>45293.678379143515</v>
      </c>
      <c r="B701" s="16">
        <v>45293</v>
      </c>
      <c r="C701" s="2" t="s">
        <v>421</v>
      </c>
      <c r="D701" s="2" t="s">
        <v>152</v>
      </c>
      <c r="E701" s="2">
        <v>100</v>
      </c>
      <c r="F701" s="2" t="s">
        <v>102</v>
      </c>
      <c r="H701" s="2" t="s">
        <v>35</v>
      </c>
    </row>
    <row r="702" spans="1:8" ht="13" hidden="1">
      <c r="A702" s="15">
        <v>45299.76433200232</v>
      </c>
      <c r="B702" s="16">
        <v>45293</v>
      </c>
      <c r="C702" s="2" t="s">
        <v>240</v>
      </c>
      <c r="D702" s="2" t="s">
        <v>42</v>
      </c>
      <c r="E702" s="2">
        <v>990</v>
      </c>
      <c r="F702" s="2" t="s">
        <v>100</v>
      </c>
      <c r="H702" s="2" t="s">
        <v>35</v>
      </c>
    </row>
    <row r="703" spans="1:8" ht="13" hidden="1">
      <c r="A703" s="15">
        <v>45299.764618622685</v>
      </c>
      <c r="B703" s="16">
        <v>45293</v>
      </c>
      <c r="C703" s="2" t="s">
        <v>181</v>
      </c>
      <c r="D703" s="2" t="s">
        <v>40</v>
      </c>
      <c r="E703" s="2">
        <v>90</v>
      </c>
      <c r="F703" s="2" t="s">
        <v>100</v>
      </c>
      <c r="H703" s="2" t="s">
        <v>35</v>
      </c>
    </row>
    <row r="704" spans="1:8" ht="13" hidden="1">
      <c r="A704" s="15">
        <v>45294.779445370368</v>
      </c>
      <c r="B704" s="16">
        <v>45294</v>
      </c>
      <c r="C704" s="2" t="s">
        <v>422</v>
      </c>
      <c r="D704" s="2" t="s">
        <v>152</v>
      </c>
      <c r="E704" s="2">
        <v>21941</v>
      </c>
      <c r="F704" s="2" t="s">
        <v>102</v>
      </c>
      <c r="H704" s="2" t="s">
        <v>35</v>
      </c>
    </row>
    <row r="705" spans="1:8" ht="13" hidden="1">
      <c r="A705" s="15">
        <v>45299.752173379631</v>
      </c>
      <c r="B705" s="16">
        <v>45294</v>
      </c>
      <c r="C705" s="2" t="s">
        <v>423</v>
      </c>
      <c r="D705" s="2" t="s">
        <v>39</v>
      </c>
      <c r="E705" s="2">
        <v>700</v>
      </c>
      <c r="F705" s="2" t="s">
        <v>102</v>
      </c>
      <c r="G705" s="2" t="s">
        <v>424</v>
      </c>
      <c r="H705" s="2" t="s">
        <v>35</v>
      </c>
    </row>
    <row r="706" spans="1:8" ht="13" hidden="1">
      <c r="A706" s="15">
        <v>45299.752524722222</v>
      </c>
      <c r="B706" s="16">
        <v>45295</v>
      </c>
      <c r="C706" s="2" t="s">
        <v>425</v>
      </c>
      <c r="D706" s="2" t="s">
        <v>39</v>
      </c>
      <c r="E706" s="2">
        <v>1134</v>
      </c>
      <c r="F706" s="2" t="s">
        <v>102</v>
      </c>
      <c r="H706" s="2" t="s">
        <v>35</v>
      </c>
    </row>
    <row r="707" spans="1:8" ht="13" hidden="1">
      <c r="A707" s="15">
        <v>45299.752887013892</v>
      </c>
      <c r="B707" s="16">
        <v>45295</v>
      </c>
      <c r="C707" s="2" t="s">
        <v>426</v>
      </c>
      <c r="D707" s="2" t="s">
        <v>38</v>
      </c>
      <c r="E707" s="2">
        <v>284</v>
      </c>
      <c r="F707" s="2" t="s">
        <v>102</v>
      </c>
      <c r="G707" s="2" t="s">
        <v>427</v>
      </c>
      <c r="H707" s="2" t="s">
        <v>35</v>
      </c>
    </row>
    <row r="708" spans="1:8" ht="13" hidden="1">
      <c r="A708" s="15">
        <v>45299.753351331019</v>
      </c>
      <c r="B708" s="16">
        <v>45295</v>
      </c>
      <c r="C708" s="2" t="s">
        <v>428</v>
      </c>
      <c r="D708" s="2" t="s">
        <v>45</v>
      </c>
      <c r="E708" s="2">
        <v>701</v>
      </c>
      <c r="F708" s="2" t="s">
        <v>102</v>
      </c>
      <c r="G708" s="2" t="s">
        <v>429</v>
      </c>
      <c r="H708" s="2" t="s">
        <v>35</v>
      </c>
    </row>
    <row r="709" spans="1:8" ht="13" hidden="1">
      <c r="A709" s="15">
        <v>45299.753591458335</v>
      </c>
      <c r="B709" s="16">
        <v>45295</v>
      </c>
      <c r="C709" s="2" t="s">
        <v>430</v>
      </c>
      <c r="D709" s="2" t="s">
        <v>39</v>
      </c>
      <c r="E709" s="2">
        <v>200</v>
      </c>
      <c r="F709" s="2" t="s">
        <v>102</v>
      </c>
      <c r="H709" s="2" t="s">
        <v>35</v>
      </c>
    </row>
    <row r="710" spans="1:8" ht="13" hidden="1">
      <c r="A710" s="15">
        <v>45299.753939074071</v>
      </c>
      <c r="B710" s="16">
        <v>45295</v>
      </c>
      <c r="C710" s="2" t="s">
        <v>431</v>
      </c>
      <c r="D710" s="2" t="s">
        <v>39</v>
      </c>
      <c r="E710" s="2">
        <v>3250</v>
      </c>
      <c r="F710" s="2" t="s">
        <v>102</v>
      </c>
      <c r="G710" s="2" t="s">
        <v>432</v>
      </c>
      <c r="H710" s="2" t="s">
        <v>35</v>
      </c>
    </row>
    <row r="711" spans="1:8" ht="13" hidden="1">
      <c r="A711" s="15">
        <v>45299.754193425921</v>
      </c>
      <c r="B711" s="16">
        <v>45295</v>
      </c>
      <c r="C711" s="2" t="s">
        <v>226</v>
      </c>
      <c r="E711" s="2">
        <v>1600</v>
      </c>
      <c r="H711" s="2" t="s">
        <v>34</v>
      </c>
    </row>
    <row r="712" spans="1:8" ht="13" hidden="1">
      <c r="A712" s="15">
        <v>45299.754488368053</v>
      </c>
      <c r="B712" s="16">
        <v>45295</v>
      </c>
      <c r="C712" s="2" t="s">
        <v>226</v>
      </c>
      <c r="E712" s="2">
        <v>7000</v>
      </c>
      <c r="H712" s="2" t="s">
        <v>34</v>
      </c>
    </row>
    <row r="713" spans="1:8" ht="13" hidden="1">
      <c r="A713" s="15">
        <v>45299.764868611106</v>
      </c>
      <c r="B713" s="16">
        <v>45295</v>
      </c>
      <c r="C713" s="2" t="s">
        <v>240</v>
      </c>
      <c r="D713" s="2" t="s">
        <v>42</v>
      </c>
      <c r="E713" s="2">
        <v>660</v>
      </c>
      <c r="F713" s="2" t="s">
        <v>100</v>
      </c>
      <c r="H713" s="2" t="s">
        <v>35</v>
      </c>
    </row>
    <row r="714" spans="1:8" ht="13" hidden="1">
      <c r="A714" s="15">
        <v>45299.765252546291</v>
      </c>
      <c r="B714" s="16">
        <v>45295</v>
      </c>
      <c r="C714" s="2" t="s">
        <v>433</v>
      </c>
      <c r="D714" s="2" t="s">
        <v>39</v>
      </c>
      <c r="E714" s="2">
        <v>13710</v>
      </c>
      <c r="F714" s="2" t="s">
        <v>100</v>
      </c>
      <c r="H714" s="2" t="s">
        <v>35</v>
      </c>
    </row>
    <row r="715" spans="1:8" ht="13" hidden="1">
      <c r="A715" s="15">
        <v>45299.755083587967</v>
      </c>
      <c r="B715" s="16">
        <v>45296</v>
      </c>
      <c r="C715" s="2" t="s">
        <v>434</v>
      </c>
      <c r="D715" s="2" t="s">
        <v>38</v>
      </c>
      <c r="E715" s="2">
        <v>246</v>
      </c>
      <c r="F715" s="2" t="s">
        <v>100</v>
      </c>
      <c r="G715" s="2" t="s">
        <v>103</v>
      </c>
      <c r="H715" s="2" t="s">
        <v>35</v>
      </c>
    </row>
    <row r="716" spans="1:8" ht="13" hidden="1">
      <c r="A716" s="15">
        <v>45299.755382719908</v>
      </c>
      <c r="B716" s="16">
        <v>45296</v>
      </c>
      <c r="C716" s="2" t="s">
        <v>106</v>
      </c>
      <c r="D716" s="2" t="s">
        <v>38</v>
      </c>
      <c r="E716" s="2">
        <v>378</v>
      </c>
      <c r="F716" s="2" t="s">
        <v>102</v>
      </c>
      <c r="G716" s="2" t="s">
        <v>356</v>
      </c>
      <c r="H716" s="2" t="s">
        <v>35</v>
      </c>
    </row>
    <row r="717" spans="1:8" ht="13" hidden="1">
      <c r="A717" s="15">
        <v>45299.755676666668</v>
      </c>
      <c r="B717" s="16">
        <v>45296</v>
      </c>
      <c r="C717" s="2" t="s">
        <v>245</v>
      </c>
      <c r="D717" s="2" t="s">
        <v>38</v>
      </c>
      <c r="E717" s="2">
        <v>580</v>
      </c>
      <c r="F717" s="2" t="s">
        <v>102</v>
      </c>
      <c r="G717" s="2" t="s">
        <v>435</v>
      </c>
      <c r="H717" s="2" t="s">
        <v>35</v>
      </c>
    </row>
    <row r="718" spans="1:8" ht="13" hidden="1">
      <c r="A718" s="15">
        <v>45299.75595663194</v>
      </c>
      <c r="B718" s="16">
        <v>45296</v>
      </c>
      <c r="C718" s="2" t="s">
        <v>430</v>
      </c>
      <c r="D718" s="2" t="s">
        <v>39</v>
      </c>
      <c r="E718" s="2">
        <v>400</v>
      </c>
      <c r="F718" s="2" t="s">
        <v>102</v>
      </c>
      <c r="H718" s="2" t="s">
        <v>35</v>
      </c>
    </row>
    <row r="719" spans="1:8" ht="13" hidden="1">
      <c r="A719" s="15">
        <v>45299.756301655092</v>
      </c>
      <c r="B719" s="16">
        <v>45296</v>
      </c>
      <c r="C719" s="2" t="s">
        <v>436</v>
      </c>
      <c r="D719" s="2" t="s">
        <v>39</v>
      </c>
      <c r="E719" s="2">
        <v>490</v>
      </c>
      <c r="F719" s="2" t="s">
        <v>102</v>
      </c>
      <c r="G719" s="2" t="s">
        <v>437</v>
      </c>
      <c r="H719" s="2" t="s">
        <v>35</v>
      </c>
    </row>
    <row r="720" spans="1:8" ht="13" hidden="1">
      <c r="A720" s="15">
        <v>45299.756559780093</v>
      </c>
      <c r="B720" s="16">
        <v>45296</v>
      </c>
      <c r="C720" s="2" t="s">
        <v>438</v>
      </c>
      <c r="D720" s="2" t="s">
        <v>39</v>
      </c>
      <c r="E720" s="2">
        <v>10000</v>
      </c>
      <c r="F720" s="2" t="s">
        <v>102</v>
      </c>
      <c r="H720" s="2" t="s">
        <v>35</v>
      </c>
    </row>
    <row r="721" spans="1:8" ht="13" hidden="1">
      <c r="A721" s="15">
        <v>45304.610755000002</v>
      </c>
      <c r="B721" s="16">
        <v>45296</v>
      </c>
      <c r="C721" s="2" t="s">
        <v>350</v>
      </c>
      <c r="D721" s="2" t="s">
        <v>40</v>
      </c>
      <c r="E721" s="2">
        <v>1000</v>
      </c>
      <c r="F721" s="2" t="s">
        <v>100</v>
      </c>
      <c r="H721" s="2" t="s">
        <v>35</v>
      </c>
    </row>
    <row r="722" spans="1:8" ht="13" hidden="1">
      <c r="A722" s="15">
        <v>45299.756847534722</v>
      </c>
      <c r="B722" s="16">
        <v>45297</v>
      </c>
      <c r="C722" s="2" t="s">
        <v>106</v>
      </c>
      <c r="D722" s="2" t="s">
        <v>38</v>
      </c>
      <c r="E722" s="2">
        <v>345</v>
      </c>
      <c r="F722" s="2" t="s">
        <v>102</v>
      </c>
      <c r="G722" s="2" t="s">
        <v>356</v>
      </c>
      <c r="H722" s="2" t="s">
        <v>35</v>
      </c>
    </row>
    <row r="723" spans="1:8" ht="13" hidden="1">
      <c r="A723" s="15">
        <v>45299.757213680554</v>
      </c>
      <c r="B723" s="16">
        <v>45297</v>
      </c>
      <c r="C723" s="2" t="s">
        <v>294</v>
      </c>
      <c r="D723" s="2" t="s">
        <v>39</v>
      </c>
      <c r="E723" s="2">
        <v>950</v>
      </c>
      <c r="F723" s="2" t="s">
        <v>102</v>
      </c>
      <c r="G723" s="2" t="s">
        <v>439</v>
      </c>
      <c r="H723" s="2" t="s">
        <v>35</v>
      </c>
    </row>
    <row r="724" spans="1:8" ht="13" hidden="1">
      <c r="A724" s="15">
        <v>45304.611111053237</v>
      </c>
      <c r="B724" s="16">
        <v>45297</v>
      </c>
      <c r="C724" s="2" t="s">
        <v>105</v>
      </c>
      <c r="D724" s="2" t="s">
        <v>40</v>
      </c>
      <c r="E724" s="2">
        <v>1310</v>
      </c>
      <c r="F724" s="2" t="s">
        <v>100</v>
      </c>
      <c r="H724" s="2" t="s">
        <v>35</v>
      </c>
    </row>
    <row r="725" spans="1:8" ht="13" hidden="1">
      <c r="A725" s="15">
        <v>45299.757578263889</v>
      </c>
      <c r="B725" s="16">
        <v>45298</v>
      </c>
      <c r="C725" s="2" t="s">
        <v>440</v>
      </c>
      <c r="D725" s="2" t="s">
        <v>38</v>
      </c>
      <c r="E725" s="2">
        <v>160</v>
      </c>
      <c r="F725" s="2" t="s">
        <v>102</v>
      </c>
      <c r="G725" s="2" t="s">
        <v>356</v>
      </c>
      <c r="H725" s="2" t="s">
        <v>35</v>
      </c>
    </row>
    <row r="726" spans="1:8" ht="13" hidden="1">
      <c r="A726" s="15">
        <v>45299.757864166662</v>
      </c>
      <c r="B726" s="16">
        <v>45298</v>
      </c>
      <c r="C726" s="2" t="s">
        <v>110</v>
      </c>
      <c r="D726" s="2" t="s">
        <v>38</v>
      </c>
      <c r="E726" s="2">
        <v>480</v>
      </c>
      <c r="F726" s="2" t="s">
        <v>102</v>
      </c>
      <c r="G726" s="2" t="s">
        <v>441</v>
      </c>
      <c r="H726" s="2" t="s">
        <v>35</v>
      </c>
    </row>
    <row r="727" spans="1:8" ht="13" hidden="1">
      <c r="A727" s="15">
        <v>45299.758187233798</v>
      </c>
      <c r="B727" s="16">
        <v>45298</v>
      </c>
      <c r="C727" s="2" t="s">
        <v>226</v>
      </c>
      <c r="E727" s="2">
        <v>2010</v>
      </c>
      <c r="H727" s="2" t="s">
        <v>34</v>
      </c>
    </row>
    <row r="728" spans="1:8" ht="13" hidden="1">
      <c r="A728" s="15">
        <v>45299.758730474539</v>
      </c>
      <c r="B728" s="16">
        <v>45298</v>
      </c>
      <c r="C728" s="2" t="s">
        <v>442</v>
      </c>
      <c r="D728" s="2" t="s">
        <v>39</v>
      </c>
      <c r="E728" s="2">
        <v>1900</v>
      </c>
      <c r="F728" s="2" t="s">
        <v>102</v>
      </c>
      <c r="G728" s="2" t="s">
        <v>443</v>
      </c>
      <c r="H728" s="2" t="s">
        <v>35</v>
      </c>
    </row>
    <row r="729" spans="1:8" ht="13" hidden="1">
      <c r="A729" s="15">
        <v>45304.611451620367</v>
      </c>
      <c r="B729" s="16">
        <v>45298</v>
      </c>
      <c r="C729" s="2" t="s">
        <v>116</v>
      </c>
      <c r="D729" s="2" t="s">
        <v>38</v>
      </c>
      <c r="E729" s="2">
        <v>915</v>
      </c>
      <c r="F729" s="2" t="s">
        <v>100</v>
      </c>
      <c r="G729" s="2" t="s">
        <v>145</v>
      </c>
      <c r="H729" s="2" t="s">
        <v>35</v>
      </c>
    </row>
    <row r="730" spans="1:8" ht="13" hidden="1">
      <c r="A730" s="15">
        <v>45304.611798541664</v>
      </c>
      <c r="B730" s="16">
        <v>45298</v>
      </c>
      <c r="C730" s="2" t="s">
        <v>277</v>
      </c>
      <c r="D730" s="2" t="s">
        <v>46</v>
      </c>
      <c r="E730" s="2">
        <v>6270</v>
      </c>
      <c r="F730" s="2" t="s">
        <v>100</v>
      </c>
      <c r="G730" s="2" t="s">
        <v>129</v>
      </c>
      <c r="H730" s="2" t="s">
        <v>35</v>
      </c>
    </row>
    <row r="731" spans="1:8" ht="13" hidden="1">
      <c r="A731" s="15">
        <v>45304.612056550926</v>
      </c>
      <c r="B731" s="16">
        <v>45298</v>
      </c>
      <c r="C731" s="2" t="s">
        <v>444</v>
      </c>
      <c r="D731" s="2" t="s">
        <v>39</v>
      </c>
      <c r="E731" s="2">
        <v>4021</v>
      </c>
      <c r="F731" s="2" t="s">
        <v>100</v>
      </c>
      <c r="H731" s="2" t="s">
        <v>35</v>
      </c>
    </row>
    <row r="732" spans="1:8" ht="13" hidden="1">
      <c r="A732" s="15">
        <v>45304.612295405095</v>
      </c>
      <c r="B732" s="16">
        <v>45298</v>
      </c>
      <c r="C732" s="2" t="s">
        <v>105</v>
      </c>
      <c r="D732" s="2" t="s">
        <v>40</v>
      </c>
      <c r="E732" s="2">
        <v>1870</v>
      </c>
      <c r="F732" s="2" t="s">
        <v>100</v>
      </c>
      <c r="H732" s="2" t="s">
        <v>35</v>
      </c>
    </row>
    <row r="733" spans="1:8" ht="13" hidden="1">
      <c r="A733" s="15">
        <v>45304.612567222226</v>
      </c>
      <c r="B733" s="16">
        <v>45298</v>
      </c>
      <c r="C733" s="2" t="s">
        <v>350</v>
      </c>
      <c r="D733" s="2" t="s">
        <v>40</v>
      </c>
      <c r="E733" s="2">
        <v>1000</v>
      </c>
      <c r="F733" s="2" t="s">
        <v>100</v>
      </c>
      <c r="H733" s="2" t="s">
        <v>35</v>
      </c>
    </row>
    <row r="734" spans="1:8" ht="13" hidden="1">
      <c r="A734" s="15">
        <v>45299.759052002315</v>
      </c>
      <c r="B734" s="16">
        <v>45299</v>
      </c>
      <c r="C734" s="2" t="s">
        <v>116</v>
      </c>
      <c r="D734" s="2" t="s">
        <v>38</v>
      </c>
      <c r="E734" s="2">
        <v>1933</v>
      </c>
      <c r="F734" s="2" t="s">
        <v>102</v>
      </c>
      <c r="G734" s="2" t="s">
        <v>145</v>
      </c>
      <c r="H734" s="2" t="s">
        <v>35</v>
      </c>
    </row>
    <row r="735" spans="1:8" ht="13" hidden="1">
      <c r="A735" s="15">
        <v>45304.606642951388</v>
      </c>
      <c r="B735" s="16">
        <v>45299</v>
      </c>
      <c r="C735" s="2" t="s">
        <v>116</v>
      </c>
      <c r="D735" s="2" t="s">
        <v>38</v>
      </c>
      <c r="E735" s="2">
        <v>1027</v>
      </c>
      <c r="F735" s="2" t="s">
        <v>102</v>
      </c>
      <c r="G735" s="2" t="s">
        <v>145</v>
      </c>
      <c r="H735" s="2" t="s">
        <v>35</v>
      </c>
    </row>
    <row r="736" spans="1:8" ht="13" hidden="1">
      <c r="A736" s="15">
        <v>45304.607130636577</v>
      </c>
      <c r="B736" s="16">
        <v>45299</v>
      </c>
      <c r="C736" s="2" t="s">
        <v>296</v>
      </c>
      <c r="D736" s="2" t="s">
        <v>39</v>
      </c>
      <c r="E736" s="2">
        <v>1200</v>
      </c>
      <c r="F736" s="2" t="s">
        <v>102</v>
      </c>
      <c r="G736" s="2" t="s">
        <v>443</v>
      </c>
      <c r="H736" s="2" t="s">
        <v>35</v>
      </c>
    </row>
    <row r="737" spans="1:8" ht="13" hidden="1">
      <c r="A737" s="15">
        <v>45304.612950833332</v>
      </c>
      <c r="B737" s="16">
        <v>45299</v>
      </c>
      <c r="C737" s="2" t="s">
        <v>445</v>
      </c>
      <c r="D737" s="2" t="s">
        <v>39</v>
      </c>
      <c r="E737" s="2">
        <v>1320</v>
      </c>
      <c r="F737" s="2" t="s">
        <v>100</v>
      </c>
      <c r="H737" s="2" t="s">
        <v>35</v>
      </c>
    </row>
    <row r="738" spans="1:8" ht="13" hidden="1">
      <c r="A738" s="15">
        <v>45304.613383356482</v>
      </c>
      <c r="B738" s="16">
        <v>45300</v>
      </c>
      <c r="C738" s="2" t="s">
        <v>446</v>
      </c>
      <c r="D738" s="2" t="s">
        <v>48</v>
      </c>
      <c r="E738" s="2">
        <v>880</v>
      </c>
      <c r="F738" s="2" t="s">
        <v>100</v>
      </c>
      <c r="H738" s="2" t="s">
        <v>35</v>
      </c>
    </row>
    <row r="739" spans="1:8" ht="13" hidden="1">
      <c r="A739" s="15">
        <v>45304.614308703705</v>
      </c>
      <c r="B739" s="16">
        <v>45300</v>
      </c>
      <c r="C739" s="2" t="s">
        <v>447</v>
      </c>
      <c r="E739" s="2">
        <v>14020</v>
      </c>
      <c r="H739" s="2" t="s">
        <v>34</v>
      </c>
    </row>
    <row r="740" spans="1:8" ht="13" hidden="1">
      <c r="A740" s="15">
        <v>45304.60745387731</v>
      </c>
      <c r="B740" s="16">
        <v>45301</v>
      </c>
      <c r="C740" s="2" t="s">
        <v>116</v>
      </c>
      <c r="D740" s="2" t="s">
        <v>38</v>
      </c>
      <c r="E740" s="2">
        <v>265</v>
      </c>
      <c r="F740" s="2" t="s">
        <v>102</v>
      </c>
      <c r="G740" s="2" t="s">
        <v>145</v>
      </c>
      <c r="H740" s="2" t="s">
        <v>35</v>
      </c>
    </row>
    <row r="741" spans="1:8" ht="13" hidden="1">
      <c r="A741" s="15">
        <v>45304.614523541662</v>
      </c>
      <c r="B741" s="16">
        <v>45301</v>
      </c>
      <c r="C741" s="2" t="s">
        <v>258</v>
      </c>
      <c r="E741" s="2">
        <v>45440</v>
      </c>
      <c r="H741" s="2" t="s">
        <v>34</v>
      </c>
    </row>
    <row r="742" spans="1:8" ht="13" hidden="1">
      <c r="A742" s="15">
        <v>45304.607765266206</v>
      </c>
      <c r="B742" s="16">
        <v>45302</v>
      </c>
      <c r="C742" s="2" t="s">
        <v>112</v>
      </c>
      <c r="D742" s="2" t="s">
        <v>38</v>
      </c>
      <c r="E742" s="2">
        <v>110</v>
      </c>
      <c r="F742" s="2" t="s">
        <v>102</v>
      </c>
      <c r="G742" s="2" t="s">
        <v>103</v>
      </c>
      <c r="H742" s="2" t="s">
        <v>35</v>
      </c>
    </row>
    <row r="743" spans="1:8" ht="13" hidden="1">
      <c r="A743" s="15">
        <v>45304.608163680554</v>
      </c>
      <c r="B743" s="16">
        <v>45302</v>
      </c>
      <c r="C743" s="2" t="s">
        <v>448</v>
      </c>
      <c r="D743" s="2" t="s">
        <v>38</v>
      </c>
      <c r="E743" s="2">
        <v>1100</v>
      </c>
      <c r="F743" s="2" t="s">
        <v>102</v>
      </c>
      <c r="G743" s="2" t="s">
        <v>256</v>
      </c>
      <c r="H743" s="2" t="s">
        <v>35</v>
      </c>
    </row>
    <row r="744" spans="1:8" ht="13" hidden="1">
      <c r="A744" s="15">
        <v>45304.608439502314</v>
      </c>
      <c r="B744" s="16">
        <v>45302</v>
      </c>
      <c r="C744" s="2" t="s">
        <v>112</v>
      </c>
      <c r="D744" s="2" t="s">
        <v>38</v>
      </c>
      <c r="E744" s="2">
        <v>110</v>
      </c>
      <c r="F744" s="2" t="s">
        <v>102</v>
      </c>
      <c r="G744" s="2" t="s">
        <v>103</v>
      </c>
      <c r="H744" s="2" t="s">
        <v>35</v>
      </c>
    </row>
    <row r="745" spans="1:8" ht="13" hidden="1">
      <c r="A745" s="15">
        <v>45304.608714942129</v>
      </c>
      <c r="B745" s="16">
        <v>45302</v>
      </c>
      <c r="C745" s="2" t="s">
        <v>116</v>
      </c>
      <c r="D745" s="2" t="s">
        <v>38</v>
      </c>
      <c r="E745" s="2">
        <v>548</v>
      </c>
      <c r="F745" s="2" t="s">
        <v>102</v>
      </c>
      <c r="G745" s="2" t="s">
        <v>145</v>
      </c>
      <c r="H745" s="2" t="s">
        <v>35</v>
      </c>
    </row>
    <row r="746" spans="1:8" ht="13" hidden="1">
      <c r="A746" s="15">
        <v>45304.613632314809</v>
      </c>
      <c r="B746" s="16">
        <v>45302</v>
      </c>
      <c r="C746" s="2" t="s">
        <v>18</v>
      </c>
      <c r="D746" s="2" t="s">
        <v>41</v>
      </c>
      <c r="E746" s="2">
        <v>5318</v>
      </c>
      <c r="F746" s="2" t="s">
        <v>100</v>
      </c>
      <c r="H746" s="2" t="s">
        <v>35</v>
      </c>
    </row>
    <row r="747" spans="1:8" ht="13" hidden="1">
      <c r="A747" s="15">
        <v>45311.764815115741</v>
      </c>
      <c r="B747" s="16">
        <v>45302</v>
      </c>
      <c r="C747" s="2" t="s">
        <v>449</v>
      </c>
      <c r="D747" s="2" t="s">
        <v>46</v>
      </c>
      <c r="E747" s="2">
        <v>5500</v>
      </c>
      <c r="F747" s="2" t="s">
        <v>100</v>
      </c>
      <c r="G747" s="2" t="s">
        <v>129</v>
      </c>
      <c r="H747" s="2" t="s">
        <v>35</v>
      </c>
    </row>
    <row r="748" spans="1:8" ht="13" hidden="1">
      <c r="A748" s="15">
        <v>45304.609002650468</v>
      </c>
      <c r="B748" s="16">
        <v>45303</v>
      </c>
      <c r="C748" s="2" t="s">
        <v>116</v>
      </c>
      <c r="D748" s="2" t="s">
        <v>38</v>
      </c>
      <c r="E748" s="2">
        <v>939</v>
      </c>
      <c r="F748" s="2" t="s">
        <v>102</v>
      </c>
      <c r="G748" s="2" t="s">
        <v>145</v>
      </c>
      <c r="H748" s="2" t="s">
        <v>35</v>
      </c>
    </row>
    <row r="749" spans="1:8" ht="13" hidden="1">
      <c r="A749" s="15">
        <v>45304.609338923612</v>
      </c>
      <c r="B749" s="16">
        <v>45304</v>
      </c>
      <c r="C749" s="2" t="s">
        <v>116</v>
      </c>
      <c r="D749" s="2" t="s">
        <v>38</v>
      </c>
      <c r="E749" s="2">
        <v>1639</v>
      </c>
      <c r="F749" s="2" t="s">
        <v>102</v>
      </c>
      <c r="G749" s="2" t="s">
        <v>145</v>
      </c>
      <c r="H749" s="2" t="s">
        <v>35</v>
      </c>
    </row>
    <row r="750" spans="1:8" ht="13" hidden="1">
      <c r="A750" s="15">
        <v>45304.609651724539</v>
      </c>
      <c r="B750" s="16">
        <v>45304</v>
      </c>
      <c r="C750" s="2" t="s">
        <v>114</v>
      </c>
      <c r="D750" s="2" t="s">
        <v>38</v>
      </c>
      <c r="E750" s="2">
        <v>494</v>
      </c>
      <c r="F750" s="2" t="s">
        <v>102</v>
      </c>
      <c r="G750" s="2" t="s">
        <v>269</v>
      </c>
      <c r="H750" s="2" t="s">
        <v>35</v>
      </c>
    </row>
    <row r="751" spans="1:8" ht="13" hidden="1">
      <c r="A751" s="15">
        <v>45311.766486203705</v>
      </c>
      <c r="B751" s="16">
        <v>45304</v>
      </c>
      <c r="C751" s="2" t="s">
        <v>442</v>
      </c>
      <c r="D751" s="2" t="s">
        <v>39</v>
      </c>
      <c r="E751" s="2">
        <v>2700</v>
      </c>
      <c r="F751" s="2" t="s">
        <v>100</v>
      </c>
      <c r="G751" s="2" t="s">
        <v>443</v>
      </c>
      <c r="H751" s="2" t="s">
        <v>35</v>
      </c>
    </row>
    <row r="752" spans="1:8" ht="13" hidden="1">
      <c r="A752" s="15">
        <v>45311.767080532409</v>
      </c>
      <c r="B752" s="16">
        <v>45304</v>
      </c>
      <c r="C752" s="2" t="s">
        <v>240</v>
      </c>
      <c r="D752" s="2" t="s">
        <v>42</v>
      </c>
      <c r="E752" s="2">
        <v>330</v>
      </c>
      <c r="F752" s="2" t="s">
        <v>100</v>
      </c>
      <c r="H752" s="2" t="s">
        <v>35</v>
      </c>
    </row>
    <row r="753" spans="1:8" ht="13" hidden="1">
      <c r="A753" s="15">
        <v>45311.767415335649</v>
      </c>
      <c r="B753" s="16">
        <v>45304</v>
      </c>
      <c r="C753" s="2" t="s">
        <v>42</v>
      </c>
      <c r="D753" s="2" t="s">
        <v>42</v>
      </c>
      <c r="E753" s="2">
        <v>1532</v>
      </c>
      <c r="F753" s="2" t="s">
        <v>100</v>
      </c>
      <c r="G753" s="2" t="s">
        <v>275</v>
      </c>
      <c r="H753" s="2" t="s">
        <v>35</v>
      </c>
    </row>
    <row r="754" spans="1:8" ht="13" hidden="1">
      <c r="A754" s="15">
        <v>45308.552681562505</v>
      </c>
      <c r="B754" s="16">
        <v>45305</v>
      </c>
      <c r="C754" s="2" t="s">
        <v>116</v>
      </c>
      <c r="D754" s="2" t="s">
        <v>38</v>
      </c>
      <c r="E754" s="2">
        <v>793</v>
      </c>
      <c r="F754" s="2" t="s">
        <v>102</v>
      </c>
      <c r="G754" s="2" t="s">
        <v>145</v>
      </c>
      <c r="H754" s="2" t="s">
        <v>35</v>
      </c>
    </row>
    <row r="755" spans="1:8" ht="13" hidden="1">
      <c r="A755" s="15">
        <v>45308.552977974541</v>
      </c>
      <c r="B755" s="16">
        <v>45305</v>
      </c>
      <c r="C755" s="2" t="s">
        <v>280</v>
      </c>
      <c r="D755" s="2" t="s">
        <v>46</v>
      </c>
      <c r="E755" s="2">
        <v>550</v>
      </c>
      <c r="F755" s="2" t="s">
        <v>102</v>
      </c>
      <c r="G755" s="2" t="s">
        <v>306</v>
      </c>
      <c r="H755" s="2" t="s">
        <v>35</v>
      </c>
    </row>
    <row r="756" spans="1:8" ht="13" hidden="1">
      <c r="A756" s="15">
        <v>45311.767713483801</v>
      </c>
      <c r="B756" s="16">
        <v>45305</v>
      </c>
      <c r="C756" s="2" t="s">
        <v>450</v>
      </c>
      <c r="D756" s="2" t="s">
        <v>45</v>
      </c>
      <c r="E756" s="2">
        <v>1990</v>
      </c>
      <c r="F756" s="2" t="s">
        <v>100</v>
      </c>
      <c r="G756" s="2" t="s">
        <v>150</v>
      </c>
      <c r="H756" s="2" t="s">
        <v>35</v>
      </c>
    </row>
    <row r="757" spans="1:8" ht="13" hidden="1">
      <c r="A757" s="15">
        <v>45308.553474456014</v>
      </c>
      <c r="B757" s="16">
        <v>45306</v>
      </c>
      <c r="C757" s="2" t="s">
        <v>451</v>
      </c>
      <c r="D757" s="2" t="s">
        <v>38</v>
      </c>
      <c r="E757" s="2">
        <v>1100</v>
      </c>
      <c r="F757" s="2" t="s">
        <v>102</v>
      </c>
      <c r="H757" s="2" t="s">
        <v>35</v>
      </c>
    </row>
    <row r="758" spans="1:8" ht="13" hidden="1">
      <c r="A758" s="15">
        <v>45311.767997395829</v>
      </c>
      <c r="B758" s="16">
        <v>45306</v>
      </c>
      <c r="C758" s="2" t="s">
        <v>240</v>
      </c>
      <c r="D758" s="2" t="s">
        <v>42</v>
      </c>
      <c r="E758" s="2">
        <v>990</v>
      </c>
      <c r="F758" s="2" t="s">
        <v>100</v>
      </c>
      <c r="H758" s="2" t="s">
        <v>35</v>
      </c>
    </row>
    <row r="759" spans="1:8" ht="13" hidden="1">
      <c r="A759" s="15">
        <v>45308.553764444441</v>
      </c>
      <c r="B759" s="16">
        <v>45307</v>
      </c>
      <c r="C759" s="2" t="s">
        <v>259</v>
      </c>
      <c r="D759" s="2" t="s">
        <v>38</v>
      </c>
      <c r="E759" s="2">
        <v>1300</v>
      </c>
      <c r="F759" s="2" t="s">
        <v>102</v>
      </c>
      <c r="H759" s="2" t="s">
        <v>35</v>
      </c>
    </row>
    <row r="760" spans="1:8" ht="13" hidden="1">
      <c r="A760" s="15">
        <v>45308.554018009258</v>
      </c>
      <c r="B760" s="16">
        <v>45307</v>
      </c>
      <c r="C760" s="2" t="s">
        <v>236</v>
      </c>
      <c r="D760" s="2" t="s">
        <v>43</v>
      </c>
      <c r="E760" s="2">
        <v>418</v>
      </c>
      <c r="F760" s="2" t="s">
        <v>102</v>
      </c>
      <c r="H760" s="2" t="s">
        <v>35</v>
      </c>
    </row>
    <row r="761" spans="1:8" ht="13" hidden="1">
      <c r="A761" s="15">
        <v>45308.554318194445</v>
      </c>
      <c r="B761" s="16">
        <v>45307</v>
      </c>
      <c r="C761" s="2" t="s">
        <v>452</v>
      </c>
      <c r="D761" s="2" t="s">
        <v>39</v>
      </c>
      <c r="E761" s="2">
        <v>5808</v>
      </c>
      <c r="F761" s="2" t="s">
        <v>102</v>
      </c>
      <c r="H761" s="2" t="s">
        <v>35</v>
      </c>
    </row>
    <row r="762" spans="1:8" ht="13" hidden="1">
      <c r="A762" s="15">
        <v>45308.557388194444</v>
      </c>
      <c r="B762" s="16">
        <v>45308</v>
      </c>
      <c r="C762" s="2" t="s">
        <v>87</v>
      </c>
      <c r="E762" s="2">
        <v>100000</v>
      </c>
      <c r="H762" s="2" t="s">
        <v>34</v>
      </c>
    </row>
    <row r="763" spans="1:8" ht="13" hidden="1">
      <c r="A763" s="15">
        <v>45308.5546334838</v>
      </c>
      <c r="B763" s="16">
        <v>45308</v>
      </c>
      <c r="C763" s="2" t="s">
        <v>116</v>
      </c>
      <c r="D763" s="2" t="s">
        <v>38</v>
      </c>
      <c r="E763" s="2">
        <v>1458</v>
      </c>
      <c r="F763" s="2" t="s">
        <v>102</v>
      </c>
      <c r="G763" s="2" t="s">
        <v>145</v>
      </c>
      <c r="H763" s="2" t="s">
        <v>35</v>
      </c>
    </row>
    <row r="764" spans="1:8" ht="13" hidden="1">
      <c r="A764" s="15">
        <v>45308.554845891209</v>
      </c>
      <c r="B764" s="16">
        <v>45308</v>
      </c>
      <c r="C764" s="2" t="s">
        <v>154</v>
      </c>
      <c r="D764" s="2" t="s">
        <v>38</v>
      </c>
      <c r="E764" s="2">
        <v>500</v>
      </c>
      <c r="F764" s="2" t="s">
        <v>102</v>
      </c>
      <c r="H764" s="2" t="s">
        <v>35</v>
      </c>
    </row>
    <row r="765" spans="1:8" ht="13" hidden="1">
      <c r="A765" s="15">
        <v>45308.56092581019</v>
      </c>
      <c r="B765" s="16">
        <v>45308</v>
      </c>
      <c r="C765" s="2" t="s">
        <v>453</v>
      </c>
      <c r="D765" s="2" t="s">
        <v>47</v>
      </c>
      <c r="E765" s="2">
        <v>81589</v>
      </c>
      <c r="F765" s="2" t="s">
        <v>102</v>
      </c>
      <c r="H765" s="2" t="s">
        <v>35</v>
      </c>
    </row>
    <row r="766" spans="1:8" ht="13" hidden="1">
      <c r="A766" s="15">
        <v>45311.768417465282</v>
      </c>
      <c r="B766" s="16">
        <v>45308</v>
      </c>
      <c r="C766" s="2" t="s">
        <v>368</v>
      </c>
      <c r="D766" s="2" t="s">
        <v>48</v>
      </c>
      <c r="E766" s="2">
        <v>1180</v>
      </c>
      <c r="F766" s="2" t="s">
        <v>100</v>
      </c>
      <c r="G766" s="2" t="s">
        <v>129</v>
      </c>
      <c r="H766" s="2" t="s">
        <v>35</v>
      </c>
    </row>
    <row r="767" spans="1:8" ht="13" hidden="1">
      <c r="A767" s="15">
        <v>45311.768817268516</v>
      </c>
      <c r="B767" s="16">
        <v>45309</v>
      </c>
      <c r="C767" s="2" t="s">
        <v>454</v>
      </c>
      <c r="D767" s="2" t="s">
        <v>45</v>
      </c>
      <c r="E767" s="2">
        <v>299</v>
      </c>
      <c r="F767" s="2" t="s">
        <v>100</v>
      </c>
      <c r="G767" s="2" t="s">
        <v>129</v>
      </c>
      <c r="H767" s="2" t="s">
        <v>35</v>
      </c>
    </row>
    <row r="768" spans="1:8" ht="13" hidden="1">
      <c r="A768" s="15">
        <v>45311.762077476851</v>
      </c>
      <c r="B768" s="16">
        <v>45309</v>
      </c>
      <c r="C768" s="2" t="s">
        <v>455</v>
      </c>
      <c r="D768" s="2" t="s">
        <v>38</v>
      </c>
      <c r="E768" s="2">
        <v>407</v>
      </c>
      <c r="F768" s="2" t="s">
        <v>102</v>
      </c>
      <c r="G768" s="2" t="s">
        <v>103</v>
      </c>
      <c r="H768" s="2" t="s">
        <v>35</v>
      </c>
    </row>
    <row r="769" spans="1:8" ht="13" hidden="1">
      <c r="A769" s="15">
        <v>45311.762382592591</v>
      </c>
      <c r="B769" s="16">
        <v>45309</v>
      </c>
      <c r="C769" s="2" t="s">
        <v>106</v>
      </c>
      <c r="D769" s="2" t="s">
        <v>38</v>
      </c>
      <c r="E769" s="2">
        <v>880</v>
      </c>
      <c r="F769" s="2" t="s">
        <v>102</v>
      </c>
      <c r="G769" s="2" t="s">
        <v>194</v>
      </c>
      <c r="H769" s="2" t="s">
        <v>35</v>
      </c>
    </row>
    <row r="770" spans="1:8" ht="13" hidden="1">
      <c r="A770" s="15">
        <v>45311.769275150466</v>
      </c>
      <c r="B770" s="16">
        <v>45309</v>
      </c>
      <c r="C770" s="2" t="s">
        <v>456</v>
      </c>
      <c r="D770" s="2" t="s">
        <v>39</v>
      </c>
      <c r="E770" s="2">
        <v>52000</v>
      </c>
      <c r="F770" s="2" t="s">
        <v>100</v>
      </c>
      <c r="H770" s="2" t="s">
        <v>35</v>
      </c>
    </row>
    <row r="771" spans="1:8" ht="13" hidden="1">
      <c r="A771" s="15">
        <v>45319.742903206017</v>
      </c>
      <c r="B771" s="16">
        <v>45309</v>
      </c>
      <c r="C771" s="2" t="s">
        <v>105</v>
      </c>
      <c r="D771" s="2" t="s">
        <v>40</v>
      </c>
      <c r="E771" s="2">
        <v>3100</v>
      </c>
      <c r="F771" s="2" t="s">
        <v>100</v>
      </c>
      <c r="H771" s="2" t="s">
        <v>35</v>
      </c>
    </row>
    <row r="772" spans="1:8" ht="13" hidden="1">
      <c r="A772" s="15">
        <v>45311.762784918981</v>
      </c>
      <c r="B772" s="16">
        <v>45310</v>
      </c>
      <c r="C772" s="2" t="s">
        <v>116</v>
      </c>
      <c r="D772" s="2" t="s">
        <v>38</v>
      </c>
      <c r="E772" s="2">
        <v>589</v>
      </c>
      <c r="F772" s="2" t="s">
        <v>102</v>
      </c>
      <c r="G772" s="2" t="s">
        <v>145</v>
      </c>
      <c r="H772" s="2" t="s">
        <v>35</v>
      </c>
    </row>
    <row r="773" spans="1:8" ht="13" hidden="1">
      <c r="A773" s="15">
        <v>45311.763298067133</v>
      </c>
      <c r="B773" s="16">
        <v>45310</v>
      </c>
      <c r="C773" s="2" t="s">
        <v>184</v>
      </c>
      <c r="D773" s="2" t="s">
        <v>38</v>
      </c>
      <c r="E773" s="2">
        <v>1100</v>
      </c>
      <c r="F773" s="2" t="s">
        <v>102</v>
      </c>
      <c r="G773" s="2" t="s">
        <v>191</v>
      </c>
      <c r="H773" s="2" t="s">
        <v>35</v>
      </c>
    </row>
    <row r="774" spans="1:8" ht="13" hidden="1">
      <c r="A774" s="15">
        <v>45319.743174861112</v>
      </c>
      <c r="B774" s="16">
        <v>45310</v>
      </c>
      <c r="C774" s="2" t="s">
        <v>105</v>
      </c>
      <c r="D774" s="2" t="s">
        <v>40</v>
      </c>
      <c r="E774" s="2">
        <v>600</v>
      </c>
      <c r="F774" s="2" t="s">
        <v>100</v>
      </c>
      <c r="H774" s="2" t="s">
        <v>35</v>
      </c>
    </row>
    <row r="775" spans="1:8" ht="13" hidden="1">
      <c r="A775" s="15">
        <v>45319.743822245371</v>
      </c>
      <c r="B775" s="16">
        <v>45310</v>
      </c>
      <c r="C775" s="2" t="s">
        <v>22</v>
      </c>
      <c r="D775" s="2" t="s">
        <v>39</v>
      </c>
      <c r="E775" s="2">
        <v>2310</v>
      </c>
      <c r="F775" s="2" t="s">
        <v>100</v>
      </c>
      <c r="H775" s="2" t="s">
        <v>35</v>
      </c>
    </row>
    <row r="776" spans="1:8" ht="13" hidden="1">
      <c r="A776" s="15">
        <v>45311.763595706019</v>
      </c>
      <c r="B776" s="16">
        <v>45311</v>
      </c>
      <c r="C776" s="2" t="s">
        <v>116</v>
      </c>
      <c r="D776" s="2" t="s">
        <v>38</v>
      </c>
      <c r="E776" s="2">
        <v>1229</v>
      </c>
      <c r="F776" s="2" t="s">
        <v>102</v>
      </c>
      <c r="G776" s="2" t="s">
        <v>145</v>
      </c>
      <c r="H776" s="2" t="s">
        <v>35</v>
      </c>
    </row>
    <row r="777" spans="1:8" ht="13" hidden="1">
      <c r="A777" s="15">
        <v>45319.744155798609</v>
      </c>
      <c r="B777" s="16">
        <v>45311</v>
      </c>
      <c r="C777" s="2" t="s">
        <v>24</v>
      </c>
      <c r="D777" s="2" t="s">
        <v>49</v>
      </c>
      <c r="E777" s="2">
        <v>1100</v>
      </c>
      <c r="F777" s="2" t="s">
        <v>100</v>
      </c>
      <c r="H777" s="2" t="s">
        <v>35</v>
      </c>
    </row>
    <row r="778" spans="1:8" ht="13" hidden="1">
      <c r="A778" s="15">
        <v>45319.744468900462</v>
      </c>
      <c r="B778" s="16">
        <v>45311</v>
      </c>
      <c r="C778" s="2" t="s">
        <v>105</v>
      </c>
      <c r="D778" s="2" t="s">
        <v>40</v>
      </c>
      <c r="E778" s="2">
        <v>3800</v>
      </c>
      <c r="F778" s="2" t="s">
        <v>100</v>
      </c>
      <c r="H778" s="2" t="s">
        <v>35</v>
      </c>
    </row>
    <row r="779" spans="1:8" ht="13" hidden="1">
      <c r="A779" s="15">
        <v>45312.868636712963</v>
      </c>
      <c r="B779" s="16">
        <v>45312</v>
      </c>
      <c r="C779" s="2" t="s">
        <v>457</v>
      </c>
      <c r="D779" s="2" t="s">
        <v>43</v>
      </c>
      <c r="E779" s="2">
        <v>1112</v>
      </c>
      <c r="F779" s="2" t="s">
        <v>102</v>
      </c>
      <c r="G779" s="2" t="s">
        <v>343</v>
      </c>
      <c r="H779" s="2" t="s">
        <v>35</v>
      </c>
    </row>
    <row r="780" spans="1:8" ht="13" hidden="1">
      <c r="A780" s="15">
        <v>45312.868972268523</v>
      </c>
      <c r="B780" s="16">
        <v>45312</v>
      </c>
      <c r="C780" s="2" t="s">
        <v>116</v>
      </c>
      <c r="D780" s="2" t="s">
        <v>38</v>
      </c>
      <c r="E780" s="2">
        <v>1136</v>
      </c>
      <c r="F780" s="2" t="s">
        <v>102</v>
      </c>
      <c r="G780" s="2" t="s">
        <v>145</v>
      </c>
      <c r="H780" s="2" t="s">
        <v>35</v>
      </c>
    </row>
    <row r="781" spans="1:8" ht="13" hidden="1">
      <c r="A781" s="15">
        <v>45319.735701435187</v>
      </c>
      <c r="B781" s="16">
        <v>45313</v>
      </c>
      <c r="C781" s="2" t="s">
        <v>106</v>
      </c>
      <c r="D781" s="2" t="s">
        <v>38</v>
      </c>
      <c r="E781" s="2">
        <v>1100</v>
      </c>
      <c r="F781" s="2" t="s">
        <v>102</v>
      </c>
      <c r="G781" s="2" t="s">
        <v>364</v>
      </c>
      <c r="H781" s="2" t="s">
        <v>35</v>
      </c>
    </row>
    <row r="782" spans="1:8" ht="13" hidden="1">
      <c r="A782" s="15">
        <v>45319.736024293983</v>
      </c>
      <c r="B782" s="16">
        <v>45313</v>
      </c>
      <c r="C782" s="2" t="s">
        <v>112</v>
      </c>
      <c r="D782" s="2" t="s">
        <v>38</v>
      </c>
      <c r="E782" s="2">
        <v>110</v>
      </c>
      <c r="F782" s="2" t="s">
        <v>102</v>
      </c>
      <c r="G782" s="2" t="s">
        <v>103</v>
      </c>
      <c r="H782" s="2" t="s">
        <v>35</v>
      </c>
    </row>
    <row r="783" spans="1:8" ht="13" hidden="1">
      <c r="A783" s="15">
        <v>45326.923429895833</v>
      </c>
      <c r="B783" s="16">
        <v>45313</v>
      </c>
      <c r="C783" s="2" t="s">
        <v>26</v>
      </c>
      <c r="D783" s="2" t="s">
        <v>41</v>
      </c>
      <c r="E783" s="2">
        <v>5673</v>
      </c>
      <c r="F783" s="2" t="s">
        <v>100</v>
      </c>
      <c r="H783" s="2" t="s">
        <v>35</v>
      </c>
    </row>
    <row r="784" spans="1:8" ht="13" hidden="1">
      <c r="A784" s="15">
        <v>45319.736377256944</v>
      </c>
      <c r="B784" s="16">
        <v>45314</v>
      </c>
      <c r="C784" s="2" t="s">
        <v>116</v>
      </c>
      <c r="D784" s="2" t="s">
        <v>38</v>
      </c>
      <c r="E784" s="2">
        <v>1182</v>
      </c>
      <c r="F784" s="2" t="s">
        <v>102</v>
      </c>
      <c r="G784" s="2" t="s">
        <v>145</v>
      </c>
      <c r="H784" s="2" t="s">
        <v>35</v>
      </c>
    </row>
    <row r="785" spans="1:8" ht="13" hidden="1">
      <c r="A785" s="15">
        <v>45319.736750138887</v>
      </c>
      <c r="B785" s="16">
        <v>45315</v>
      </c>
      <c r="C785" s="2" t="s">
        <v>112</v>
      </c>
      <c r="D785" s="2" t="s">
        <v>38</v>
      </c>
      <c r="E785" s="2">
        <v>120</v>
      </c>
      <c r="F785" s="2" t="s">
        <v>102</v>
      </c>
      <c r="G785" s="2" t="s">
        <v>356</v>
      </c>
      <c r="H785" s="2" t="s">
        <v>35</v>
      </c>
    </row>
    <row r="786" spans="1:8" ht="13" hidden="1">
      <c r="A786" s="15">
        <v>45319.737121770835</v>
      </c>
      <c r="B786" s="16">
        <v>45315</v>
      </c>
      <c r="C786" s="2" t="s">
        <v>106</v>
      </c>
      <c r="D786" s="2" t="s">
        <v>38</v>
      </c>
      <c r="E786" s="2">
        <v>880</v>
      </c>
      <c r="F786" s="2" t="s">
        <v>102</v>
      </c>
      <c r="G786" s="2" t="s">
        <v>194</v>
      </c>
      <c r="H786" s="2" t="s">
        <v>35</v>
      </c>
    </row>
    <row r="787" spans="1:8" ht="13" hidden="1">
      <c r="A787" s="15">
        <v>45311.771925659719</v>
      </c>
      <c r="B787" s="16">
        <v>45316</v>
      </c>
      <c r="C787" s="2" t="s">
        <v>458</v>
      </c>
      <c r="E787" s="2">
        <v>288710</v>
      </c>
      <c r="H787" s="2" t="s">
        <v>34</v>
      </c>
    </row>
    <row r="788" spans="1:8" ht="13" hidden="1">
      <c r="A788" s="15">
        <v>45294.782022789354</v>
      </c>
      <c r="B788" s="16">
        <v>45316</v>
      </c>
      <c r="C788" s="2" t="s">
        <v>146</v>
      </c>
      <c r="D788" s="2" t="s">
        <v>47</v>
      </c>
      <c r="E788" s="2">
        <v>3400</v>
      </c>
      <c r="F788" s="2" t="s">
        <v>102</v>
      </c>
      <c r="H788" s="2" t="s">
        <v>35</v>
      </c>
    </row>
    <row r="789" spans="1:8" ht="13" hidden="1">
      <c r="A789" s="15">
        <v>45319.737503171295</v>
      </c>
      <c r="B789" s="16">
        <v>45316</v>
      </c>
      <c r="C789" s="2" t="s">
        <v>190</v>
      </c>
      <c r="D789" s="2" t="s">
        <v>38</v>
      </c>
      <c r="E789" s="2">
        <v>970</v>
      </c>
      <c r="F789" s="2" t="s">
        <v>102</v>
      </c>
      <c r="G789" s="2" t="s">
        <v>191</v>
      </c>
      <c r="H789" s="2" t="s">
        <v>35</v>
      </c>
    </row>
    <row r="790" spans="1:8" ht="13" hidden="1">
      <c r="A790" s="15">
        <v>45319.737802534721</v>
      </c>
      <c r="B790" s="16">
        <v>45316</v>
      </c>
      <c r="C790" s="2" t="s">
        <v>112</v>
      </c>
      <c r="D790" s="2" t="s">
        <v>38</v>
      </c>
      <c r="E790" s="2">
        <v>110</v>
      </c>
      <c r="F790" s="2" t="s">
        <v>102</v>
      </c>
      <c r="G790" s="2" t="s">
        <v>103</v>
      </c>
      <c r="H790" s="2" t="s">
        <v>35</v>
      </c>
    </row>
    <row r="791" spans="1:8" ht="13" hidden="1">
      <c r="A791" s="15">
        <v>45326.923677997685</v>
      </c>
      <c r="B791" s="16">
        <v>45316</v>
      </c>
      <c r="C791" s="2" t="s">
        <v>240</v>
      </c>
      <c r="D791" s="2" t="s">
        <v>42</v>
      </c>
      <c r="E791" s="2">
        <v>990</v>
      </c>
      <c r="F791" s="2" t="s">
        <v>100</v>
      </c>
      <c r="H791" s="2" t="s">
        <v>35</v>
      </c>
    </row>
    <row r="792" spans="1:8" ht="13" hidden="1">
      <c r="A792" s="15">
        <v>45294.781271597225</v>
      </c>
      <c r="B792" s="16">
        <v>45317</v>
      </c>
      <c r="C792" s="2" t="s">
        <v>11</v>
      </c>
      <c r="D792" s="2" t="s">
        <v>47</v>
      </c>
      <c r="E792" s="2">
        <v>30000</v>
      </c>
      <c r="F792" s="2" t="s">
        <v>102</v>
      </c>
      <c r="H792" s="2" t="s">
        <v>35</v>
      </c>
    </row>
    <row r="793" spans="1:8" ht="13" hidden="1">
      <c r="A793" s="15">
        <v>45319.738188368057</v>
      </c>
      <c r="B793" s="16">
        <v>45317</v>
      </c>
      <c r="C793" s="2" t="s">
        <v>459</v>
      </c>
      <c r="D793" s="2" t="s">
        <v>38</v>
      </c>
      <c r="E793" s="2">
        <v>288</v>
      </c>
      <c r="F793" s="2" t="s">
        <v>102</v>
      </c>
      <c r="G793" s="2" t="s">
        <v>356</v>
      </c>
      <c r="H793" s="2" t="s">
        <v>35</v>
      </c>
    </row>
    <row r="794" spans="1:8" ht="13" hidden="1">
      <c r="A794" s="15">
        <v>45319.738506620371</v>
      </c>
      <c r="B794" s="16">
        <v>45317</v>
      </c>
      <c r="C794" s="2" t="s">
        <v>116</v>
      </c>
      <c r="D794" s="2" t="s">
        <v>38</v>
      </c>
      <c r="E794" s="2">
        <v>1218</v>
      </c>
      <c r="F794" s="2" t="s">
        <v>102</v>
      </c>
      <c r="G794" s="2" t="s">
        <v>145</v>
      </c>
      <c r="H794" s="2" t="s">
        <v>35</v>
      </c>
    </row>
    <row r="795" spans="1:8" ht="13" hidden="1">
      <c r="A795" s="15">
        <v>45326.923970023148</v>
      </c>
      <c r="B795" s="16">
        <v>45317</v>
      </c>
      <c r="C795" s="2" t="s">
        <v>247</v>
      </c>
      <c r="D795" s="2" t="s">
        <v>39</v>
      </c>
      <c r="E795" s="2">
        <v>3600</v>
      </c>
      <c r="F795" s="2" t="s">
        <v>100</v>
      </c>
      <c r="H795" s="2" t="s">
        <v>35</v>
      </c>
    </row>
    <row r="796" spans="1:8" ht="13" hidden="1">
      <c r="A796" s="15">
        <v>45326.924304953704</v>
      </c>
      <c r="B796" s="16">
        <v>45317</v>
      </c>
      <c r="C796" s="2" t="s">
        <v>350</v>
      </c>
      <c r="D796" s="2" t="s">
        <v>40</v>
      </c>
      <c r="E796" s="2">
        <v>1000</v>
      </c>
      <c r="F796" s="2" t="s">
        <v>100</v>
      </c>
      <c r="H796" s="2" t="s">
        <v>35</v>
      </c>
    </row>
    <row r="797" spans="1:8" ht="13" hidden="1">
      <c r="A797" s="15">
        <v>45319.738800937499</v>
      </c>
      <c r="B797" s="16">
        <v>45318</v>
      </c>
      <c r="C797" s="2" t="s">
        <v>226</v>
      </c>
      <c r="E797" s="2">
        <v>4000</v>
      </c>
      <c r="H797" s="2" t="s">
        <v>34</v>
      </c>
    </row>
    <row r="798" spans="1:8" ht="13" hidden="1">
      <c r="A798" s="15">
        <v>45319.739117766207</v>
      </c>
      <c r="B798" s="16">
        <v>45318</v>
      </c>
      <c r="C798" s="2" t="s">
        <v>460</v>
      </c>
      <c r="D798" s="2" t="s">
        <v>39</v>
      </c>
      <c r="E798" s="2">
        <v>7680</v>
      </c>
      <c r="F798" s="2" t="s">
        <v>102</v>
      </c>
      <c r="G798" s="2" t="s">
        <v>227</v>
      </c>
      <c r="H798" s="2" t="s">
        <v>35</v>
      </c>
    </row>
    <row r="799" spans="1:8" ht="13" hidden="1">
      <c r="A799" s="15">
        <v>45319.739480127319</v>
      </c>
      <c r="B799" s="16">
        <v>45319</v>
      </c>
      <c r="C799" s="2" t="s">
        <v>116</v>
      </c>
      <c r="D799" s="2" t="s">
        <v>38</v>
      </c>
      <c r="E799" s="2">
        <v>522</v>
      </c>
      <c r="F799" s="2" t="s">
        <v>102</v>
      </c>
      <c r="G799" s="2" t="s">
        <v>145</v>
      </c>
      <c r="H799" s="2" t="s">
        <v>35</v>
      </c>
    </row>
    <row r="800" spans="1:8" ht="13" hidden="1">
      <c r="A800" s="15">
        <v>45319.7398359375</v>
      </c>
      <c r="B800" s="16">
        <v>45319</v>
      </c>
      <c r="C800" s="2" t="s">
        <v>461</v>
      </c>
      <c r="D800" s="2" t="s">
        <v>45</v>
      </c>
      <c r="E800" s="2">
        <v>1824</v>
      </c>
      <c r="F800" s="2" t="s">
        <v>102</v>
      </c>
      <c r="G800" s="2" t="s">
        <v>343</v>
      </c>
      <c r="H800" s="2" t="s">
        <v>35</v>
      </c>
    </row>
    <row r="801" spans="1:8" ht="13" hidden="1">
      <c r="A801" s="15">
        <v>45319.740171585647</v>
      </c>
      <c r="B801" s="16">
        <v>45319</v>
      </c>
      <c r="C801" s="2" t="s">
        <v>236</v>
      </c>
      <c r="D801" s="2" t="s">
        <v>43</v>
      </c>
      <c r="E801" s="2">
        <v>327</v>
      </c>
      <c r="F801" s="2" t="s">
        <v>102</v>
      </c>
      <c r="G801" s="2" t="s">
        <v>346</v>
      </c>
      <c r="H801" s="2" t="s">
        <v>35</v>
      </c>
    </row>
    <row r="802" spans="1:8" ht="13" hidden="1">
      <c r="A802" s="15">
        <v>45333.950255821765</v>
      </c>
      <c r="B802" s="16">
        <v>45319</v>
      </c>
      <c r="C802" s="2" t="s">
        <v>158</v>
      </c>
      <c r="D802" s="2" t="s">
        <v>49</v>
      </c>
      <c r="E802" s="2">
        <v>4980</v>
      </c>
      <c r="F802" s="2" t="s">
        <v>100</v>
      </c>
      <c r="H802" s="2" t="s">
        <v>35</v>
      </c>
    </row>
    <row r="803" spans="1:8" ht="13" hidden="1">
      <c r="A803" s="15">
        <v>45294.780357766205</v>
      </c>
      <c r="B803" s="16">
        <v>45320</v>
      </c>
      <c r="C803" s="2" t="s">
        <v>462</v>
      </c>
      <c r="D803" s="2" t="s">
        <v>5</v>
      </c>
      <c r="E803" s="2">
        <v>93000</v>
      </c>
      <c r="F803" s="2" t="s">
        <v>102</v>
      </c>
      <c r="H803" s="2" t="s">
        <v>35</v>
      </c>
    </row>
    <row r="804" spans="1:8" ht="13" hidden="1">
      <c r="A804" s="15">
        <v>45294.78093581018</v>
      </c>
      <c r="B804" s="16">
        <v>45320</v>
      </c>
      <c r="C804" s="2" t="s">
        <v>17</v>
      </c>
      <c r="D804" s="2" t="s">
        <v>45</v>
      </c>
      <c r="E804" s="2">
        <v>8470</v>
      </c>
      <c r="F804" s="2" t="s">
        <v>102</v>
      </c>
      <c r="H804" s="2" t="s">
        <v>35</v>
      </c>
    </row>
    <row r="805" spans="1:8" ht="13" hidden="1">
      <c r="A805" s="15">
        <v>45294.781610138889</v>
      </c>
      <c r="B805" s="16">
        <v>45320</v>
      </c>
      <c r="C805" s="2" t="s">
        <v>239</v>
      </c>
      <c r="D805" s="2" t="s">
        <v>47</v>
      </c>
      <c r="E805" s="2">
        <v>20000</v>
      </c>
      <c r="F805" s="2" t="s">
        <v>102</v>
      </c>
      <c r="H805" s="2" t="s">
        <v>35</v>
      </c>
    </row>
    <row r="806" spans="1:8" ht="13" hidden="1">
      <c r="A806" s="15">
        <v>45294.78284295139</v>
      </c>
      <c r="B806" s="16">
        <v>45320</v>
      </c>
      <c r="C806" s="2" t="s">
        <v>408</v>
      </c>
      <c r="D806" s="2" t="s">
        <v>152</v>
      </c>
      <c r="E806" s="2">
        <v>10000</v>
      </c>
      <c r="F806" s="2" t="s">
        <v>102</v>
      </c>
      <c r="H806" s="2" t="s">
        <v>35</v>
      </c>
    </row>
    <row r="807" spans="1:8" ht="13" hidden="1">
      <c r="A807" s="15">
        <v>45294.782348136578</v>
      </c>
      <c r="B807" s="16">
        <v>45320</v>
      </c>
      <c r="C807" s="2" t="s">
        <v>9</v>
      </c>
      <c r="D807" s="2" t="s">
        <v>47</v>
      </c>
      <c r="E807" s="2">
        <v>13600</v>
      </c>
      <c r="F807" s="2" t="s">
        <v>102</v>
      </c>
      <c r="H807" s="2" t="s">
        <v>35</v>
      </c>
    </row>
    <row r="808" spans="1:8" ht="13" hidden="1">
      <c r="A808" s="15">
        <v>45326.885698541664</v>
      </c>
      <c r="B808" s="16">
        <v>45320</v>
      </c>
      <c r="C808" s="2" t="s">
        <v>116</v>
      </c>
      <c r="D808" s="2" t="s">
        <v>38</v>
      </c>
      <c r="E808" s="2">
        <v>734</v>
      </c>
      <c r="F808" s="2" t="s">
        <v>102</v>
      </c>
      <c r="G808" s="2" t="s">
        <v>145</v>
      </c>
      <c r="H808" s="2" t="s">
        <v>35</v>
      </c>
    </row>
    <row r="809" spans="1:8" ht="13" hidden="1">
      <c r="A809" s="15">
        <v>45333.950598750002</v>
      </c>
      <c r="B809" s="16">
        <v>45320</v>
      </c>
      <c r="C809" s="2" t="s">
        <v>409</v>
      </c>
      <c r="D809" s="2" t="s">
        <v>40</v>
      </c>
      <c r="E809" s="2">
        <v>14190</v>
      </c>
      <c r="F809" s="2" t="s">
        <v>100</v>
      </c>
      <c r="G809" s="2" t="s">
        <v>463</v>
      </c>
      <c r="H809" s="2" t="s">
        <v>35</v>
      </c>
    </row>
    <row r="810" spans="1:8" ht="13" hidden="1">
      <c r="A810" s="15">
        <v>45326.88801145833</v>
      </c>
      <c r="B810" s="16">
        <v>45321</v>
      </c>
      <c r="C810" s="2" t="s">
        <v>111</v>
      </c>
      <c r="D810" s="2" t="s">
        <v>38</v>
      </c>
      <c r="E810" s="2">
        <v>1000</v>
      </c>
      <c r="F810" s="2" t="s">
        <v>102</v>
      </c>
      <c r="H810" s="2" t="s">
        <v>35</v>
      </c>
    </row>
    <row r="811" spans="1:8" ht="13" hidden="1">
      <c r="A811" s="15">
        <v>45326.886692245374</v>
      </c>
      <c r="B811" s="16">
        <v>45322</v>
      </c>
      <c r="C811" s="2" t="s">
        <v>464</v>
      </c>
      <c r="D811" s="2" t="s">
        <v>38</v>
      </c>
      <c r="E811" s="2">
        <v>1100</v>
      </c>
      <c r="F811" s="2" t="s">
        <v>102</v>
      </c>
      <c r="H811" s="2" t="s">
        <v>35</v>
      </c>
    </row>
    <row r="812" spans="1:8" ht="13" hidden="1">
      <c r="A812" s="15">
        <v>45326.888362465281</v>
      </c>
      <c r="B812" s="16">
        <v>45322</v>
      </c>
      <c r="C812" s="2" t="s">
        <v>112</v>
      </c>
      <c r="D812" s="2" t="s">
        <v>38</v>
      </c>
      <c r="E812" s="2">
        <v>140</v>
      </c>
      <c r="F812" s="2" t="s">
        <v>102</v>
      </c>
      <c r="G812" s="2" t="s">
        <v>356</v>
      </c>
      <c r="H812" s="2" t="s">
        <v>35</v>
      </c>
    </row>
    <row r="813" spans="1:8" ht="13" hidden="1">
      <c r="A813" s="15">
        <v>45326.888656597221</v>
      </c>
      <c r="B813" s="16">
        <v>45322</v>
      </c>
      <c r="C813" s="2" t="s">
        <v>116</v>
      </c>
      <c r="D813" s="2" t="s">
        <v>38</v>
      </c>
      <c r="E813" s="2">
        <v>406</v>
      </c>
      <c r="F813" s="2" t="s">
        <v>102</v>
      </c>
      <c r="G813" s="2" t="s">
        <v>145</v>
      </c>
      <c r="H813" s="2" t="s">
        <v>35</v>
      </c>
    </row>
    <row r="814" spans="1:8" ht="13" hidden="1">
      <c r="A814" s="15">
        <v>45326.922307789355</v>
      </c>
      <c r="B814" s="16">
        <v>45322</v>
      </c>
      <c r="C814" s="2" t="s">
        <v>87</v>
      </c>
      <c r="E814" s="2">
        <v>30000</v>
      </c>
      <c r="H814" s="2" t="s">
        <v>34</v>
      </c>
    </row>
    <row r="815" spans="1:8" ht="13" hidden="1">
      <c r="A815" s="15">
        <v>45326.88907532407</v>
      </c>
      <c r="B815" s="16">
        <v>45323</v>
      </c>
      <c r="C815" s="2" t="s">
        <v>287</v>
      </c>
      <c r="D815" s="2" t="s">
        <v>38</v>
      </c>
      <c r="E815" s="2">
        <v>400</v>
      </c>
      <c r="F815" s="2" t="s">
        <v>102</v>
      </c>
      <c r="G815" s="2" t="s">
        <v>199</v>
      </c>
      <c r="H815" s="2" t="s">
        <v>35</v>
      </c>
    </row>
    <row r="816" spans="1:8" ht="13" hidden="1">
      <c r="A816" s="15">
        <v>45326.889616203705</v>
      </c>
      <c r="B816" s="16">
        <v>45323</v>
      </c>
      <c r="C816" s="2" t="s">
        <v>106</v>
      </c>
      <c r="D816" s="2" t="s">
        <v>38</v>
      </c>
      <c r="E816" s="2">
        <v>1100</v>
      </c>
      <c r="F816" s="2" t="s">
        <v>102</v>
      </c>
      <c r="G816" s="2" t="s">
        <v>227</v>
      </c>
      <c r="H816" s="2" t="s">
        <v>35</v>
      </c>
    </row>
    <row r="817" spans="1:8" ht="13" hidden="1">
      <c r="A817" s="15">
        <v>45333.951039178239</v>
      </c>
      <c r="B817" s="16">
        <v>45323</v>
      </c>
      <c r="C817" s="2" t="s">
        <v>109</v>
      </c>
      <c r="D817" s="2" t="s">
        <v>152</v>
      </c>
      <c r="E817" s="2">
        <v>6100</v>
      </c>
      <c r="F817" s="2" t="s">
        <v>100</v>
      </c>
      <c r="G817" s="2" t="s">
        <v>465</v>
      </c>
      <c r="H817" s="2" t="s">
        <v>35</v>
      </c>
    </row>
    <row r="818" spans="1:8" ht="13" hidden="1">
      <c r="A818" s="15">
        <v>45333.951340092593</v>
      </c>
      <c r="B818" s="16">
        <v>45323</v>
      </c>
      <c r="C818" s="2" t="s">
        <v>10</v>
      </c>
      <c r="D818" s="2" t="s">
        <v>45</v>
      </c>
      <c r="E818" s="2">
        <v>280</v>
      </c>
      <c r="F818" s="2" t="s">
        <v>100</v>
      </c>
      <c r="H818" s="2" t="s">
        <v>35</v>
      </c>
    </row>
    <row r="819" spans="1:8" ht="13" hidden="1">
      <c r="A819" s="15">
        <v>45333.951714409719</v>
      </c>
      <c r="B819" s="16">
        <v>45323</v>
      </c>
      <c r="C819" s="2" t="s">
        <v>248</v>
      </c>
      <c r="D819" s="2" t="s">
        <v>49</v>
      </c>
      <c r="E819" s="2">
        <v>700</v>
      </c>
      <c r="F819" s="2" t="s">
        <v>100</v>
      </c>
      <c r="G819" s="2" t="s">
        <v>179</v>
      </c>
      <c r="H819" s="2" t="s">
        <v>35</v>
      </c>
    </row>
    <row r="820" spans="1:8" ht="13" hidden="1">
      <c r="A820" s="15">
        <v>45326.889372407408</v>
      </c>
      <c r="B820" s="16">
        <v>45324</v>
      </c>
      <c r="C820" s="2" t="s">
        <v>112</v>
      </c>
      <c r="D820" s="2" t="s">
        <v>38</v>
      </c>
      <c r="E820" s="2">
        <v>140</v>
      </c>
      <c r="F820" s="2" t="s">
        <v>102</v>
      </c>
      <c r="G820" s="2" t="s">
        <v>356</v>
      </c>
      <c r="H820" s="2" t="s">
        <v>35</v>
      </c>
    </row>
    <row r="821" spans="1:8" ht="13" hidden="1">
      <c r="A821" s="15">
        <v>45326.889913217594</v>
      </c>
      <c r="B821" s="16">
        <v>45324</v>
      </c>
      <c r="C821" s="2" t="s">
        <v>112</v>
      </c>
      <c r="D821" s="2" t="s">
        <v>38</v>
      </c>
      <c r="E821" s="2">
        <v>110</v>
      </c>
      <c r="F821" s="2" t="s">
        <v>102</v>
      </c>
      <c r="G821" s="2" t="s">
        <v>103</v>
      </c>
      <c r="H821" s="2" t="s">
        <v>35</v>
      </c>
    </row>
    <row r="822" spans="1:8" ht="13" hidden="1">
      <c r="A822" s="15">
        <v>45326.890234074075</v>
      </c>
      <c r="B822" s="16">
        <v>45324</v>
      </c>
      <c r="C822" s="2" t="s">
        <v>466</v>
      </c>
      <c r="D822" s="2" t="s">
        <v>39</v>
      </c>
      <c r="E822" s="2">
        <v>7000</v>
      </c>
      <c r="F822" s="2" t="s">
        <v>102</v>
      </c>
      <c r="H822" s="2" t="s">
        <v>35</v>
      </c>
    </row>
    <row r="823" spans="1:8" ht="13" hidden="1">
      <c r="A823" s="15">
        <v>45326.890484062504</v>
      </c>
      <c r="B823" s="16">
        <v>45324</v>
      </c>
      <c r="C823" s="2" t="s">
        <v>105</v>
      </c>
      <c r="D823" s="2" t="s">
        <v>40</v>
      </c>
      <c r="E823" s="2">
        <v>1200</v>
      </c>
      <c r="F823" s="2" t="s">
        <v>102</v>
      </c>
      <c r="H823" s="2" t="s">
        <v>35</v>
      </c>
    </row>
    <row r="824" spans="1:8" ht="13" hidden="1">
      <c r="A824" s="15">
        <v>45326.920011759255</v>
      </c>
      <c r="B824" s="16">
        <v>45325</v>
      </c>
      <c r="C824" s="2" t="s">
        <v>467</v>
      </c>
      <c r="D824" s="2" t="s">
        <v>46</v>
      </c>
      <c r="E824" s="2">
        <v>1270</v>
      </c>
      <c r="F824" s="2" t="s">
        <v>102</v>
      </c>
      <c r="G824" s="2" t="s">
        <v>306</v>
      </c>
      <c r="H824" s="2" t="s">
        <v>35</v>
      </c>
    </row>
    <row r="825" spans="1:8" ht="13" hidden="1">
      <c r="A825" s="15">
        <v>45326.920333263886</v>
      </c>
      <c r="B825" s="16">
        <v>45325</v>
      </c>
      <c r="C825" s="2" t="s">
        <v>116</v>
      </c>
      <c r="D825" s="2" t="s">
        <v>38</v>
      </c>
      <c r="E825" s="2">
        <v>2395</v>
      </c>
      <c r="F825" s="2" t="s">
        <v>102</v>
      </c>
      <c r="G825" s="2" t="s">
        <v>145</v>
      </c>
      <c r="H825" s="2" t="s">
        <v>35</v>
      </c>
    </row>
    <row r="826" spans="1:8" ht="13" hidden="1">
      <c r="A826" s="15">
        <v>45326.920651238426</v>
      </c>
      <c r="B826" s="16">
        <v>45325</v>
      </c>
      <c r="C826" s="2" t="s">
        <v>468</v>
      </c>
      <c r="D826" s="2" t="s">
        <v>39</v>
      </c>
      <c r="E826" s="2">
        <v>1400</v>
      </c>
      <c r="F826" s="2" t="s">
        <v>102</v>
      </c>
      <c r="G826" s="2" t="s">
        <v>443</v>
      </c>
      <c r="H826" s="2" t="s">
        <v>35</v>
      </c>
    </row>
    <row r="827" spans="1:8" ht="13" hidden="1">
      <c r="A827" s="15">
        <v>45333.951994224539</v>
      </c>
      <c r="B827" s="16">
        <v>45325</v>
      </c>
      <c r="C827" s="2" t="s">
        <v>105</v>
      </c>
      <c r="D827" s="2" t="s">
        <v>40</v>
      </c>
      <c r="E827" s="2">
        <v>4600</v>
      </c>
      <c r="F827" s="2" t="s">
        <v>100</v>
      </c>
      <c r="H827" s="2" t="s">
        <v>35</v>
      </c>
    </row>
    <row r="828" spans="1:8" ht="13" hidden="1">
      <c r="A828" s="15">
        <v>45333.952301550926</v>
      </c>
      <c r="B828" s="16">
        <v>45325</v>
      </c>
      <c r="C828" s="2" t="s">
        <v>204</v>
      </c>
      <c r="D828" s="2" t="s">
        <v>45</v>
      </c>
      <c r="E828" s="2">
        <v>5200</v>
      </c>
      <c r="F828" s="2" t="s">
        <v>100</v>
      </c>
      <c r="H828" s="2" t="s">
        <v>35</v>
      </c>
    </row>
    <row r="829" spans="1:8" ht="13" hidden="1">
      <c r="A829" s="15">
        <v>45326.920988136575</v>
      </c>
      <c r="B829" s="16">
        <v>45326</v>
      </c>
      <c r="C829" s="2" t="s">
        <v>112</v>
      </c>
      <c r="D829" s="2" t="s">
        <v>39</v>
      </c>
      <c r="E829" s="2">
        <v>700</v>
      </c>
      <c r="F829" s="2" t="s">
        <v>102</v>
      </c>
      <c r="G829" s="2" t="s">
        <v>186</v>
      </c>
      <c r="H829" s="2" t="s">
        <v>35</v>
      </c>
    </row>
    <row r="830" spans="1:8" ht="13" hidden="1">
      <c r="A830" s="15">
        <v>45326.921272731481</v>
      </c>
      <c r="B830" s="16">
        <v>45326</v>
      </c>
      <c r="C830" s="2" t="s">
        <v>116</v>
      </c>
      <c r="D830" s="2" t="s">
        <v>38</v>
      </c>
      <c r="E830" s="2">
        <v>1187</v>
      </c>
      <c r="F830" s="2" t="s">
        <v>102</v>
      </c>
      <c r="G830" s="2" t="s">
        <v>145</v>
      </c>
      <c r="H830" s="2" t="s">
        <v>35</v>
      </c>
    </row>
    <row r="831" spans="1:8" ht="13" hidden="1">
      <c r="A831" s="15">
        <v>45333.952623368052</v>
      </c>
      <c r="B831" s="16">
        <v>45326</v>
      </c>
      <c r="C831" s="2" t="s">
        <v>240</v>
      </c>
      <c r="D831" s="2" t="s">
        <v>42</v>
      </c>
      <c r="E831" s="2">
        <v>990</v>
      </c>
      <c r="F831" s="2" t="s">
        <v>100</v>
      </c>
      <c r="H831" s="2" t="s">
        <v>35</v>
      </c>
    </row>
    <row r="832" spans="1:8" ht="13" hidden="1">
      <c r="A832" s="15">
        <v>45304.615429872691</v>
      </c>
      <c r="B832" s="16">
        <v>45327</v>
      </c>
      <c r="C832" s="2" t="s">
        <v>469</v>
      </c>
      <c r="D832" s="2" t="s">
        <v>40</v>
      </c>
      <c r="E832" s="2">
        <v>10110</v>
      </c>
      <c r="F832" s="2" t="s">
        <v>102</v>
      </c>
      <c r="H832" s="2" t="s">
        <v>35</v>
      </c>
    </row>
    <row r="833" spans="1:8" ht="13" hidden="1">
      <c r="A833" s="15">
        <v>45333.939501643516</v>
      </c>
      <c r="B833" s="16">
        <v>45327</v>
      </c>
      <c r="C833" s="2" t="s">
        <v>470</v>
      </c>
      <c r="D833" s="2" t="s">
        <v>38</v>
      </c>
      <c r="E833" s="2">
        <v>1890</v>
      </c>
      <c r="F833" s="2" t="s">
        <v>102</v>
      </c>
      <c r="H833" s="2" t="s">
        <v>35</v>
      </c>
    </row>
    <row r="834" spans="1:8" ht="13" hidden="1">
      <c r="A834" s="15">
        <v>45333.940010300925</v>
      </c>
      <c r="B834" s="16">
        <v>45328</v>
      </c>
      <c r="C834" s="2" t="s">
        <v>112</v>
      </c>
      <c r="D834" s="2" t="s">
        <v>38</v>
      </c>
      <c r="E834" s="2">
        <v>110</v>
      </c>
      <c r="F834" s="2" t="s">
        <v>102</v>
      </c>
      <c r="G834" s="2" t="s">
        <v>103</v>
      </c>
      <c r="H834" s="2" t="s">
        <v>35</v>
      </c>
    </row>
    <row r="835" spans="1:8" ht="13" hidden="1">
      <c r="A835" s="15">
        <v>45333.940433738426</v>
      </c>
      <c r="B835" s="16">
        <v>45328</v>
      </c>
      <c r="C835" s="2" t="s">
        <v>440</v>
      </c>
      <c r="D835" s="2" t="s">
        <v>38</v>
      </c>
      <c r="E835" s="2">
        <v>248</v>
      </c>
      <c r="F835" s="2" t="s">
        <v>102</v>
      </c>
      <c r="G835" s="2" t="s">
        <v>103</v>
      </c>
      <c r="H835" s="2" t="s">
        <v>35</v>
      </c>
    </row>
    <row r="836" spans="1:8" ht="13" hidden="1">
      <c r="A836" s="15">
        <v>45333.949290185185</v>
      </c>
      <c r="B836" s="16">
        <v>45328</v>
      </c>
      <c r="C836" s="2" t="s">
        <v>258</v>
      </c>
      <c r="E836" s="2">
        <v>78070</v>
      </c>
      <c r="H836" s="2" t="s">
        <v>34</v>
      </c>
    </row>
    <row r="837" spans="1:8" ht="13" hidden="1">
      <c r="A837" s="15">
        <v>45333.940829942134</v>
      </c>
      <c r="B837" s="16">
        <v>45329</v>
      </c>
      <c r="C837" s="2" t="s">
        <v>163</v>
      </c>
      <c r="D837" s="2" t="s">
        <v>38</v>
      </c>
      <c r="E837" s="2">
        <v>1850</v>
      </c>
      <c r="F837" s="2" t="s">
        <v>102</v>
      </c>
      <c r="G837" s="2" t="s">
        <v>164</v>
      </c>
      <c r="H837" s="2" t="s">
        <v>35</v>
      </c>
    </row>
    <row r="838" spans="1:8" ht="13" hidden="1">
      <c r="A838" s="15">
        <v>45333.941214525461</v>
      </c>
      <c r="B838" s="16">
        <v>45329</v>
      </c>
      <c r="C838" s="2" t="s">
        <v>471</v>
      </c>
      <c r="D838" s="2" t="s">
        <v>38</v>
      </c>
      <c r="E838" s="2">
        <v>1139</v>
      </c>
      <c r="F838" s="2" t="s">
        <v>102</v>
      </c>
      <c r="G838" s="2" t="s">
        <v>145</v>
      </c>
      <c r="H838" s="2" t="s">
        <v>35</v>
      </c>
    </row>
    <row r="839" spans="1:8" ht="13" hidden="1">
      <c r="A839" s="15">
        <v>45333.942246550927</v>
      </c>
      <c r="B839" s="16">
        <v>45329</v>
      </c>
      <c r="C839" s="2" t="s">
        <v>472</v>
      </c>
      <c r="D839" s="2" t="s">
        <v>45</v>
      </c>
      <c r="E839" s="2">
        <v>497</v>
      </c>
      <c r="F839" s="2" t="s">
        <v>102</v>
      </c>
      <c r="H839" s="2" t="s">
        <v>35</v>
      </c>
    </row>
    <row r="840" spans="1:8" ht="13" hidden="1">
      <c r="A840" s="15">
        <v>45333.942566284721</v>
      </c>
      <c r="B840" s="16">
        <v>45329</v>
      </c>
      <c r="C840" s="2" t="s">
        <v>473</v>
      </c>
      <c r="D840" s="2" t="s">
        <v>45</v>
      </c>
      <c r="E840" s="2">
        <v>920</v>
      </c>
      <c r="F840" s="2" t="s">
        <v>102</v>
      </c>
      <c r="H840" s="2" t="s">
        <v>35</v>
      </c>
    </row>
    <row r="841" spans="1:8" ht="13" hidden="1">
      <c r="A841" s="15">
        <v>45333.9428190162</v>
      </c>
      <c r="B841" s="16">
        <v>45329</v>
      </c>
      <c r="C841" s="2" t="s">
        <v>474</v>
      </c>
      <c r="D841" s="2" t="s">
        <v>38</v>
      </c>
      <c r="E841" s="2">
        <v>190</v>
      </c>
      <c r="F841" s="2" t="s">
        <v>102</v>
      </c>
      <c r="H841" s="2" t="s">
        <v>35</v>
      </c>
    </row>
    <row r="842" spans="1:8" ht="13" hidden="1">
      <c r="A842" s="15">
        <v>45333.952974074069</v>
      </c>
      <c r="B842" s="16">
        <v>45329</v>
      </c>
      <c r="C842" s="2" t="s">
        <v>409</v>
      </c>
      <c r="D842" s="2" t="s">
        <v>40</v>
      </c>
      <c r="E842" s="2">
        <v>10380</v>
      </c>
      <c r="F842" s="2" t="s">
        <v>100</v>
      </c>
      <c r="G842" s="2" t="s">
        <v>475</v>
      </c>
      <c r="H842" s="2" t="s">
        <v>35</v>
      </c>
    </row>
    <row r="843" spans="1:8" ht="13" hidden="1">
      <c r="A843" s="15">
        <v>45333.943354328701</v>
      </c>
      <c r="B843" s="16">
        <v>45330</v>
      </c>
      <c r="C843" s="2" t="s">
        <v>476</v>
      </c>
      <c r="D843" s="2" t="s">
        <v>38</v>
      </c>
      <c r="E843" s="2">
        <v>226</v>
      </c>
      <c r="F843" s="2" t="s">
        <v>102</v>
      </c>
      <c r="G843" s="2" t="s">
        <v>103</v>
      </c>
      <c r="H843" s="2" t="s">
        <v>35</v>
      </c>
    </row>
    <row r="844" spans="1:8" ht="13" hidden="1">
      <c r="A844" s="15">
        <v>45333.943677708332</v>
      </c>
      <c r="B844" s="16">
        <v>45330</v>
      </c>
      <c r="C844" s="2" t="s">
        <v>294</v>
      </c>
      <c r="D844" s="2" t="s">
        <v>38</v>
      </c>
      <c r="E844" s="2">
        <v>1270</v>
      </c>
      <c r="F844" s="2" t="s">
        <v>102</v>
      </c>
      <c r="G844" s="2" t="s">
        <v>477</v>
      </c>
      <c r="H844" s="2" t="s">
        <v>35</v>
      </c>
    </row>
    <row r="845" spans="1:8" ht="13" hidden="1">
      <c r="A845" s="15">
        <v>45333.953241886571</v>
      </c>
      <c r="B845" s="16">
        <v>45330</v>
      </c>
      <c r="C845" s="2" t="s">
        <v>176</v>
      </c>
      <c r="D845" s="2" t="s">
        <v>41</v>
      </c>
      <c r="E845" s="2">
        <v>3148</v>
      </c>
      <c r="F845" s="2" t="s">
        <v>100</v>
      </c>
      <c r="H845" s="2" t="s">
        <v>35</v>
      </c>
    </row>
    <row r="846" spans="1:8" ht="13" hidden="1">
      <c r="A846" s="15">
        <v>45333.944032569445</v>
      </c>
      <c r="B846" s="16">
        <v>45331</v>
      </c>
      <c r="C846" s="2" t="s">
        <v>478</v>
      </c>
      <c r="D846" s="2" t="s">
        <v>38</v>
      </c>
      <c r="E846" s="2">
        <v>172</v>
      </c>
      <c r="F846" s="2" t="s">
        <v>102</v>
      </c>
      <c r="G846" s="2" t="s">
        <v>103</v>
      </c>
      <c r="H846" s="2" t="s">
        <v>35</v>
      </c>
    </row>
    <row r="847" spans="1:8" ht="13" hidden="1">
      <c r="A847" s="15">
        <v>45333.944265428239</v>
      </c>
      <c r="B847" s="16">
        <v>45331</v>
      </c>
      <c r="C847" s="2" t="s">
        <v>479</v>
      </c>
      <c r="D847" s="2" t="s">
        <v>38</v>
      </c>
      <c r="E847" s="2">
        <v>1000</v>
      </c>
      <c r="F847" s="2" t="s">
        <v>102</v>
      </c>
      <c r="H847" s="2" t="s">
        <v>35</v>
      </c>
    </row>
    <row r="848" spans="1:8" ht="13" hidden="1">
      <c r="A848" s="15">
        <v>45333.944574918976</v>
      </c>
      <c r="B848" s="16">
        <v>45331</v>
      </c>
      <c r="C848" s="2" t="s">
        <v>112</v>
      </c>
      <c r="D848" s="2" t="s">
        <v>38</v>
      </c>
      <c r="E848" s="2">
        <v>110</v>
      </c>
      <c r="F848" s="2" t="s">
        <v>102</v>
      </c>
      <c r="G848" s="2" t="s">
        <v>103</v>
      </c>
      <c r="H848" s="2" t="s">
        <v>35</v>
      </c>
    </row>
    <row r="849" spans="1:8" ht="13" hidden="1">
      <c r="A849" s="15">
        <v>45333.945107523148</v>
      </c>
      <c r="B849" s="16">
        <v>45331</v>
      </c>
      <c r="C849" s="2" t="s">
        <v>480</v>
      </c>
      <c r="D849" s="2" t="s">
        <v>43</v>
      </c>
      <c r="E849" s="2">
        <v>1078</v>
      </c>
      <c r="F849" s="2" t="s">
        <v>102</v>
      </c>
      <c r="H849" s="2" t="s">
        <v>35</v>
      </c>
    </row>
    <row r="850" spans="1:8" ht="13" hidden="1">
      <c r="A850" s="15">
        <v>45333.947504166666</v>
      </c>
      <c r="B850" s="16">
        <v>45331</v>
      </c>
      <c r="C850" s="2" t="s">
        <v>436</v>
      </c>
      <c r="D850" s="2" t="s">
        <v>38</v>
      </c>
      <c r="E850" s="2">
        <v>205</v>
      </c>
      <c r="F850" s="2" t="s">
        <v>102</v>
      </c>
      <c r="G850" s="2" t="s">
        <v>103</v>
      </c>
      <c r="H850" s="2" t="s">
        <v>35</v>
      </c>
    </row>
    <row r="851" spans="1:8" ht="13" hidden="1">
      <c r="A851" s="15">
        <v>45333.95348585648</v>
      </c>
      <c r="B851" s="16">
        <v>45331</v>
      </c>
      <c r="C851" s="2" t="s">
        <v>15</v>
      </c>
      <c r="D851" s="2" t="s">
        <v>48</v>
      </c>
      <c r="E851" s="2">
        <v>880</v>
      </c>
      <c r="F851" s="2" t="s">
        <v>100</v>
      </c>
      <c r="H851" s="2" t="s">
        <v>35</v>
      </c>
    </row>
    <row r="852" spans="1:8" ht="13" hidden="1">
      <c r="A852" s="15">
        <v>45333.947847650459</v>
      </c>
      <c r="B852" s="16">
        <v>45332</v>
      </c>
      <c r="C852" s="2" t="s">
        <v>116</v>
      </c>
      <c r="D852" s="2" t="s">
        <v>38</v>
      </c>
      <c r="E852" s="2">
        <v>2685</v>
      </c>
      <c r="F852" s="2" t="s">
        <v>102</v>
      </c>
      <c r="G852" s="2" t="s">
        <v>145</v>
      </c>
      <c r="H852" s="2" t="s">
        <v>35</v>
      </c>
    </row>
    <row r="853" spans="1:8" ht="13" hidden="1">
      <c r="A853" s="15">
        <v>45340.651390879633</v>
      </c>
      <c r="B853" s="16">
        <v>45332</v>
      </c>
      <c r="C853" s="2" t="s">
        <v>240</v>
      </c>
      <c r="D853" s="2" t="s">
        <v>42</v>
      </c>
      <c r="E853" s="2">
        <v>308</v>
      </c>
      <c r="F853" s="2" t="s">
        <v>100</v>
      </c>
      <c r="H853" s="2" t="s">
        <v>35</v>
      </c>
    </row>
    <row r="854" spans="1:8" ht="13" hidden="1">
      <c r="A854" s="15">
        <v>45340.6517040162</v>
      </c>
      <c r="B854" s="16">
        <v>45332</v>
      </c>
      <c r="C854" s="2" t="s">
        <v>481</v>
      </c>
      <c r="D854" s="2" t="s">
        <v>152</v>
      </c>
      <c r="E854" s="2">
        <v>1000</v>
      </c>
      <c r="F854" s="2" t="s">
        <v>100</v>
      </c>
      <c r="H854" s="2" t="s">
        <v>35</v>
      </c>
    </row>
    <row r="855" spans="1:8" ht="13" hidden="1">
      <c r="A855" s="15">
        <v>45340.651979351853</v>
      </c>
      <c r="B855" s="16">
        <v>45332</v>
      </c>
      <c r="C855" s="2" t="s">
        <v>281</v>
      </c>
      <c r="D855" s="2" t="s">
        <v>39</v>
      </c>
      <c r="E855" s="2">
        <v>1600</v>
      </c>
      <c r="F855" s="2" t="s">
        <v>100</v>
      </c>
      <c r="H855" s="2" t="s">
        <v>35</v>
      </c>
    </row>
    <row r="856" spans="1:8" ht="13" hidden="1">
      <c r="A856" s="15">
        <v>45333.948286412036</v>
      </c>
      <c r="B856" s="16">
        <v>45333</v>
      </c>
      <c r="C856" s="2" t="s">
        <v>482</v>
      </c>
      <c r="D856" s="2" t="s">
        <v>39</v>
      </c>
      <c r="E856" s="2">
        <v>1140</v>
      </c>
      <c r="F856" s="2" t="s">
        <v>102</v>
      </c>
      <c r="G856" s="2" t="s">
        <v>186</v>
      </c>
      <c r="H856" s="2" t="s">
        <v>35</v>
      </c>
    </row>
    <row r="857" spans="1:8" ht="13" hidden="1">
      <c r="A857" s="15">
        <v>45333.948603136574</v>
      </c>
      <c r="B857" s="16">
        <v>45333</v>
      </c>
      <c r="C857" s="2" t="s">
        <v>116</v>
      </c>
      <c r="D857" s="2" t="s">
        <v>38</v>
      </c>
      <c r="E857" s="2">
        <v>820</v>
      </c>
      <c r="F857" s="2" t="s">
        <v>102</v>
      </c>
      <c r="G857" s="2" t="s">
        <v>145</v>
      </c>
      <c r="H857" s="2" t="s">
        <v>35</v>
      </c>
    </row>
    <row r="858" spans="1:8" ht="13" hidden="1">
      <c r="A858" s="15">
        <v>45340.652353784724</v>
      </c>
      <c r="B858" s="16">
        <v>45333</v>
      </c>
      <c r="C858" s="2" t="s">
        <v>240</v>
      </c>
      <c r="D858" s="2" t="s">
        <v>42</v>
      </c>
      <c r="E858" s="2">
        <v>990</v>
      </c>
      <c r="F858" s="2" t="s">
        <v>100</v>
      </c>
      <c r="H858" s="2" t="s">
        <v>35</v>
      </c>
    </row>
    <row r="859" spans="1:8" ht="13" hidden="1">
      <c r="A859" s="15">
        <v>45340.652684479166</v>
      </c>
      <c r="B859" s="16">
        <v>45333</v>
      </c>
      <c r="C859" s="2" t="s">
        <v>483</v>
      </c>
      <c r="D859" s="2" t="s">
        <v>40</v>
      </c>
      <c r="E859" s="2">
        <v>1000</v>
      </c>
      <c r="F859" s="2" t="s">
        <v>100</v>
      </c>
      <c r="H859" s="2" t="s">
        <v>35</v>
      </c>
    </row>
    <row r="860" spans="1:8" ht="13" hidden="1">
      <c r="A860" s="15">
        <v>45340.653619444449</v>
      </c>
      <c r="B860" s="16">
        <v>45333</v>
      </c>
      <c r="C860" s="2" t="s">
        <v>308</v>
      </c>
      <c r="D860" s="2" t="s">
        <v>40</v>
      </c>
      <c r="E860" s="2">
        <v>34580</v>
      </c>
      <c r="F860" s="2" t="s">
        <v>100</v>
      </c>
      <c r="H860" s="2" t="s">
        <v>35</v>
      </c>
    </row>
    <row r="861" spans="1:8" ht="13" hidden="1">
      <c r="A861" s="15">
        <v>45340.653912534719</v>
      </c>
      <c r="B861" s="16">
        <v>45333</v>
      </c>
      <c r="C861" s="2" t="s">
        <v>18</v>
      </c>
      <c r="D861" s="2" t="s">
        <v>41</v>
      </c>
      <c r="E861" s="2">
        <v>5318</v>
      </c>
      <c r="F861" s="2" t="s">
        <v>100</v>
      </c>
      <c r="H861" s="2" t="s">
        <v>35</v>
      </c>
    </row>
    <row r="862" spans="1:8" ht="13" hidden="1">
      <c r="A862" s="15">
        <v>45340.645122974536</v>
      </c>
      <c r="B862" s="16">
        <v>45334</v>
      </c>
      <c r="C862" s="2" t="s">
        <v>116</v>
      </c>
      <c r="D862" s="2" t="s">
        <v>38</v>
      </c>
      <c r="E862" s="2">
        <v>1207</v>
      </c>
      <c r="F862" s="2" t="s">
        <v>102</v>
      </c>
      <c r="G862" s="2" t="s">
        <v>145</v>
      </c>
      <c r="H862" s="2" t="s">
        <v>35</v>
      </c>
    </row>
    <row r="863" spans="1:8" ht="13" hidden="1">
      <c r="A863" s="15">
        <v>45340.645685462965</v>
      </c>
      <c r="B863" s="16">
        <v>45334</v>
      </c>
      <c r="C863" s="2" t="s">
        <v>326</v>
      </c>
      <c r="D863" s="2" t="s">
        <v>39</v>
      </c>
      <c r="E863" s="2">
        <v>1500</v>
      </c>
      <c r="F863" s="2" t="s">
        <v>102</v>
      </c>
      <c r="H863" s="2" t="s">
        <v>35</v>
      </c>
    </row>
    <row r="864" spans="1:8" ht="13" hidden="1">
      <c r="A864" s="15">
        <v>45340.654231192129</v>
      </c>
      <c r="B864" s="16">
        <v>45334</v>
      </c>
      <c r="C864" s="2" t="s">
        <v>418</v>
      </c>
      <c r="D864" s="2" t="s">
        <v>39</v>
      </c>
      <c r="E864" s="2">
        <v>7035</v>
      </c>
      <c r="F864" s="2" t="s">
        <v>100</v>
      </c>
      <c r="H864" s="2" t="s">
        <v>35</v>
      </c>
    </row>
    <row r="865" spans="1:8" ht="13" hidden="1">
      <c r="A865" s="15">
        <v>45340.645468912036</v>
      </c>
      <c r="B865" s="16">
        <v>45335</v>
      </c>
      <c r="C865" s="2" t="s">
        <v>106</v>
      </c>
      <c r="D865" s="2" t="s">
        <v>38</v>
      </c>
      <c r="E865" s="2">
        <v>880</v>
      </c>
      <c r="F865" s="2" t="s">
        <v>102</v>
      </c>
      <c r="G865" s="2" t="s">
        <v>194</v>
      </c>
      <c r="H865" s="2" t="s">
        <v>35</v>
      </c>
    </row>
    <row r="866" spans="1:8" ht="13" hidden="1">
      <c r="A866" s="15">
        <v>45340.645963229166</v>
      </c>
      <c r="B866" s="16">
        <v>45335</v>
      </c>
      <c r="C866" s="2" t="s">
        <v>112</v>
      </c>
      <c r="D866" s="2" t="s">
        <v>38</v>
      </c>
      <c r="E866" s="2">
        <v>110</v>
      </c>
      <c r="F866" s="2" t="s">
        <v>102</v>
      </c>
      <c r="G866" s="2" t="s">
        <v>103</v>
      </c>
      <c r="H866" s="2" t="s">
        <v>35</v>
      </c>
    </row>
    <row r="867" spans="1:8" ht="13" hidden="1">
      <c r="A867" s="15">
        <v>45340.646278055559</v>
      </c>
      <c r="B867" s="16">
        <v>45335</v>
      </c>
      <c r="C867" s="2" t="s">
        <v>116</v>
      </c>
      <c r="D867" s="2" t="s">
        <v>38</v>
      </c>
      <c r="E867" s="2">
        <v>1914</v>
      </c>
      <c r="F867" s="2" t="s">
        <v>102</v>
      </c>
      <c r="G867" s="2" t="s">
        <v>145</v>
      </c>
      <c r="H867" s="2" t="s">
        <v>35</v>
      </c>
    </row>
    <row r="868" spans="1:8" ht="13" hidden="1">
      <c r="A868" s="15">
        <v>45340.65449980324</v>
      </c>
      <c r="B868" s="16">
        <v>45335</v>
      </c>
      <c r="C868" s="2" t="s">
        <v>42</v>
      </c>
      <c r="D868" s="2" t="s">
        <v>42</v>
      </c>
      <c r="E868" s="2">
        <v>1532</v>
      </c>
      <c r="F868" s="2" t="s">
        <v>100</v>
      </c>
      <c r="H868" s="2" t="s">
        <v>35</v>
      </c>
    </row>
    <row r="869" spans="1:8" ht="13" hidden="1">
      <c r="A869" s="15">
        <v>45340.646778981478</v>
      </c>
      <c r="B869" s="16">
        <v>45336</v>
      </c>
      <c r="C869" s="2" t="s">
        <v>116</v>
      </c>
      <c r="D869" s="2" t="s">
        <v>38</v>
      </c>
      <c r="E869" s="2">
        <v>266</v>
      </c>
      <c r="F869" s="2" t="s">
        <v>102</v>
      </c>
      <c r="G869" s="2" t="s">
        <v>116</v>
      </c>
      <c r="H869" s="2" t="s">
        <v>35</v>
      </c>
    </row>
    <row r="870" spans="1:8" ht="13" hidden="1">
      <c r="A870" s="15">
        <v>45340.64713193287</v>
      </c>
      <c r="B870" s="16">
        <v>45336</v>
      </c>
      <c r="C870" s="2" t="s">
        <v>484</v>
      </c>
      <c r="D870" s="2" t="s">
        <v>39</v>
      </c>
      <c r="E870" s="2">
        <v>5600</v>
      </c>
      <c r="F870" s="2" t="s">
        <v>102</v>
      </c>
      <c r="H870" s="2" t="s">
        <v>35</v>
      </c>
    </row>
    <row r="871" spans="1:8" ht="13" hidden="1">
      <c r="A871" s="15">
        <v>45340.654774247683</v>
      </c>
      <c r="B871" s="16">
        <v>45336</v>
      </c>
      <c r="C871" s="2" t="s">
        <v>22</v>
      </c>
      <c r="D871" s="2" t="s">
        <v>39</v>
      </c>
      <c r="E871" s="2">
        <v>2310</v>
      </c>
      <c r="F871" s="2" t="s">
        <v>100</v>
      </c>
      <c r="H871" s="2" t="s">
        <v>35</v>
      </c>
    </row>
    <row r="872" spans="1:8" ht="13" hidden="1">
      <c r="A872" s="15">
        <v>45340.655109467596</v>
      </c>
      <c r="B872" s="16">
        <v>45336</v>
      </c>
      <c r="C872" s="2" t="s">
        <v>485</v>
      </c>
      <c r="D872" s="2" t="s">
        <v>46</v>
      </c>
      <c r="E872" s="2">
        <v>715</v>
      </c>
      <c r="F872" s="2" t="s">
        <v>100</v>
      </c>
      <c r="G872" s="2" t="s">
        <v>129</v>
      </c>
      <c r="H872" s="2" t="s">
        <v>35</v>
      </c>
    </row>
    <row r="873" spans="1:8" ht="13" hidden="1">
      <c r="A873" s="15">
        <v>45340.655497106476</v>
      </c>
      <c r="B873" s="16">
        <v>45336</v>
      </c>
      <c r="C873" s="2" t="s">
        <v>277</v>
      </c>
      <c r="D873" s="2" t="s">
        <v>46</v>
      </c>
      <c r="E873" s="2">
        <v>2530</v>
      </c>
      <c r="F873" s="2" t="s">
        <v>100</v>
      </c>
      <c r="G873" s="2" t="s">
        <v>129</v>
      </c>
      <c r="H873" s="2" t="s">
        <v>35</v>
      </c>
    </row>
    <row r="874" spans="1:8" ht="13" hidden="1">
      <c r="A874" s="15">
        <v>45340.655813310186</v>
      </c>
      <c r="B874" s="16">
        <v>45336</v>
      </c>
      <c r="C874" s="2" t="s">
        <v>183</v>
      </c>
      <c r="D874" s="2" t="s">
        <v>46</v>
      </c>
      <c r="E874" s="2">
        <v>2860</v>
      </c>
      <c r="F874" s="2" t="s">
        <v>100</v>
      </c>
      <c r="G874" s="2" t="s">
        <v>129</v>
      </c>
      <c r="H874" s="2" t="s">
        <v>35</v>
      </c>
    </row>
    <row r="875" spans="1:8" ht="13" hidden="1">
      <c r="A875" s="15">
        <v>45340.647465347225</v>
      </c>
      <c r="B875" s="16">
        <v>45337</v>
      </c>
      <c r="C875" s="2" t="s">
        <v>112</v>
      </c>
      <c r="D875" s="2" t="s">
        <v>38</v>
      </c>
      <c r="E875" s="2">
        <v>140</v>
      </c>
      <c r="F875" s="2" t="s">
        <v>102</v>
      </c>
      <c r="G875" s="2" t="s">
        <v>356</v>
      </c>
      <c r="H875" s="2" t="s">
        <v>35</v>
      </c>
    </row>
    <row r="876" spans="1:8" ht="13" hidden="1">
      <c r="A876" s="15">
        <v>45340.64786164352</v>
      </c>
      <c r="B876" s="16">
        <v>45337</v>
      </c>
      <c r="C876" s="2" t="s">
        <v>486</v>
      </c>
      <c r="D876" s="2" t="s">
        <v>38</v>
      </c>
      <c r="E876" s="2">
        <v>1300</v>
      </c>
      <c r="F876" s="2" t="s">
        <v>102</v>
      </c>
      <c r="H876" s="2" t="s">
        <v>35</v>
      </c>
    </row>
    <row r="877" spans="1:8" ht="13" hidden="1">
      <c r="A877" s="15">
        <v>45340.648397951387</v>
      </c>
      <c r="B877" s="16">
        <v>45338</v>
      </c>
      <c r="C877" s="2" t="s">
        <v>116</v>
      </c>
      <c r="D877" s="2" t="s">
        <v>38</v>
      </c>
      <c r="E877" s="2">
        <v>750</v>
      </c>
      <c r="F877" s="2" t="s">
        <v>102</v>
      </c>
      <c r="G877" s="2" t="s">
        <v>145</v>
      </c>
      <c r="H877" s="2" t="s">
        <v>35</v>
      </c>
    </row>
    <row r="878" spans="1:8" ht="13" hidden="1">
      <c r="A878" s="15">
        <v>45340.649860405094</v>
      </c>
      <c r="B878" s="16">
        <v>45338</v>
      </c>
      <c r="C878" s="2" t="s">
        <v>116</v>
      </c>
      <c r="D878" s="2" t="s">
        <v>38</v>
      </c>
      <c r="E878" s="2">
        <v>1480</v>
      </c>
      <c r="F878" s="2" t="s">
        <v>102</v>
      </c>
      <c r="G878" s="2" t="s">
        <v>145</v>
      </c>
      <c r="H878" s="2" t="s">
        <v>35</v>
      </c>
    </row>
    <row r="879" spans="1:8" ht="13" hidden="1">
      <c r="A879" s="15">
        <v>45347.635101817126</v>
      </c>
      <c r="B879" s="16">
        <v>45338</v>
      </c>
      <c r="C879" s="2" t="s">
        <v>20</v>
      </c>
      <c r="D879" s="2" t="s">
        <v>39</v>
      </c>
      <c r="E879" s="2">
        <v>1490</v>
      </c>
      <c r="F879" s="2" t="s">
        <v>100</v>
      </c>
      <c r="H879" s="2" t="s">
        <v>35</v>
      </c>
    </row>
    <row r="880" spans="1:8" ht="13" hidden="1">
      <c r="A880" s="15">
        <v>45340.648655381941</v>
      </c>
      <c r="B880" s="16">
        <v>45339</v>
      </c>
      <c r="C880" s="2" t="s">
        <v>236</v>
      </c>
      <c r="D880" s="2" t="s">
        <v>43</v>
      </c>
      <c r="E880" s="2">
        <v>327</v>
      </c>
      <c r="F880" s="2" t="s">
        <v>102</v>
      </c>
      <c r="H880" s="2" t="s">
        <v>35</v>
      </c>
    </row>
    <row r="881" spans="1:8" ht="13" hidden="1">
      <c r="A881" s="15">
        <v>45340.64891880787</v>
      </c>
      <c r="B881" s="16">
        <v>45339</v>
      </c>
      <c r="C881" s="2" t="s">
        <v>187</v>
      </c>
      <c r="D881" s="2" t="s">
        <v>45</v>
      </c>
      <c r="E881" s="2">
        <v>550</v>
      </c>
      <c r="F881" s="2" t="s">
        <v>102</v>
      </c>
      <c r="G881" s="2" t="s">
        <v>136</v>
      </c>
      <c r="H881" s="2" t="s">
        <v>35</v>
      </c>
    </row>
    <row r="882" spans="1:8" ht="13" hidden="1">
      <c r="A882" s="15">
        <v>45340.649452696758</v>
      </c>
      <c r="B882" s="16">
        <v>45339</v>
      </c>
      <c r="C882" s="2" t="s">
        <v>487</v>
      </c>
      <c r="D882" s="2" t="s">
        <v>39</v>
      </c>
      <c r="E882" s="2">
        <v>4000</v>
      </c>
      <c r="F882" s="2" t="s">
        <v>102</v>
      </c>
      <c r="H882" s="2" t="s">
        <v>35</v>
      </c>
    </row>
    <row r="883" spans="1:8" ht="13" hidden="1">
      <c r="A883" s="15">
        <v>45347.635439687496</v>
      </c>
      <c r="B883" s="16">
        <v>45339</v>
      </c>
      <c r="C883" s="2" t="s">
        <v>488</v>
      </c>
      <c r="D883" s="2" t="s">
        <v>45</v>
      </c>
      <c r="E883" s="2">
        <v>2780</v>
      </c>
      <c r="F883" s="2" t="s">
        <v>100</v>
      </c>
      <c r="G883" s="2" t="s">
        <v>489</v>
      </c>
      <c r="H883" s="2" t="s">
        <v>35</v>
      </c>
    </row>
    <row r="884" spans="1:8" ht="13" hidden="1">
      <c r="A884" s="15">
        <v>45347.635761620375</v>
      </c>
      <c r="B884" s="16">
        <v>45339</v>
      </c>
      <c r="C884" s="2" t="s">
        <v>350</v>
      </c>
      <c r="D884" s="2" t="s">
        <v>40</v>
      </c>
      <c r="E884" s="2">
        <v>1000</v>
      </c>
      <c r="F884" s="2" t="s">
        <v>100</v>
      </c>
      <c r="H884" s="2" t="s">
        <v>35</v>
      </c>
    </row>
    <row r="885" spans="1:8" ht="13" hidden="1">
      <c r="A885" s="15">
        <v>45347.636076423616</v>
      </c>
      <c r="B885" s="16">
        <v>45339</v>
      </c>
      <c r="C885" s="2" t="s">
        <v>282</v>
      </c>
      <c r="D885" s="2" t="s">
        <v>39</v>
      </c>
      <c r="E885" s="2">
        <v>1100</v>
      </c>
      <c r="F885" s="2" t="s">
        <v>100</v>
      </c>
      <c r="H885" s="2" t="s">
        <v>35</v>
      </c>
    </row>
    <row r="886" spans="1:8" ht="13" hidden="1">
      <c r="A886" s="15">
        <v>45347.636509606484</v>
      </c>
      <c r="B886" s="16">
        <v>45339</v>
      </c>
      <c r="C886" s="2" t="s">
        <v>368</v>
      </c>
      <c r="D886" s="2" t="s">
        <v>39</v>
      </c>
      <c r="E886" s="2">
        <v>1180</v>
      </c>
      <c r="F886" s="2" t="s">
        <v>100</v>
      </c>
      <c r="H886" s="2" t="s">
        <v>35</v>
      </c>
    </row>
    <row r="887" spans="1:8" ht="13" hidden="1">
      <c r="A887" s="15">
        <v>45340.649210891206</v>
      </c>
      <c r="B887" s="16">
        <v>45340</v>
      </c>
      <c r="C887" s="2" t="s">
        <v>116</v>
      </c>
      <c r="D887" s="2" t="s">
        <v>38</v>
      </c>
      <c r="E887" s="2">
        <v>687</v>
      </c>
      <c r="F887" s="2" t="s">
        <v>102</v>
      </c>
      <c r="G887" s="2" t="s">
        <v>145</v>
      </c>
      <c r="H887" s="2" t="s">
        <v>35</v>
      </c>
    </row>
    <row r="888" spans="1:8" ht="13" hidden="1">
      <c r="A888" s="15">
        <v>45342.422816574079</v>
      </c>
      <c r="B888" s="16">
        <v>45341</v>
      </c>
      <c r="C888" s="2" t="s">
        <v>106</v>
      </c>
      <c r="D888" s="2" t="s">
        <v>38</v>
      </c>
      <c r="E888" s="2">
        <v>1200</v>
      </c>
      <c r="F888" s="2" t="s">
        <v>102</v>
      </c>
      <c r="G888" s="2" t="s">
        <v>490</v>
      </c>
      <c r="H888" s="2" t="s">
        <v>35</v>
      </c>
    </row>
    <row r="889" spans="1:8" ht="13" hidden="1">
      <c r="A889" s="15">
        <v>45342.423046840282</v>
      </c>
      <c r="B889" s="16">
        <v>45341</v>
      </c>
      <c r="C889" s="2" t="s">
        <v>326</v>
      </c>
      <c r="D889" s="2" t="s">
        <v>39</v>
      </c>
      <c r="E889" s="2">
        <v>2400</v>
      </c>
      <c r="F889" s="2" t="s">
        <v>102</v>
      </c>
      <c r="H889" s="2" t="s">
        <v>35</v>
      </c>
    </row>
    <row r="890" spans="1:8" ht="13" hidden="1">
      <c r="A890" s="15">
        <v>45347.630389791666</v>
      </c>
      <c r="B890" s="16">
        <v>45342</v>
      </c>
      <c r="C890" s="2" t="s">
        <v>106</v>
      </c>
      <c r="D890" s="2" t="s">
        <v>38</v>
      </c>
      <c r="E890" s="2">
        <v>1100</v>
      </c>
      <c r="F890" s="2" t="s">
        <v>102</v>
      </c>
      <c r="G890" s="2" t="s">
        <v>191</v>
      </c>
      <c r="H890" s="2" t="s">
        <v>35</v>
      </c>
    </row>
    <row r="891" spans="1:8" ht="13" hidden="1">
      <c r="A891" s="15">
        <v>45347.630960937502</v>
      </c>
      <c r="B891" s="16">
        <v>45342</v>
      </c>
      <c r="C891" s="2" t="s">
        <v>112</v>
      </c>
      <c r="D891" s="2" t="s">
        <v>38</v>
      </c>
      <c r="E891" s="2">
        <v>110</v>
      </c>
      <c r="F891" s="2" t="s">
        <v>102</v>
      </c>
      <c r="G891" s="2" t="s">
        <v>103</v>
      </c>
      <c r="H891" s="2" t="s">
        <v>35</v>
      </c>
    </row>
    <row r="892" spans="1:8" ht="13" hidden="1">
      <c r="A892" s="15">
        <v>45347.631292280093</v>
      </c>
      <c r="B892" s="16">
        <v>45342</v>
      </c>
      <c r="C892" s="2" t="s">
        <v>116</v>
      </c>
      <c r="D892" s="2" t="s">
        <v>38</v>
      </c>
      <c r="E892" s="2">
        <v>733</v>
      </c>
      <c r="F892" s="2" t="s">
        <v>102</v>
      </c>
      <c r="G892" s="2" t="s">
        <v>145</v>
      </c>
      <c r="H892" s="2" t="s">
        <v>35</v>
      </c>
    </row>
    <row r="893" spans="1:8" ht="13" hidden="1">
      <c r="A893" s="15">
        <v>45347.631583750001</v>
      </c>
      <c r="B893" s="16">
        <v>45342</v>
      </c>
      <c r="C893" s="2" t="s">
        <v>491</v>
      </c>
      <c r="D893" s="2" t="s">
        <v>45</v>
      </c>
      <c r="E893" s="2">
        <v>723</v>
      </c>
      <c r="F893" s="2" t="s">
        <v>102</v>
      </c>
      <c r="H893" s="2" t="s">
        <v>35</v>
      </c>
    </row>
    <row r="894" spans="1:8" ht="13" hidden="1">
      <c r="A894" s="15">
        <v>45347.636847395828</v>
      </c>
      <c r="B894" s="16">
        <v>45342</v>
      </c>
      <c r="C894" s="2" t="s">
        <v>24</v>
      </c>
      <c r="D894" s="2" t="s">
        <v>49</v>
      </c>
      <c r="E894" s="2">
        <v>1100</v>
      </c>
      <c r="F894" s="2" t="s">
        <v>100</v>
      </c>
      <c r="H894" s="2" t="s">
        <v>35</v>
      </c>
    </row>
    <row r="895" spans="1:8" ht="13" hidden="1">
      <c r="A895" s="15">
        <v>45344.407797789347</v>
      </c>
      <c r="B895" s="16">
        <v>45344</v>
      </c>
      <c r="C895" s="2" t="s">
        <v>492</v>
      </c>
      <c r="E895" s="2">
        <v>343243</v>
      </c>
      <c r="H895" s="2" t="s">
        <v>34</v>
      </c>
    </row>
    <row r="896" spans="1:8" ht="13" hidden="1">
      <c r="A896" s="15">
        <v>45344.408130428244</v>
      </c>
      <c r="B896" s="16">
        <v>45344</v>
      </c>
      <c r="C896" s="2" t="s">
        <v>493</v>
      </c>
      <c r="E896" s="2">
        <v>34580</v>
      </c>
      <c r="H896" s="2" t="s">
        <v>34</v>
      </c>
    </row>
    <row r="897" spans="1:8" ht="13" hidden="1">
      <c r="A897" s="15">
        <v>45347.631854675928</v>
      </c>
      <c r="B897" s="16">
        <v>45344</v>
      </c>
      <c r="C897" s="2" t="s">
        <v>106</v>
      </c>
      <c r="D897" s="2" t="s">
        <v>38</v>
      </c>
      <c r="E897" s="2">
        <v>1100</v>
      </c>
      <c r="F897" s="2" t="s">
        <v>102</v>
      </c>
      <c r="G897" s="2" t="s">
        <v>260</v>
      </c>
      <c r="H897" s="2" t="s">
        <v>35</v>
      </c>
    </row>
    <row r="898" spans="1:8" ht="13" hidden="1">
      <c r="A898" s="15">
        <v>45347.632177569445</v>
      </c>
      <c r="B898" s="16">
        <v>45344</v>
      </c>
      <c r="C898" s="2" t="s">
        <v>294</v>
      </c>
      <c r="D898" s="2" t="s">
        <v>39</v>
      </c>
      <c r="E898" s="2">
        <v>1200</v>
      </c>
      <c r="F898" s="2" t="s">
        <v>102</v>
      </c>
      <c r="G898" s="2" t="s">
        <v>494</v>
      </c>
      <c r="H898" s="2" t="s">
        <v>35</v>
      </c>
    </row>
    <row r="899" spans="1:8" ht="13" hidden="1">
      <c r="A899" s="15">
        <v>45354.823484247681</v>
      </c>
      <c r="B899" s="16">
        <v>45344</v>
      </c>
      <c r="C899" s="2" t="s">
        <v>240</v>
      </c>
      <c r="D899" s="2" t="s">
        <v>42</v>
      </c>
      <c r="E899" s="2">
        <v>990</v>
      </c>
      <c r="F899" s="2" t="s">
        <v>100</v>
      </c>
      <c r="H899" s="2" t="s">
        <v>35</v>
      </c>
    </row>
    <row r="900" spans="1:8" ht="13" hidden="1">
      <c r="A900" s="15">
        <v>45354.823768865739</v>
      </c>
      <c r="B900" s="16">
        <v>45344</v>
      </c>
      <c r="C900" s="2" t="s">
        <v>105</v>
      </c>
      <c r="D900" s="2" t="s">
        <v>40</v>
      </c>
      <c r="E900" s="2">
        <v>1100</v>
      </c>
      <c r="F900" s="2" t="s">
        <v>100</v>
      </c>
      <c r="H900" s="2" t="s">
        <v>35</v>
      </c>
    </row>
    <row r="901" spans="1:8" ht="13" hidden="1">
      <c r="A901" s="15">
        <v>45347.632492233795</v>
      </c>
      <c r="B901" s="16">
        <v>45345</v>
      </c>
      <c r="C901" s="2" t="s">
        <v>116</v>
      </c>
      <c r="D901" s="2" t="s">
        <v>38</v>
      </c>
      <c r="E901" s="2">
        <v>1800</v>
      </c>
      <c r="F901" s="2" t="s">
        <v>102</v>
      </c>
      <c r="G901" s="2" t="s">
        <v>145</v>
      </c>
      <c r="H901" s="2" t="s">
        <v>35</v>
      </c>
    </row>
    <row r="902" spans="1:8" ht="13" hidden="1">
      <c r="A902" s="15">
        <v>45354.824008807875</v>
      </c>
      <c r="B902" s="16">
        <v>45345</v>
      </c>
      <c r="C902" s="2" t="s">
        <v>105</v>
      </c>
      <c r="D902" s="2" t="s">
        <v>40</v>
      </c>
      <c r="E902" s="2">
        <v>3800</v>
      </c>
      <c r="F902" s="2" t="s">
        <v>100</v>
      </c>
      <c r="H902" s="2" t="s">
        <v>35</v>
      </c>
    </row>
    <row r="903" spans="1:8" ht="13" hidden="1">
      <c r="A903" s="15">
        <v>45347.632819953702</v>
      </c>
      <c r="B903" s="16">
        <v>45346</v>
      </c>
      <c r="C903" s="2" t="s">
        <v>495</v>
      </c>
      <c r="D903" s="2" t="s">
        <v>45</v>
      </c>
      <c r="E903" s="2">
        <v>550</v>
      </c>
      <c r="F903" s="2" t="s">
        <v>102</v>
      </c>
      <c r="G903" s="2" t="s">
        <v>136</v>
      </c>
      <c r="H903" s="2" t="s">
        <v>35</v>
      </c>
    </row>
    <row r="904" spans="1:8" ht="13" hidden="1">
      <c r="A904" s="15">
        <v>45347.633155115742</v>
      </c>
      <c r="B904" s="16">
        <v>45346</v>
      </c>
      <c r="C904" s="2" t="s">
        <v>116</v>
      </c>
      <c r="D904" s="2" t="s">
        <v>38</v>
      </c>
      <c r="E904" s="2">
        <v>938</v>
      </c>
      <c r="F904" s="2" t="s">
        <v>102</v>
      </c>
      <c r="G904" s="2" t="s">
        <v>145</v>
      </c>
      <c r="H904" s="2" t="s">
        <v>35</v>
      </c>
    </row>
    <row r="905" spans="1:8" ht="13" hidden="1">
      <c r="A905" s="15">
        <v>45347.633537986112</v>
      </c>
      <c r="B905" s="16">
        <v>45347</v>
      </c>
      <c r="C905" s="2" t="s">
        <v>163</v>
      </c>
      <c r="D905" s="2" t="s">
        <v>38</v>
      </c>
      <c r="E905" s="2">
        <v>1860</v>
      </c>
      <c r="F905" s="2" t="s">
        <v>102</v>
      </c>
      <c r="G905" s="2" t="s">
        <v>164</v>
      </c>
      <c r="H905" s="2" t="s">
        <v>35</v>
      </c>
    </row>
    <row r="906" spans="1:8" ht="13" hidden="1">
      <c r="A906" s="15">
        <v>45347.633807962964</v>
      </c>
      <c r="B906" s="16">
        <v>45347</v>
      </c>
      <c r="C906" s="2" t="s">
        <v>116</v>
      </c>
      <c r="D906" s="2" t="s">
        <v>38</v>
      </c>
      <c r="E906" s="2">
        <v>994</v>
      </c>
      <c r="F906" s="2" t="s">
        <v>102</v>
      </c>
      <c r="G906" s="2" t="s">
        <v>145</v>
      </c>
      <c r="H906" s="2" t="s">
        <v>35</v>
      </c>
    </row>
    <row r="907" spans="1:8" ht="13" hidden="1">
      <c r="A907" s="15">
        <v>45340.665025219903</v>
      </c>
      <c r="B907" s="16">
        <v>45348</v>
      </c>
      <c r="C907" s="2" t="s">
        <v>146</v>
      </c>
      <c r="D907" s="2" t="s">
        <v>47</v>
      </c>
      <c r="E907" s="2">
        <v>3400</v>
      </c>
      <c r="F907" s="2" t="s">
        <v>102</v>
      </c>
      <c r="H907" s="2" t="s">
        <v>35</v>
      </c>
    </row>
    <row r="908" spans="1:8" ht="13" hidden="1">
      <c r="A908" s="15">
        <v>45340.666596030089</v>
      </c>
      <c r="B908" s="16">
        <v>45348</v>
      </c>
      <c r="C908" s="2" t="s">
        <v>408</v>
      </c>
      <c r="D908" s="2" t="s">
        <v>152</v>
      </c>
      <c r="E908" s="2">
        <v>10000</v>
      </c>
      <c r="F908" s="2" t="s">
        <v>102</v>
      </c>
      <c r="H908" s="2" t="s">
        <v>35</v>
      </c>
    </row>
    <row r="909" spans="1:8" ht="13" hidden="1">
      <c r="A909" s="15">
        <v>45354.816948993059</v>
      </c>
      <c r="B909" s="16">
        <v>45348</v>
      </c>
      <c r="C909" s="2" t="s">
        <v>372</v>
      </c>
      <c r="D909" s="2" t="s">
        <v>38</v>
      </c>
      <c r="E909" s="2">
        <v>1200</v>
      </c>
      <c r="F909" s="2" t="s">
        <v>102</v>
      </c>
      <c r="G909" s="2" t="s">
        <v>490</v>
      </c>
      <c r="H909" s="2" t="s">
        <v>35</v>
      </c>
    </row>
    <row r="910" spans="1:8" ht="13" hidden="1">
      <c r="A910" s="15">
        <v>45354.817317280089</v>
      </c>
      <c r="B910" s="16">
        <v>45348</v>
      </c>
      <c r="C910" s="2" t="s">
        <v>114</v>
      </c>
      <c r="D910" s="2" t="s">
        <v>38</v>
      </c>
      <c r="E910" s="2">
        <v>138</v>
      </c>
      <c r="F910" s="2" t="s">
        <v>102</v>
      </c>
      <c r="G910" s="2" t="s">
        <v>356</v>
      </c>
      <c r="H910" s="2" t="s">
        <v>35</v>
      </c>
    </row>
    <row r="911" spans="1:8" ht="13" hidden="1">
      <c r="A911" s="15">
        <v>45354.81763174769</v>
      </c>
      <c r="B911" s="16">
        <v>45348</v>
      </c>
      <c r="C911" s="2" t="s">
        <v>496</v>
      </c>
      <c r="D911" s="2" t="s">
        <v>38</v>
      </c>
      <c r="E911" s="2">
        <v>524</v>
      </c>
      <c r="F911" s="2" t="s">
        <v>102</v>
      </c>
      <c r="G911" s="2" t="s">
        <v>356</v>
      </c>
      <c r="H911" s="2" t="s">
        <v>35</v>
      </c>
    </row>
    <row r="912" spans="1:8" ht="13" hidden="1">
      <c r="A912" s="15">
        <v>45340.66543572917</v>
      </c>
      <c r="B912" s="16">
        <v>45349</v>
      </c>
      <c r="C912" s="2" t="s">
        <v>11</v>
      </c>
      <c r="D912" s="2" t="s">
        <v>47</v>
      </c>
      <c r="E912" s="2">
        <v>30000</v>
      </c>
      <c r="F912" s="2" t="s">
        <v>102</v>
      </c>
      <c r="H912" s="2" t="s">
        <v>35</v>
      </c>
    </row>
    <row r="913" spans="1:8" ht="13" hidden="1">
      <c r="A913" s="15">
        <v>45340.665825763892</v>
      </c>
      <c r="B913" s="16">
        <v>45349</v>
      </c>
      <c r="C913" s="2" t="s">
        <v>497</v>
      </c>
      <c r="D913" s="2" t="s">
        <v>5</v>
      </c>
      <c r="E913" s="2">
        <v>93000</v>
      </c>
      <c r="F913" s="2" t="s">
        <v>102</v>
      </c>
      <c r="H913" s="2" t="s">
        <v>35</v>
      </c>
    </row>
    <row r="914" spans="1:8" ht="13" hidden="1">
      <c r="A914" s="15">
        <v>45340.666083298609</v>
      </c>
      <c r="B914" s="16">
        <v>45349</v>
      </c>
      <c r="C914" s="2" t="s">
        <v>17</v>
      </c>
      <c r="D914" s="2" t="s">
        <v>45</v>
      </c>
      <c r="E914" s="2">
        <v>8470</v>
      </c>
      <c r="F914" s="2" t="s">
        <v>102</v>
      </c>
      <c r="H914" s="2" t="s">
        <v>35</v>
      </c>
    </row>
    <row r="915" spans="1:8" ht="13" hidden="1">
      <c r="A915" s="15">
        <v>45340.666339097224</v>
      </c>
      <c r="B915" s="16">
        <v>45349</v>
      </c>
      <c r="C915" s="2" t="s">
        <v>239</v>
      </c>
      <c r="D915" s="2" t="s">
        <v>47</v>
      </c>
      <c r="E915" s="2">
        <v>20000</v>
      </c>
      <c r="F915" s="2" t="s">
        <v>102</v>
      </c>
      <c r="H915" s="2" t="s">
        <v>35</v>
      </c>
    </row>
    <row r="916" spans="1:8" ht="13" hidden="1">
      <c r="A916" s="15">
        <v>45340.666946435187</v>
      </c>
      <c r="B916" s="16">
        <v>45349</v>
      </c>
      <c r="C916" s="2" t="s">
        <v>9</v>
      </c>
      <c r="D916" s="2" t="s">
        <v>47</v>
      </c>
      <c r="E916" s="2">
        <v>13600</v>
      </c>
      <c r="F916" s="2" t="s">
        <v>102</v>
      </c>
      <c r="H916" s="2" t="s">
        <v>35</v>
      </c>
    </row>
    <row r="917" spans="1:8" ht="13" hidden="1">
      <c r="A917" s="15">
        <v>45354.817955856481</v>
      </c>
      <c r="B917" s="16">
        <v>45349</v>
      </c>
      <c r="C917" s="2" t="s">
        <v>116</v>
      </c>
      <c r="D917" s="2" t="s">
        <v>38</v>
      </c>
      <c r="E917" s="2">
        <v>1328</v>
      </c>
      <c r="F917" s="2" t="s">
        <v>102</v>
      </c>
      <c r="G917" s="2" t="s">
        <v>145</v>
      </c>
      <c r="H917" s="2" t="s">
        <v>35</v>
      </c>
    </row>
    <row r="918" spans="1:8" ht="13" hidden="1">
      <c r="A918" s="15">
        <v>45354.818317893514</v>
      </c>
      <c r="B918" s="16">
        <v>45351</v>
      </c>
      <c r="C918" s="2" t="s">
        <v>110</v>
      </c>
      <c r="D918" s="2" t="s">
        <v>38</v>
      </c>
      <c r="E918" s="2">
        <v>248</v>
      </c>
      <c r="F918" s="2" t="s">
        <v>102</v>
      </c>
      <c r="G918" s="2" t="s">
        <v>103</v>
      </c>
      <c r="H918" s="2" t="s">
        <v>35</v>
      </c>
    </row>
    <row r="919" spans="1:8" ht="13" hidden="1">
      <c r="A919" s="15">
        <v>45354.818644108796</v>
      </c>
      <c r="B919" s="16">
        <v>45351</v>
      </c>
      <c r="C919" s="2" t="s">
        <v>190</v>
      </c>
      <c r="D919" s="2" t="s">
        <v>38</v>
      </c>
      <c r="E919" s="2">
        <v>1100</v>
      </c>
      <c r="F919" s="2" t="s">
        <v>102</v>
      </c>
      <c r="G919" s="2" t="s">
        <v>191</v>
      </c>
      <c r="H919" s="2" t="s">
        <v>35</v>
      </c>
    </row>
    <row r="920" spans="1:8" ht="13" hidden="1">
      <c r="A920" s="15">
        <v>45354.818948553242</v>
      </c>
      <c r="B920" s="16">
        <v>45351</v>
      </c>
      <c r="C920" s="2" t="s">
        <v>112</v>
      </c>
      <c r="D920" s="2" t="s">
        <v>38</v>
      </c>
      <c r="E920" s="2">
        <v>110</v>
      </c>
      <c r="F920" s="2" t="s">
        <v>102</v>
      </c>
      <c r="G920" s="2" t="s">
        <v>103</v>
      </c>
      <c r="H920" s="2" t="s">
        <v>35</v>
      </c>
    </row>
    <row r="921" spans="1:8" ht="13" hidden="1">
      <c r="A921" s="15">
        <v>45354.819290636573</v>
      </c>
      <c r="B921" s="16">
        <v>45351</v>
      </c>
      <c r="C921" s="2" t="s">
        <v>116</v>
      </c>
      <c r="D921" s="2" t="s">
        <v>38</v>
      </c>
      <c r="E921" s="2">
        <v>532</v>
      </c>
      <c r="F921" s="2" t="s">
        <v>102</v>
      </c>
      <c r="G921" s="2" t="s">
        <v>145</v>
      </c>
      <c r="H921" s="2" t="s">
        <v>35</v>
      </c>
    </row>
    <row r="922" spans="1:8" ht="13" hidden="1">
      <c r="A922" s="15">
        <v>45354.819654548613</v>
      </c>
      <c r="B922" s="16">
        <v>45352</v>
      </c>
      <c r="C922" s="2" t="s">
        <v>106</v>
      </c>
      <c r="D922" s="2" t="s">
        <v>38</v>
      </c>
      <c r="E922" s="2">
        <v>880</v>
      </c>
      <c r="F922" s="2" t="s">
        <v>102</v>
      </c>
      <c r="G922" s="2" t="s">
        <v>194</v>
      </c>
      <c r="H922" s="2" t="s">
        <v>35</v>
      </c>
    </row>
    <row r="923" spans="1:8" ht="13" hidden="1">
      <c r="A923" s="15">
        <v>45367.701538472218</v>
      </c>
      <c r="B923" s="16">
        <v>45352</v>
      </c>
      <c r="C923" s="2" t="s">
        <v>248</v>
      </c>
      <c r="D923" s="2" t="s">
        <v>49</v>
      </c>
      <c r="E923" s="2">
        <v>700</v>
      </c>
      <c r="F923" s="2" t="s">
        <v>100</v>
      </c>
      <c r="G923" s="2" t="s">
        <v>179</v>
      </c>
      <c r="H923" s="2" t="s">
        <v>35</v>
      </c>
    </row>
    <row r="924" spans="1:8" ht="13" hidden="1">
      <c r="A924" s="15">
        <v>45367.701925868052</v>
      </c>
      <c r="B924" s="16">
        <v>45352</v>
      </c>
      <c r="C924" s="2" t="s">
        <v>10</v>
      </c>
      <c r="D924" s="2" t="s">
        <v>45</v>
      </c>
      <c r="E924" s="2">
        <v>280</v>
      </c>
      <c r="F924" s="2" t="s">
        <v>100</v>
      </c>
      <c r="H924" s="2" t="s">
        <v>35</v>
      </c>
    </row>
    <row r="925" spans="1:8" ht="13" hidden="1">
      <c r="A925" s="15">
        <v>45354.819919293979</v>
      </c>
      <c r="B925" s="16">
        <v>45353</v>
      </c>
      <c r="C925" s="2" t="s">
        <v>116</v>
      </c>
      <c r="D925" s="2" t="s">
        <v>38</v>
      </c>
      <c r="E925" s="2">
        <v>2283</v>
      </c>
      <c r="F925" s="2" t="s">
        <v>102</v>
      </c>
      <c r="G925" s="2" t="s">
        <v>145</v>
      </c>
      <c r="H925" s="2" t="s">
        <v>35</v>
      </c>
    </row>
    <row r="926" spans="1:8" ht="13" hidden="1">
      <c r="A926" s="15">
        <v>45354.820245289353</v>
      </c>
      <c r="B926" s="16">
        <v>45353</v>
      </c>
      <c r="C926" s="2" t="s">
        <v>498</v>
      </c>
      <c r="D926" s="2" t="s">
        <v>45</v>
      </c>
      <c r="E926" s="2">
        <v>2550</v>
      </c>
      <c r="F926" s="2" t="s">
        <v>102</v>
      </c>
      <c r="H926" s="2" t="s">
        <v>35</v>
      </c>
    </row>
    <row r="927" spans="1:8" ht="13" hidden="1">
      <c r="A927" s="15">
        <v>45367.703743124999</v>
      </c>
      <c r="B927" s="16">
        <v>45353</v>
      </c>
      <c r="C927" s="2" t="s">
        <v>277</v>
      </c>
      <c r="D927" s="2" t="s">
        <v>46</v>
      </c>
      <c r="E927" s="2">
        <v>2420</v>
      </c>
      <c r="F927" s="2" t="s">
        <v>100</v>
      </c>
      <c r="G927" s="2" t="s">
        <v>129</v>
      </c>
      <c r="H927" s="2" t="s">
        <v>35</v>
      </c>
    </row>
    <row r="928" spans="1:8" ht="13" hidden="1">
      <c r="A928" s="15">
        <v>45367.704227638889</v>
      </c>
      <c r="B928" s="16">
        <v>45353</v>
      </c>
      <c r="C928" s="2" t="s">
        <v>499</v>
      </c>
      <c r="D928" s="2" t="s">
        <v>38</v>
      </c>
      <c r="E928" s="2">
        <v>3116</v>
      </c>
      <c r="F928" s="2" t="s">
        <v>100</v>
      </c>
      <c r="G928" s="2" t="s">
        <v>129</v>
      </c>
      <c r="H928" s="2" t="s">
        <v>35</v>
      </c>
    </row>
    <row r="929" spans="1:8" ht="13" hidden="1">
      <c r="A929" s="15">
        <v>45354.820523148148</v>
      </c>
      <c r="B929" s="16">
        <v>45354</v>
      </c>
      <c r="C929" s="2" t="s">
        <v>236</v>
      </c>
      <c r="D929" s="2" t="s">
        <v>43</v>
      </c>
      <c r="E929" s="2">
        <v>327</v>
      </c>
      <c r="F929" s="2" t="s">
        <v>102</v>
      </c>
      <c r="H929" s="2" t="s">
        <v>35</v>
      </c>
    </row>
    <row r="930" spans="1:8" ht="13" hidden="1">
      <c r="A930" s="15">
        <v>45354.821691412042</v>
      </c>
      <c r="B930" s="16">
        <v>45354</v>
      </c>
      <c r="C930" s="2" t="s">
        <v>168</v>
      </c>
      <c r="D930" s="2" t="s">
        <v>45</v>
      </c>
      <c r="E930" s="2">
        <v>440</v>
      </c>
      <c r="F930" s="2" t="s">
        <v>102</v>
      </c>
      <c r="G930" s="2" t="s">
        <v>136</v>
      </c>
      <c r="H930" s="2" t="s">
        <v>35</v>
      </c>
    </row>
    <row r="931" spans="1:8" ht="13" hidden="1">
      <c r="A931" s="15">
        <v>45354.822026979164</v>
      </c>
      <c r="B931" s="16">
        <v>45354</v>
      </c>
      <c r="C931" s="2" t="s">
        <v>116</v>
      </c>
      <c r="D931" s="2" t="s">
        <v>38</v>
      </c>
      <c r="E931" s="2">
        <v>2000</v>
      </c>
      <c r="F931" s="2" t="s">
        <v>102</v>
      </c>
      <c r="G931" s="2" t="s">
        <v>145</v>
      </c>
      <c r="H931" s="2" t="s">
        <v>35</v>
      </c>
    </row>
    <row r="932" spans="1:8" ht="13" hidden="1">
      <c r="A932" s="15">
        <v>45354.822381550926</v>
      </c>
      <c r="B932" s="16">
        <v>45354</v>
      </c>
      <c r="C932" s="2" t="s">
        <v>500</v>
      </c>
      <c r="D932" s="2" t="s">
        <v>46</v>
      </c>
      <c r="E932" s="2">
        <v>1540</v>
      </c>
      <c r="F932" s="2" t="s">
        <v>102</v>
      </c>
      <c r="G932" s="2" t="s">
        <v>306</v>
      </c>
      <c r="H932" s="2" t="s">
        <v>35</v>
      </c>
    </row>
    <row r="933" spans="1:8" ht="13" hidden="1">
      <c r="A933" s="15">
        <v>45367.704890104171</v>
      </c>
      <c r="B933" s="16">
        <v>45354</v>
      </c>
      <c r="C933" s="2" t="s">
        <v>277</v>
      </c>
      <c r="D933" s="2" t="s">
        <v>46</v>
      </c>
      <c r="E933" s="2">
        <v>2978</v>
      </c>
      <c r="F933" s="2" t="s">
        <v>100</v>
      </c>
      <c r="G933" s="2" t="s">
        <v>129</v>
      </c>
      <c r="H933" s="2" t="s">
        <v>35</v>
      </c>
    </row>
    <row r="934" spans="1:8" ht="13" hidden="1">
      <c r="A934" s="15">
        <v>45367.705229270832</v>
      </c>
      <c r="B934" s="16">
        <v>45354</v>
      </c>
      <c r="C934" s="2" t="s">
        <v>277</v>
      </c>
      <c r="D934" s="2" t="s">
        <v>46</v>
      </c>
      <c r="E934" s="2">
        <v>1300</v>
      </c>
      <c r="F934" s="2" t="s">
        <v>100</v>
      </c>
      <c r="G934" s="2" t="s">
        <v>129</v>
      </c>
      <c r="H934" s="2" t="s">
        <v>35</v>
      </c>
    </row>
    <row r="935" spans="1:8" ht="13" hidden="1">
      <c r="A935" s="15">
        <v>45367.732956886575</v>
      </c>
      <c r="B935" s="16">
        <v>45354</v>
      </c>
      <c r="C935" s="2" t="s">
        <v>204</v>
      </c>
      <c r="D935" s="2" t="s">
        <v>45</v>
      </c>
      <c r="E935" s="2">
        <v>5200</v>
      </c>
      <c r="F935" s="2" t="s">
        <v>100</v>
      </c>
      <c r="H935" s="2" t="s">
        <v>35</v>
      </c>
    </row>
    <row r="936" spans="1:8" ht="13" hidden="1">
      <c r="A936" s="15">
        <v>45365.967316643517</v>
      </c>
      <c r="B936" s="16">
        <v>45356</v>
      </c>
      <c r="C936" s="2" t="s">
        <v>168</v>
      </c>
      <c r="D936" s="2" t="s">
        <v>45</v>
      </c>
      <c r="E936" s="2">
        <v>440</v>
      </c>
      <c r="F936" s="2" t="s">
        <v>102</v>
      </c>
      <c r="G936" s="2" t="s">
        <v>136</v>
      </c>
      <c r="H936" s="2" t="s">
        <v>35</v>
      </c>
    </row>
    <row r="937" spans="1:8" ht="13" hidden="1">
      <c r="A937" s="15">
        <v>45365.96769193287</v>
      </c>
      <c r="B937" s="16">
        <v>45356</v>
      </c>
      <c r="C937" s="2" t="s">
        <v>116</v>
      </c>
      <c r="D937" s="2" t="s">
        <v>38</v>
      </c>
      <c r="E937" s="2">
        <v>766</v>
      </c>
      <c r="F937" s="2" t="s">
        <v>102</v>
      </c>
      <c r="G937" s="2" t="s">
        <v>145</v>
      </c>
      <c r="H937" s="2" t="s">
        <v>35</v>
      </c>
    </row>
    <row r="938" spans="1:8" ht="13" hidden="1">
      <c r="A938" s="15">
        <v>45365.979779224537</v>
      </c>
      <c r="B938" s="16">
        <v>45356</v>
      </c>
      <c r="C938" s="2" t="s">
        <v>258</v>
      </c>
      <c r="E938" s="2">
        <v>18840</v>
      </c>
      <c r="H938" s="2" t="s">
        <v>34</v>
      </c>
    </row>
    <row r="939" spans="1:8" ht="13" hidden="1">
      <c r="A939" s="15">
        <v>45365.968210844905</v>
      </c>
      <c r="B939" s="16">
        <v>45357</v>
      </c>
      <c r="C939" s="2" t="s">
        <v>139</v>
      </c>
      <c r="D939" s="2" t="s">
        <v>38</v>
      </c>
      <c r="E939" s="2">
        <v>184</v>
      </c>
      <c r="F939" s="2" t="s">
        <v>102</v>
      </c>
      <c r="G939" s="2" t="s">
        <v>107</v>
      </c>
      <c r="H939" s="2" t="s">
        <v>35</v>
      </c>
    </row>
    <row r="940" spans="1:8" ht="13" hidden="1">
      <c r="A940" s="15">
        <v>45365.968404548606</v>
      </c>
      <c r="B940" s="16">
        <v>45357</v>
      </c>
      <c r="C940" s="2" t="s">
        <v>501</v>
      </c>
      <c r="E940" s="2">
        <v>200</v>
      </c>
      <c r="H940" s="2" t="s">
        <v>34</v>
      </c>
    </row>
    <row r="941" spans="1:8" ht="13" hidden="1">
      <c r="A941" s="15">
        <v>45365.968612002311</v>
      </c>
      <c r="B941" s="16">
        <v>45357</v>
      </c>
      <c r="C941" s="2" t="s">
        <v>502</v>
      </c>
      <c r="D941" s="2" t="s">
        <v>38</v>
      </c>
      <c r="E941" s="2">
        <v>1100</v>
      </c>
      <c r="F941" s="2" t="s">
        <v>102</v>
      </c>
      <c r="H941" s="2" t="s">
        <v>35</v>
      </c>
    </row>
    <row r="942" spans="1:8" ht="13" hidden="1">
      <c r="A942" s="15">
        <v>45365.968935543977</v>
      </c>
      <c r="B942" s="16">
        <v>45357</v>
      </c>
      <c r="C942" s="2" t="s">
        <v>503</v>
      </c>
      <c r="D942" s="2" t="s">
        <v>38</v>
      </c>
      <c r="E942" s="2">
        <v>293</v>
      </c>
      <c r="F942" s="2" t="s">
        <v>102</v>
      </c>
      <c r="G942" s="2" t="s">
        <v>103</v>
      </c>
      <c r="H942" s="2" t="s">
        <v>35</v>
      </c>
    </row>
    <row r="943" spans="1:8" ht="13" hidden="1">
      <c r="A943" s="15">
        <v>45367.733259687499</v>
      </c>
      <c r="B943" s="16">
        <v>45357</v>
      </c>
      <c r="C943" s="2" t="s">
        <v>504</v>
      </c>
      <c r="D943" s="2" t="s">
        <v>45</v>
      </c>
      <c r="E943" s="2">
        <v>1119</v>
      </c>
      <c r="F943" s="2" t="s">
        <v>100</v>
      </c>
      <c r="H943" s="2" t="s">
        <v>35</v>
      </c>
    </row>
    <row r="944" spans="1:8" ht="13" hidden="1">
      <c r="A944" s="15">
        <v>45367.733608784722</v>
      </c>
      <c r="B944" s="16">
        <v>45357</v>
      </c>
      <c r="C944" s="2" t="s">
        <v>350</v>
      </c>
      <c r="D944" s="2" t="s">
        <v>40</v>
      </c>
      <c r="E944" s="2">
        <v>1000</v>
      </c>
      <c r="F944" s="2" t="s">
        <v>100</v>
      </c>
      <c r="H944" s="2" t="s">
        <v>35</v>
      </c>
    </row>
    <row r="945" spans="1:8" ht="13" hidden="1">
      <c r="A945" s="15">
        <v>45367.73387891204</v>
      </c>
      <c r="B945" s="16">
        <v>45357</v>
      </c>
      <c r="C945" s="2" t="s">
        <v>240</v>
      </c>
      <c r="D945" s="2" t="s">
        <v>42</v>
      </c>
      <c r="E945" s="2">
        <v>990</v>
      </c>
      <c r="F945" s="2" t="s">
        <v>100</v>
      </c>
      <c r="H945" s="2" t="s">
        <v>35</v>
      </c>
    </row>
    <row r="946" spans="1:8" ht="13" hidden="1">
      <c r="A946" s="15">
        <v>45365.969305856481</v>
      </c>
      <c r="B946" s="16">
        <v>45358</v>
      </c>
      <c r="C946" s="2" t="s">
        <v>106</v>
      </c>
      <c r="D946" s="2" t="s">
        <v>38</v>
      </c>
      <c r="E946" s="2">
        <v>1200</v>
      </c>
      <c r="F946" s="2" t="s">
        <v>102</v>
      </c>
      <c r="G946" s="2" t="s">
        <v>227</v>
      </c>
      <c r="H946" s="2" t="s">
        <v>35</v>
      </c>
    </row>
    <row r="947" spans="1:8" ht="13" hidden="1">
      <c r="A947" s="15">
        <v>45365.969706493051</v>
      </c>
      <c r="B947" s="16">
        <v>45358</v>
      </c>
      <c r="C947" s="2" t="s">
        <v>116</v>
      </c>
      <c r="D947" s="2" t="s">
        <v>38</v>
      </c>
      <c r="E947" s="2">
        <v>762</v>
      </c>
      <c r="F947" s="2" t="s">
        <v>102</v>
      </c>
      <c r="G947" s="2" t="s">
        <v>145</v>
      </c>
      <c r="H947" s="2" t="s">
        <v>35</v>
      </c>
    </row>
    <row r="948" spans="1:8" ht="13" hidden="1">
      <c r="A948" s="15">
        <v>45365.970184340273</v>
      </c>
      <c r="B948" s="16">
        <v>45359</v>
      </c>
      <c r="C948" s="2" t="s">
        <v>106</v>
      </c>
      <c r="D948" s="2" t="s">
        <v>38</v>
      </c>
      <c r="E948" s="2">
        <v>1000</v>
      </c>
      <c r="F948" s="2" t="s">
        <v>102</v>
      </c>
      <c r="G948" s="2" t="s">
        <v>194</v>
      </c>
      <c r="H948" s="2" t="s">
        <v>35</v>
      </c>
    </row>
    <row r="949" spans="1:8" ht="13" hidden="1">
      <c r="A949" s="15">
        <v>45365.970704780091</v>
      </c>
      <c r="B949" s="16">
        <v>45359</v>
      </c>
      <c r="C949" s="2" t="s">
        <v>505</v>
      </c>
      <c r="D949" s="2" t="s">
        <v>39</v>
      </c>
      <c r="E949" s="2">
        <v>5500</v>
      </c>
      <c r="F949" s="2" t="s">
        <v>102</v>
      </c>
      <c r="H949" s="2" t="s">
        <v>35</v>
      </c>
    </row>
    <row r="950" spans="1:8" ht="13" hidden="1">
      <c r="A950" s="15">
        <v>45365.980059907408</v>
      </c>
      <c r="B950" s="16">
        <v>45359</v>
      </c>
      <c r="C950" s="2" t="s">
        <v>87</v>
      </c>
      <c r="E950" s="2">
        <v>50000</v>
      </c>
      <c r="H950" s="2" t="s">
        <v>34</v>
      </c>
    </row>
    <row r="951" spans="1:8" ht="13" hidden="1">
      <c r="A951" s="15">
        <v>45367.734203530097</v>
      </c>
      <c r="B951" s="16">
        <v>45359</v>
      </c>
      <c r="C951" s="2" t="s">
        <v>12</v>
      </c>
      <c r="D951" s="2" t="s">
        <v>39</v>
      </c>
      <c r="E951" s="2">
        <v>1320</v>
      </c>
      <c r="F951" s="2" t="s">
        <v>100</v>
      </c>
      <c r="H951" s="2" t="s">
        <v>35</v>
      </c>
    </row>
    <row r="952" spans="1:8" ht="13" hidden="1">
      <c r="A952" s="15">
        <v>45367.734481226857</v>
      </c>
      <c r="B952" s="16">
        <v>45359</v>
      </c>
      <c r="C952" s="2" t="s">
        <v>489</v>
      </c>
      <c r="D952" s="2" t="s">
        <v>45</v>
      </c>
      <c r="E952" s="2">
        <v>130</v>
      </c>
      <c r="F952" s="2" t="s">
        <v>100</v>
      </c>
      <c r="H952" s="2" t="s">
        <v>35</v>
      </c>
    </row>
    <row r="953" spans="1:8" ht="13" hidden="1">
      <c r="A953" s="15">
        <v>45365.971055937502</v>
      </c>
      <c r="B953" s="16">
        <v>45360</v>
      </c>
      <c r="C953" s="2" t="s">
        <v>114</v>
      </c>
      <c r="D953" s="2" t="s">
        <v>38</v>
      </c>
      <c r="E953" s="2">
        <v>170</v>
      </c>
      <c r="F953" s="2" t="s">
        <v>102</v>
      </c>
      <c r="G953" s="2" t="s">
        <v>103</v>
      </c>
      <c r="H953" s="2" t="s">
        <v>35</v>
      </c>
    </row>
    <row r="954" spans="1:8" ht="13" hidden="1">
      <c r="A954" s="15">
        <v>45365.971324548613</v>
      </c>
      <c r="B954" s="16">
        <v>45360</v>
      </c>
      <c r="C954" s="2" t="s">
        <v>168</v>
      </c>
      <c r="D954" s="2" t="s">
        <v>45</v>
      </c>
      <c r="E954" s="2">
        <v>220</v>
      </c>
      <c r="F954" s="2" t="s">
        <v>102</v>
      </c>
      <c r="G954" s="2" t="s">
        <v>136</v>
      </c>
      <c r="H954" s="2" t="s">
        <v>35</v>
      </c>
    </row>
    <row r="955" spans="1:8" ht="13" hidden="1">
      <c r="A955" s="15">
        <v>45365.971699930553</v>
      </c>
      <c r="B955" s="16">
        <v>45360</v>
      </c>
      <c r="C955" s="2" t="s">
        <v>106</v>
      </c>
      <c r="D955" s="2" t="s">
        <v>38</v>
      </c>
      <c r="E955" s="2">
        <v>850</v>
      </c>
      <c r="F955" s="2" t="s">
        <v>102</v>
      </c>
      <c r="G955" s="2" t="s">
        <v>506</v>
      </c>
      <c r="H955" s="2" t="s">
        <v>35</v>
      </c>
    </row>
    <row r="956" spans="1:8" ht="13" hidden="1">
      <c r="A956" s="15">
        <v>45365.971982268515</v>
      </c>
      <c r="B956" s="16">
        <v>45360</v>
      </c>
      <c r="C956" s="2" t="s">
        <v>507</v>
      </c>
      <c r="E956" s="2">
        <v>2000</v>
      </c>
      <c r="H956" s="2" t="s">
        <v>34</v>
      </c>
    </row>
    <row r="957" spans="1:8" ht="13" hidden="1">
      <c r="A957" s="15">
        <v>45367.734775092591</v>
      </c>
      <c r="B957" s="16">
        <v>45360</v>
      </c>
      <c r="C957" s="2" t="s">
        <v>418</v>
      </c>
      <c r="D957" s="2" t="s">
        <v>152</v>
      </c>
      <c r="E957" s="2">
        <v>20860</v>
      </c>
      <c r="F957" s="2" t="s">
        <v>100</v>
      </c>
      <c r="H957" s="2" t="s">
        <v>35</v>
      </c>
    </row>
    <row r="958" spans="1:8" ht="13" hidden="1">
      <c r="A958" s="15">
        <v>45367.735188530089</v>
      </c>
      <c r="B958" s="16">
        <v>45360</v>
      </c>
      <c r="C958" s="2" t="s">
        <v>350</v>
      </c>
      <c r="D958" s="2" t="s">
        <v>40</v>
      </c>
      <c r="E958" s="2">
        <v>2000</v>
      </c>
      <c r="F958" s="2" t="s">
        <v>100</v>
      </c>
      <c r="H958" s="2" t="s">
        <v>35</v>
      </c>
    </row>
    <row r="959" spans="1:8" ht="13" hidden="1">
      <c r="A959" s="15">
        <v>45367.735549201388</v>
      </c>
      <c r="B959" s="16">
        <v>45360</v>
      </c>
      <c r="C959" s="2" t="s">
        <v>240</v>
      </c>
      <c r="D959" s="2" t="s">
        <v>42</v>
      </c>
      <c r="E959" s="2">
        <v>330</v>
      </c>
      <c r="F959" s="2" t="s">
        <v>100</v>
      </c>
      <c r="H959" s="2" t="s">
        <v>35</v>
      </c>
    </row>
    <row r="960" spans="1:8" ht="13" hidden="1">
      <c r="A960" s="15">
        <v>45367.735836273147</v>
      </c>
      <c r="B960" s="16">
        <v>45360</v>
      </c>
      <c r="C960" s="2" t="s">
        <v>105</v>
      </c>
      <c r="D960" s="2" t="s">
        <v>40</v>
      </c>
      <c r="E960" s="2">
        <v>1950</v>
      </c>
      <c r="F960" s="2" t="s">
        <v>100</v>
      </c>
      <c r="H960" s="2" t="s">
        <v>35</v>
      </c>
    </row>
    <row r="961" spans="1:8" ht="13" hidden="1">
      <c r="A961" s="15">
        <v>45367.736110937505</v>
      </c>
      <c r="B961" s="16">
        <v>45360</v>
      </c>
      <c r="C961" s="2" t="s">
        <v>15</v>
      </c>
      <c r="D961" s="2" t="s">
        <v>48</v>
      </c>
      <c r="E961" s="2">
        <v>880</v>
      </c>
      <c r="F961" s="2" t="s">
        <v>100</v>
      </c>
      <c r="H961" s="2" t="s">
        <v>35</v>
      </c>
    </row>
    <row r="962" spans="1:8" ht="13" hidden="1">
      <c r="A962" s="15">
        <v>45365.972318043983</v>
      </c>
      <c r="B962" s="16">
        <v>45361</v>
      </c>
      <c r="C962" s="2" t="s">
        <v>508</v>
      </c>
      <c r="E962" s="2">
        <v>6800</v>
      </c>
      <c r="H962" s="2" t="s">
        <v>34</v>
      </c>
    </row>
    <row r="963" spans="1:8" ht="13" hidden="1">
      <c r="A963" s="15">
        <v>45365.972602245369</v>
      </c>
      <c r="B963" s="16">
        <v>45361</v>
      </c>
      <c r="C963" s="2" t="s">
        <v>509</v>
      </c>
      <c r="D963" s="2" t="s">
        <v>39</v>
      </c>
      <c r="E963" s="2">
        <v>450</v>
      </c>
      <c r="F963" s="2" t="s">
        <v>102</v>
      </c>
      <c r="H963" s="2" t="s">
        <v>35</v>
      </c>
    </row>
    <row r="964" spans="1:8" ht="13" hidden="1">
      <c r="A964" s="15">
        <v>45365.972887361109</v>
      </c>
      <c r="B964" s="16">
        <v>45361</v>
      </c>
      <c r="C964" s="2" t="s">
        <v>114</v>
      </c>
      <c r="D964" s="2" t="s">
        <v>38</v>
      </c>
      <c r="E964" s="2">
        <v>138</v>
      </c>
      <c r="F964" s="2" t="s">
        <v>102</v>
      </c>
      <c r="G964" s="2" t="s">
        <v>356</v>
      </c>
      <c r="H964" s="2" t="s">
        <v>35</v>
      </c>
    </row>
    <row r="965" spans="1:8" ht="13" hidden="1">
      <c r="A965" s="15">
        <v>45365.973152847218</v>
      </c>
      <c r="B965" s="16">
        <v>45361</v>
      </c>
      <c r="C965" s="2" t="s">
        <v>510</v>
      </c>
      <c r="D965" s="2" t="s">
        <v>39</v>
      </c>
      <c r="E965" s="2">
        <v>30000</v>
      </c>
      <c r="F965" s="2" t="s">
        <v>102</v>
      </c>
      <c r="H965" s="2" t="s">
        <v>35</v>
      </c>
    </row>
    <row r="966" spans="1:8" ht="13" hidden="1">
      <c r="A966" s="15">
        <v>45365.973419606482</v>
      </c>
      <c r="B966" s="16">
        <v>45361</v>
      </c>
      <c r="C966" s="2" t="s">
        <v>378</v>
      </c>
      <c r="D966" s="2" t="s">
        <v>43</v>
      </c>
      <c r="E966" s="2">
        <v>792</v>
      </c>
      <c r="F966" s="2" t="s">
        <v>102</v>
      </c>
      <c r="H966" s="2" t="s">
        <v>35</v>
      </c>
    </row>
    <row r="967" spans="1:8" ht="13" hidden="1">
      <c r="A967" s="15">
        <v>45365.974316643522</v>
      </c>
      <c r="B967" s="16">
        <v>45361</v>
      </c>
      <c r="C967" s="2" t="s">
        <v>511</v>
      </c>
      <c r="E967" s="2">
        <v>20000</v>
      </c>
      <c r="H967" s="2" t="s">
        <v>34</v>
      </c>
    </row>
    <row r="968" spans="1:8" ht="13" hidden="1">
      <c r="A968" s="15">
        <v>45365.977260173611</v>
      </c>
      <c r="B968" s="16">
        <v>45361</v>
      </c>
      <c r="C968" s="2" t="s">
        <v>512</v>
      </c>
      <c r="D968" s="2" t="s">
        <v>39</v>
      </c>
      <c r="E968" s="2">
        <v>15000</v>
      </c>
      <c r="F968" s="2" t="s">
        <v>102</v>
      </c>
      <c r="H968" s="2" t="s">
        <v>35</v>
      </c>
    </row>
    <row r="969" spans="1:8" ht="13" hidden="1">
      <c r="A969" s="15">
        <v>45367.736364062497</v>
      </c>
      <c r="B969" s="16">
        <v>45361</v>
      </c>
      <c r="C969" s="2" t="s">
        <v>105</v>
      </c>
      <c r="D969" s="2" t="s">
        <v>40</v>
      </c>
      <c r="E969" s="2">
        <v>990</v>
      </c>
      <c r="F969" s="2" t="s">
        <v>100</v>
      </c>
      <c r="H969" s="2" t="s">
        <v>35</v>
      </c>
    </row>
    <row r="970" spans="1:8" ht="13" hidden="1">
      <c r="A970" s="15">
        <v>45367.736639039351</v>
      </c>
      <c r="B970" s="16">
        <v>45361</v>
      </c>
      <c r="C970" s="2" t="s">
        <v>513</v>
      </c>
      <c r="D970" s="2" t="s">
        <v>39</v>
      </c>
      <c r="E970" s="2">
        <v>10200</v>
      </c>
      <c r="F970" s="2" t="s">
        <v>100</v>
      </c>
      <c r="H970" s="2" t="s">
        <v>35</v>
      </c>
    </row>
    <row r="971" spans="1:8" ht="13" hidden="1">
      <c r="A971" s="15">
        <v>45367.736929432867</v>
      </c>
      <c r="B971" s="16">
        <v>45361</v>
      </c>
      <c r="C971" s="2" t="s">
        <v>240</v>
      </c>
      <c r="D971" s="2" t="s">
        <v>42</v>
      </c>
      <c r="E971" s="2">
        <v>308</v>
      </c>
      <c r="F971" s="2" t="s">
        <v>100</v>
      </c>
      <c r="H971" s="2" t="s">
        <v>35</v>
      </c>
    </row>
    <row r="972" spans="1:8" ht="13" hidden="1">
      <c r="A972" s="15">
        <v>45365.973710069447</v>
      </c>
      <c r="B972" s="16">
        <v>45362</v>
      </c>
      <c r="C972" s="2" t="s">
        <v>105</v>
      </c>
      <c r="D972" s="2" t="s">
        <v>40</v>
      </c>
      <c r="E972" s="2">
        <v>1070</v>
      </c>
      <c r="F972" s="2" t="s">
        <v>102</v>
      </c>
      <c r="H972" s="2" t="s">
        <v>35</v>
      </c>
    </row>
    <row r="973" spans="1:8" ht="13" hidden="1">
      <c r="A973" s="15">
        <v>45365.974040185189</v>
      </c>
      <c r="B973" s="16">
        <v>45362</v>
      </c>
      <c r="C973" s="2" t="s">
        <v>514</v>
      </c>
      <c r="D973" s="2" t="s">
        <v>38</v>
      </c>
      <c r="E973" s="2">
        <v>334</v>
      </c>
      <c r="F973" s="2" t="s">
        <v>102</v>
      </c>
      <c r="G973" s="2" t="s">
        <v>103</v>
      </c>
      <c r="H973" s="2" t="s">
        <v>35</v>
      </c>
    </row>
    <row r="974" spans="1:8" ht="13" hidden="1">
      <c r="A974" s="15">
        <v>45365.974682037035</v>
      </c>
      <c r="B974" s="16">
        <v>45362</v>
      </c>
      <c r="C974" s="2" t="s">
        <v>515</v>
      </c>
      <c r="D974" s="2" t="s">
        <v>39</v>
      </c>
      <c r="E974" s="2">
        <v>2255</v>
      </c>
      <c r="F974" s="2" t="s">
        <v>102</v>
      </c>
      <c r="H974" s="2" t="s">
        <v>35</v>
      </c>
    </row>
    <row r="975" spans="1:8" ht="13" hidden="1">
      <c r="A975" s="15">
        <v>45367.701015787039</v>
      </c>
      <c r="B975" s="16">
        <v>45350</v>
      </c>
      <c r="C975" s="2" t="s">
        <v>158</v>
      </c>
      <c r="D975" s="2" t="s">
        <v>49</v>
      </c>
      <c r="E975" s="2">
        <v>4980</v>
      </c>
      <c r="F975" s="2" t="s">
        <v>100</v>
      </c>
      <c r="H975" s="2" t="s">
        <v>35</v>
      </c>
    </row>
    <row r="976" spans="1:8" ht="13" hidden="1">
      <c r="A976" s="15">
        <v>45365.974990706018</v>
      </c>
      <c r="B976" s="16">
        <v>45362</v>
      </c>
      <c r="C976" s="2" t="s">
        <v>516</v>
      </c>
      <c r="D976" s="2" t="s">
        <v>38</v>
      </c>
      <c r="E976" s="2">
        <v>310</v>
      </c>
      <c r="F976" s="2" t="s">
        <v>102</v>
      </c>
      <c r="H976" s="2" t="s">
        <v>35</v>
      </c>
    </row>
    <row r="977" spans="1:8" ht="13" hidden="1">
      <c r="A977" s="15">
        <v>45365.975640300923</v>
      </c>
      <c r="B977" s="16">
        <v>45362</v>
      </c>
      <c r="C977" s="2" t="s">
        <v>517</v>
      </c>
      <c r="D977" s="2" t="s">
        <v>39</v>
      </c>
      <c r="E977" s="2">
        <v>2000</v>
      </c>
      <c r="F977" s="2" t="s">
        <v>102</v>
      </c>
      <c r="H977" s="2" t="s">
        <v>35</v>
      </c>
    </row>
    <row r="978" spans="1:8" ht="13" hidden="1">
      <c r="A978" s="15">
        <v>45367.73719748843</v>
      </c>
      <c r="B978" s="16">
        <v>45362</v>
      </c>
      <c r="C978" s="2" t="s">
        <v>18</v>
      </c>
      <c r="D978" s="2" t="s">
        <v>41</v>
      </c>
      <c r="E978" s="2">
        <v>5318</v>
      </c>
      <c r="F978" s="2" t="s">
        <v>100</v>
      </c>
      <c r="H978" s="2" t="s">
        <v>35</v>
      </c>
    </row>
    <row r="979" spans="1:8" ht="13" hidden="1">
      <c r="A979" s="15">
        <v>45365.975289270835</v>
      </c>
      <c r="B979" s="16">
        <v>45363</v>
      </c>
      <c r="C979" s="2" t="s">
        <v>518</v>
      </c>
      <c r="D979" s="2" t="s">
        <v>38</v>
      </c>
      <c r="E979" s="2">
        <v>189</v>
      </c>
      <c r="F979" s="2" t="s">
        <v>102</v>
      </c>
      <c r="H979" s="2" t="s">
        <v>35</v>
      </c>
    </row>
    <row r="980" spans="1:8" ht="13" hidden="1">
      <c r="A980" s="15">
        <v>45365.976084131944</v>
      </c>
      <c r="B980" s="16">
        <v>45363</v>
      </c>
      <c r="C980" s="2" t="s">
        <v>519</v>
      </c>
      <c r="D980" s="2" t="s">
        <v>44</v>
      </c>
      <c r="E980" s="2">
        <v>1470</v>
      </c>
      <c r="F980" s="2" t="s">
        <v>102</v>
      </c>
      <c r="G980" s="2" t="s">
        <v>132</v>
      </c>
      <c r="H980" s="2" t="s">
        <v>35</v>
      </c>
    </row>
    <row r="981" spans="1:8" ht="13" hidden="1">
      <c r="A981" s="15">
        <v>45365.976423576387</v>
      </c>
      <c r="B981" s="16">
        <v>45363</v>
      </c>
      <c r="C981" s="2" t="s">
        <v>520</v>
      </c>
      <c r="D981" s="2" t="s">
        <v>39</v>
      </c>
      <c r="E981" s="2">
        <v>5049</v>
      </c>
      <c r="F981" s="2" t="s">
        <v>102</v>
      </c>
      <c r="H981" s="2" t="s">
        <v>35</v>
      </c>
    </row>
    <row r="982" spans="1:8" ht="13" hidden="1">
      <c r="A982" s="15">
        <v>45365.976649814816</v>
      </c>
      <c r="B982" s="16">
        <v>45363</v>
      </c>
      <c r="C982" s="2" t="s">
        <v>521</v>
      </c>
      <c r="E982" s="2">
        <v>2530</v>
      </c>
      <c r="H982" s="2" t="s">
        <v>34</v>
      </c>
    </row>
    <row r="983" spans="1:8" ht="13" hidden="1">
      <c r="A983" s="15">
        <v>45365.976928356482</v>
      </c>
      <c r="B983" s="16">
        <v>45363</v>
      </c>
      <c r="C983" s="2" t="s">
        <v>434</v>
      </c>
      <c r="D983" s="2" t="s">
        <v>38</v>
      </c>
      <c r="E983" s="2">
        <v>246</v>
      </c>
      <c r="F983" s="2" t="s">
        <v>102</v>
      </c>
      <c r="G983" s="2" t="s">
        <v>107</v>
      </c>
      <c r="H983" s="2" t="s">
        <v>35</v>
      </c>
    </row>
    <row r="984" spans="1:8" ht="13" hidden="1">
      <c r="A984" s="15">
        <v>45367.737456076386</v>
      </c>
      <c r="B984" s="16">
        <v>45363</v>
      </c>
      <c r="C984" s="2" t="s">
        <v>418</v>
      </c>
      <c r="D984" s="2" t="s">
        <v>152</v>
      </c>
      <c r="E984" s="2">
        <v>5768</v>
      </c>
      <c r="F984" s="2" t="s">
        <v>100</v>
      </c>
      <c r="H984" s="2" t="s">
        <v>35</v>
      </c>
    </row>
    <row r="985" spans="1:8" ht="13" hidden="1">
      <c r="A985" s="15">
        <v>45365.977551886579</v>
      </c>
      <c r="B985" s="16">
        <v>45364</v>
      </c>
      <c r="C985" s="2" t="s">
        <v>110</v>
      </c>
      <c r="D985" s="2" t="s">
        <v>38</v>
      </c>
      <c r="E985" s="2">
        <v>213</v>
      </c>
      <c r="F985" s="2" t="s">
        <v>102</v>
      </c>
      <c r="G985" s="2" t="s">
        <v>103</v>
      </c>
      <c r="H985" s="2" t="s">
        <v>35</v>
      </c>
    </row>
    <row r="986" spans="1:8" ht="13" hidden="1">
      <c r="A986" s="15">
        <v>45365.977833796293</v>
      </c>
      <c r="B986" s="16">
        <v>45364</v>
      </c>
      <c r="C986" s="2" t="s">
        <v>112</v>
      </c>
      <c r="D986" s="2" t="s">
        <v>38</v>
      </c>
      <c r="E986" s="2">
        <v>120</v>
      </c>
      <c r="F986" s="2" t="s">
        <v>102</v>
      </c>
      <c r="G986" s="2" t="s">
        <v>103</v>
      </c>
      <c r="H986" s="2" t="s">
        <v>35</v>
      </c>
    </row>
    <row r="987" spans="1:8" ht="13" hidden="1">
      <c r="A987" s="15">
        <v>45365.97814655093</v>
      </c>
      <c r="B987" s="16">
        <v>45364</v>
      </c>
      <c r="C987" s="2" t="s">
        <v>294</v>
      </c>
      <c r="D987" s="2" t="s">
        <v>38</v>
      </c>
      <c r="E987" s="2">
        <v>580</v>
      </c>
      <c r="F987" s="2" t="s">
        <v>102</v>
      </c>
      <c r="G987" s="2" t="s">
        <v>494</v>
      </c>
      <c r="H987" s="2" t="s">
        <v>35</v>
      </c>
    </row>
    <row r="988" spans="1:8" ht="13" hidden="1">
      <c r="A988" s="15">
        <v>45367.737689861111</v>
      </c>
      <c r="B988" s="16">
        <v>45364</v>
      </c>
      <c r="C988" s="2" t="s">
        <v>42</v>
      </c>
      <c r="D988" s="2" t="s">
        <v>42</v>
      </c>
      <c r="E988" s="2">
        <v>1532</v>
      </c>
      <c r="F988" s="2" t="s">
        <v>100</v>
      </c>
      <c r="H988" s="2" t="s">
        <v>35</v>
      </c>
    </row>
    <row r="989" spans="1:8" ht="13" hidden="1">
      <c r="A989" s="15">
        <v>45375.74005025463</v>
      </c>
      <c r="B989" s="16">
        <v>45364</v>
      </c>
      <c r="C989" s="2" t="s">
        <v>350</v>
      </c>
      <c r="D989" s="2" t="s">
        <v>40</v>
      </c>
      <c r="E989" s="2">
        <v>2000</v>
      </c>
      <c r="F989" s="2" t="s">
        <v>100</v>
      </c>
      <c r="H989" s="2" t="s">
        <v>35</v>
      </c>
    </row>
    <row r="990" spans="1:8" ht="13" hidden="1">
      <c r="A990" s="15">
        <v>45365.978432488424</v>
      </c>
      <c r="B990" s="16">
        <v>45365</v>
      </c>
      <c r="C990" s="2" t="s">
        <v>114</v>
      </c>
      <c r="D990" s="2" t="s">
        <v>38</v>
      </c>
      <c r="E990" s="2">
        <v>138</v>
      </c>
      <c r="F990" s="2" t="s">
        <v>102</v>
      </c>
      <c r="G990" s="2" t="s">
        <v>103</v>
      </c>
      <c r="H990" s="2" t="s">
        <v>35</v>
      </c>
    </row>
    <row r="991" spans="1:8" ht="13" hidden="1">
      <c r="A991" s="15">
        <v>45365.97882178241</v>
      </c>
      <c r="B991" s="16">
        <v>45365</v>
      </c>
      <c r="C991" s="2" t="s">
        <v>116</v>
      </c>
      <c r="D991" s="2" t="s">
        <v>38</v>
      </c>
      <c r="E991" s="2">
        <v>511</v>
      </c>
      <c r="F991" s="2" t="s">
        <v>102</v>
      </c>
      <c r="G991" s="2" t="s">
        <v>145</v>
      </c>
      <c r="H991" s="2" t="s">
        <v>35</v>
      </c>
    </row>
    <row r="992" spans="1:8" ht="13" hidden="1">
      <c r="A992" s="15">
        <v>45365.979070347224</v>
      </c>
      <c r="B992" s="16">
        <v>45365</v>
      </c>
      <c r="C992" s="2" t="s">
        <v>311</v>
      </c>
      <c r="D992" s="2" t="s">
        <v>39</v>
      </c>
      <c r="E992" s="2">
        <v>5000</v>
      </c>
      <c r="F992" s="2" t="s">
        <v>102</v>
      </c>
      <c r="H992" s="2" t="s">
        <v>35</v>
      </c>
    </row>
    <row r="993" spans="1:8" ht="13" hidden="1">
      <c r="A993" s="15">
        <v>45375.732826828702</v>
      </c>
      <c r="B993" s="16">
        <v>45366</v>
      </c>
      <c r="C993" s="2" t="s">
        <v>241</v>
      </c>
      <c r="D993" s="2" t="s">
        <v>38</v>
      </c>
      <c r="E993" s="2">
        <v>277</v>
      </c>
      <c r="F993" s="2" t="s">
        <v>102</v>
      </c>
      <c r="G993" s="2" t="s">
        <v>356</v>
      </c>
      <c r="H993" s="2" t="s">
        <v>35</v>
      </c>
    </row>
    <row r="994" spans="1:8" ht="13" hidden="1">
      <c r="A994" s="15">
        <v>45375.733704733793</v>
      </c>
      <c r="B994" s="16">
        <v>45366</v>
      </c>
      <c r="C994" s="2" t="s">
        <v>236</v>
      </c>
      <c r="D994" s="2" t="s">
        <v>43</v>
      </c>
      <c r="E994" s="2">
        <v>443</v>
      </c>
      <c r="F994" s="2" t="s">
        <v>102</v>
      </c>
      <c r="H994" s="2" t="s">
        <v>35</v>
      </c>
    </row>
    <row r="995" spans="1:8" ht="13" hidden="1">
      <c r="A995" s="15">
        <v>45375.740354409718</v>
      </c>
      <c r="B995" s="16">
        <v>45366</v>
      </c>
      <c r="C995" s="2" t="s">
        <v>105</v>
      </c>
      <c r="D995" s="2" t="s">
        <v>40</v>
      </c>
      <c r="E995" s="2">
        <v>900</v>
      </c>
      <c r="F995" s="2" t="s">
        <v>100</v>
      </c>
      <c r="H995" s="2" t="s">
        <v>35</v>
      </c>
    </row>
    <row r="996" spans="1:8" ht="13" hidden="1">
      <c r="A996" s="15">
        <v>45375.7409275463</v>
      </c>
      <c r="B996" s="16">
        <v>45366</v>
      </c>
      <c r="C996" s="2" t="s">
        <v>22</v>
      </c>
      <c r="D996" s="2" t="s">
        <v>39</v>
      </c>
      <c r="E996" s="2">
        <v>2310</v>
      </c>
      <c r="F996" s="2" t="s">
        <v>100</v>
      </c>
      <c r="H996" s="2" t="s">
        <v>35</v>
      </c>
    </row>
    <row r="997" spans="1:8" ht="13" hidden="1">
      <c r="A997" s="15">
        <v>45375.734111203703</v>
      </c>
      <c r="B997" s="16">
        <v>45367</v>
      </c>
      <c r="C997" s="2" t="s">
        <v>116</v>
      </c>
      <c r="D997" s="2" t="s">
        <v>38</v>
      </c>
      <c r="E997" s="2">
        <v>360</v>
      </c>
      <c r="F997" s="2" t="s">
        <v>102</v>
      </c>
      <c r="G997" s="2" t="s">
        <v>145</v>
      </c>
      <c r="H997" s="2" t="s">
        <v>35</v>
      </c>
    </row>
    <row r="998" spans="1:8" ht="13" hidden="1">
      <c r="A998" s="15">
        <v>45375.741208692125</v>
      </c>
      <c r="B998" s="16">
        <v>45367</v>
      </c>
      <c r="C998" s="2" t="s">
        <v>20</v>
      </c>
      <c r="D998" s="2" t="s">
        <v>39</v>
      </c>
      <c r="E998" s="2">
        <v>1490</v>
      </c>
      <c r="F998" s="2" t="s">
        <v>100</v>
      </c>
      <c r="H998" s="2" t="s">
        <v>35</v>
      </c>
    </row>
    <row r="999" spans="1:8" ht="13" hidden="1">
      <c r="A999" s="15">
        <v>45375.741453182869</v>
      </c>
      <c r="B999" s="16">
        <v>45367</v>
      </c>
      <c r="C999" s="2" t="s">
        <v>240</v>
      </c>
      <c r="D999" s="2" t="s">
        <v>42</v>
      </c>
      <c r="E999" s="2">
        <v>990</v>
      </c>
      <c r="F999" s="2" t="s">
        <v>100</v>
      </c>
      <c r="H999" s="2" t="s">
        <v>35</v>
      </c>
    </row>
    <row r="1000" spans="1:8" ht="13" hidden="1">
      <c r="A1000" s="15">
        <v>45375.734496550926</v>
      </c>
      <c r="B1000" s="16">
        <v>45368</v>
      </c>
      <c r="C1000" s="2" t="s">
        <v>116</v>
      </c>
      <c r="D1000" s="2" t="s">
        <v>38</v>
      </c>
      <c r="E1000" s="2">
        <v>1144</v>
      </c>
      <c r="F1000" s="2" t="s">
        <v>102</v>
      </c>
      <c r="G1000" s="2" t="s">
        <v>145</v>
      </c>
      <c r="H1000" s="2" t="s">
        <v>35</v>
      </c>
    </row>
    <row r="1001" spans="1:8" ht="13" hidden="1">
      <c r="A1001" s="15">
        <v>45375.741799224532</v>
      </c>
      <c r="B1001" s="16">
        <v>45368</v>
      </c>
      <c r="C1001" s="2" t="s">
        <v>368</v>
      </c>
      <c r="D1001" s="2" t="s">
        <v>48</v>
      </c>
      <c r="E1001" s="2">
        <v>1180</v>
      </c>
      <c r="F1001" s="2" t="s">
        <v>100</v>
      </c>
      <c r="H1001" s="2" t="s">
        <v>35</v>
      </c>
    </row>
    <row r="1002" spans="1:8" ht="13" hidden="1">
      <c r="A1002" s="15">
        <v>45375.734857546297</v>
      </c>
      <c r="B1002" s="16">
        <v>45369</v>
      </c>
      <c r="C1002" s="2" t="s">
        <v>106</v>
      </c>
      <c r="D1002" s="2" t="s">
        <v>38</v>
      </c>
      <c r="E1002" s="2">
        <v>1100</v>
      </c>
      <c r="F1002" s="2" t="s">
        <v>102</v>
      </c>
      <c r="G1002" s="2" t="s">
        <v>191</v>
      </c>
      <c r="H1002" s="2" t="s">
        <v>35</v>
      </c>
    </row>
    <row r="1003" spans="1:8" ht="13" hidden="1">
      <c r="A1003" s="15">
        <v>45375.735262986113</v>
      </c>
      <c r="B1003" s="16">
        <v>45370</v>
      </c>
      <c r="C1003" s="2" t="s">
        <v>116</v>
      </c>
      <c r="D1003" s="2" t="s">
        <v>38</v>
      </c>
      <c r="E1003" s="2">
        <v>1004</v>
      </c>
      <c r="F1003" s="2" t="s">
        <v>102</v>
      </c>
      <c r="G1003" s="2" t="s">
        <v>145</v>
      </c>
      <c r="H1003" s="2" t="s">
        <v>35</v>
      </c>
    </row>
    <row r="1004" spans="1:8" ht="13" hidden="1">
      <c r="A1004" s="15">
        <v>45375.742444074072</v>
      </c>
      <c r="B1004" s="16">
        <v>45370</v>
      </c>
      <c r="C1004" s="2" t="s">
        <v>522</v>
      </c>
      <c r="D1004" s="2" t="s">
        <v>38</v>
      </c>
      <c r="E1004" s="2">
        <v>1180</v>
      </c>
      <c r="F1004" s="2" t="s">
        <v>100</v>
      </c>
      <c r="G1004" s="2" t="s">
        <v>129</v>
      </c>
      <c r="H1004" s="2" t="s">
        <v>35</v>
      </c>
    </row>
    <row r="1005" spans="1:8" ht="13" hidden="1">
      <c r="A1005" s="15">
        <v>45375.735568865741</v>
      </c>
      <c r="B1005" s="16">
        <v>45371</v>
      </c>
      <c r="C1005" s="2" t="s">
        <v>116</v>
      </c>
      <c r="D1005" s="2" t="s">
        <v>38</v>
      </c>
      <c r="E1005" s="2">
        <v>1839</v>
      </c>
      <c r="F1005" s="2" t="s">
        <v>102</v>
      </c>
      <c r="G1005" s="2" t="s">
        <v>145</v>
      </c>
      <c r="H1005" s="2" t="s">
        <v>35</v>
      </c>
    </row>
    <row r="1006" spans="1:8" ht="13" hidden="1">
      <c r="A1006" s="15">
        <v>45375.742804386573</v>
      </c>
      <c r="B1006" s="16">
        <v>45371</v>
      </c>
      <c r="C1006" s="2" t="s">
        <v>24</v>
      </c>
      <c r="D1006" s="2" t="s">
        <v>49</v>
      </c>
      <c r="E1006" s="2">
        <v>1100</v>
      </c>
      <c r="F1006" s="2" t="s">
        <v>100</v>
      </c>
      <c r="H1006" s="2" t="s">
        <v>35</v>
      </c>
    </row>
    <row r="1007" spans="1:8" ht="13" hidden="1">
      <c r="A1007" s="15">
        <v>45375.735874456019</v>
      </c>
      <c r="B1007" s="16">
        <v>45373</v>
      </c>
      <c r="C1007" s="2" t="s">
        <v>106</v>
      </c>
      <c r="D1007" s="2" t="s">
        <v>38</v>
      </c>
      <c r="E1007" s="2">
        <v>476</v>
      </c>
      <c r="F1007" s="2" t="s">
        <v>102</v>
      </c>
      <c r="G1007" s="2" t="s">
        <v>356</v>
      </c>
      <c r="H1007" s="2" t="s">
        <v>35</v>
      </c>
    </row>
    <row r="1008" spans="1:8" ht="13" hidden="1">
      <c r="A1008" s="15">
        <v>45375.736190543983</v>
      </c>
      <c r="B1008" s="16">
        <v>45373</v>
      </c>
      <c r="C1008" s="2" t="s">
        <v>116</v>
      </c>
      <c r="D1008" s="2" t="s">
        <v>38</v>
      </c>
      <c r="E1008" s="2">
        <v>1638</v>
      </c>
      <c r="F1008" s="2" t="s">
        <v>102</v>
      </c>
      <c r="G1008" s="2" t="s">
        <v>145</v>
      </c>
      <c r="H1008" s="2" t="s">
        <v>35</v>
      </c>
    </row>
    <row r="1009" spans="1:8" ht="13" hidden="1">
      <c r="A1009" s="15">
        <v>45375.7364140625</v>
      </c>
      <c r="B1009" s="16">
        <v>45374</v>
      </c>
      <c r="C1009" s="2" t="s">
        <v>523</v>
      </c>
      <c r="D1009" s="2" t="s">
        <v>39</v>
      </c>
      <c r="E1009" s="2">
        <v>5000</v>
      </c>
      <c r="F1009" s="2" t="s">
        <v>102</v>
      </c>
      <c r="H1009" s="2" t="s">
        <v>35</v>
      </c>
    </row>
    <row r="1010" spans="1:8" ht="13" hidden="1">
      <c r="A1010" s="15">
        <v>45375.736857534721</v>
      </c>
      <c r="B1010" s="16">
        <v>45374</v>
      </c>
      <c r="C1010" s="2" t="s">
        <v>116</v>
      </c>
      <c r="D1010" s="2" t="s">
        <v>38</v>
      </c>
      <c r="E1010" s="2">
        <v>722</v>
      </c>
      <c r="F1010" s="2" t="s">
        <v>102</v>
      </c>
      <c r="G1010" s="2" t="s">
        <v>145</v>
      </c>
      <c r="H1010" s="2" t="s">
        <v>35</v>
      </c>
    </row>
    <row r="1011" spans="1:8" ht="13" hidden="1">
      <c r="A1011" s="15">
        <v>45375.737172361114</v>
      </c>
      <c r="B1011" s="16">
        <v>45374</v>
      </c>
      <c r="C1011" s="2" t="s">
        <v>524</v>
      </c>
      <c r="D1011" s="2" t="s">
        <v>38</v>
      </c>
      <c r="E1011" s="2">
        <v>338</v>
      </c>
      <c r="F1011" s="2" t="s">
        <v>102</v>
      </c>
      <c r="G1011" s="2" t="s">
        <v>356</v>
      </c>
      <c r="H1011" s="2" t="s">
        <v>35</v>
      </c>
    </row>
    <row r="1012" spans="1:8" ht="13" hidden="1">
      <c r="A1012" s="15">
        <v>45382.719414513893</v>
      </c>
      <c r="B1012" s="16">
        <v>45374</v>
      </c>
      <c r="C1012" s="2" t="s">
        <v>525</v>
      </c>
      <c r="D1012" s="2" t="s">
        <v>39</v>
      </c>
      <c r="E1012" s="2">
        <v>5500</v>
      </c>
      <c r="F1012" s="2" t="s">
        <v>100</v>
      </c>
      <c r="H1012" s="2" t="s">
        <v>35</v>
      </c>
    </row>
    <row r="1013" spans="1:8" ht="13" hidden="1">
      <c r="A1013" s="15">
        <v>45375.737497939816</v>
      </c>
      <c r="B1013" s="16">
        <v>45375</v>
      </c>
      <c r="C1013" s="2" t="s">
        <v>116</v>
      </c>
      <c r="D1013" s="2" t="s">
        <v>38</v>
      </c>
      <c r="E1013" s="2">
        <v>1151</v>
      </c>
      <c r="F1013" s="2" t="s">
        <v>102</v>
      </c>
      <c r="G1013" s="2" t="s">
        <v>145</v>
      </c>
      <c r="H1013" s="2" t="s">
        <v>35</v>
      </c>
    </row>
    <row r="1014" spans="1:8" ht="13" hidden="1">
      <c r="A1014" s="15">
        <v>45375.738108344907</v>
      </c>
      <c r="B1014" s="16">
        <v>45375</v>
      </c>
      <c r="C1014" s="2" t="s">
        <v>412</v>
      </c>
      <c r="D1014" s="2" t="s">
        <v>45</v>
      </c>
      <c r="E1014" s="2">
        <v>1188</v>
      </c>
      <c r="F1014" s="2" t="s">
        <v>102</v>
      </c>
      <c r="H1014" s="2" t="s">
        <v>35</v>
      </c>
    </row>
    <row r="1015" spans="1:8" ht="13" hidden="1">
      <c r="A1015" s="15">
        <v>45382.719743171299</v>
      </c>
      <c r="B1015" s="16">
        <v>45375</v>
      </c>
      <c r="C1015" s="2" t="s">
        <v>526</v>
      </c>
      <c r="D1015" s="2" t="s">
        <v>40</v>
      </c>
      <c r="E1015" s="2">
        <v>1000</v>
      </c>
      <c r="F1015" s="2" t="s">
        <v>100</v>
      </c>
      <c r="H1015" s="2" t="s">
        <v>35</v>
      </c>
    </row>
    <row r="1016" spans="1:8" ht="13" hidden="1">
      <c r="A1016" s="15">
        <v>45376.409034247685</v>
      </c>
      <c r="B1016" s="16">
        <v>45376</v>
      </c>
      <c r="C1016" s="2" t="s">
        <v>527</v>
      </c>
      <c r="E1016" s="2">
        <v>343450</v>
      </c>
      <c r="H1016" s="2" t="s">
        <v>34</v>
      </c>
    </row>
    <row r="1017" spans="1:8" ht="13" hidden="1">
      <c r="A1017" s="15">
        <v>45377.386951215274</v>
      </c>
      <c r="B1017" s="16">
        <v>45376</v>
      </c>
      <c r="C1017" s="2" t="s">
        <v>106</v>
      </c>
      <c r="D1017" s="2" t="s">
        <v>38</v>
      </c>
      <c r="E1017" s="2">
        <v>1100</v>
      </c>
      <c r="F1017" s="2" t="s">
        <v>102</v>
      </c>
      <c r="G1017" s="2" t="s">
        <v>528</v>
      </c>
      <c r="H1017" s="2" t="s">
        <v>35</v>
      </c>
    </row>
    <row r="1018" spans="1:8" ht="13" hidden="1">
      <c r="A1018" s="15">
        <v>45382.714470046296</v>
      </c>
      <c r="B1018" s="16">
        <v>45376</v>
      </c>
      <c r="C1018" s="2" t="s">
        <v>518</v>
      </c>
      <c r="D1018" s="2" t="s">
        <v>38</v>
      </c>
      <c r="E1018" s="2">
        <v>131</v>
      </c>
      <c r="F1018" s="2" t="s">
        <v>102</v>
      </c>
      <c r="G1018" s="2" t="s">
        <v>103</v>
      </c>
      <c r="H1018" s="2" t="s">
        <v>35</v>
      </c>
    </row>
    <row r="1019" spans="1:8" ht="13" hidden="1">
      <c r="A1019" s="15">
        <v>45382.715080358801</v>
      </c>
      <c r="B1019" s="16">
        <v>45377</v>
      </c>
      <c r="C1019" s="2" t="s">
        <v>116</v>
      </c>
      <c r="D1019" s="2" t="s">
        <v>38</v>
      </c>
      <c r="E1019" s="2">
        <v>1872</v>
      </c>
      <c r="F1019" s="2" t="s">
        <v>102</v>
      </c>
      <c r="G1019" s="2" t="s">
        <v>145</v>
      </c>
      <c r="H1019" s="2" t="s">
        <v>35</v>
      </c>
    </row>
    <row r="1020" spans="1:8" ht="13" hidden="1">
      <c r="A1020" s="15">
        <v>45347.637976620375</v>
      </c>
      <c r="B1020" s="16">
        <v>45378</v>
      </c>
      <c r="C1020" s="2" t="s">
        <v>529</v>
      </c>
      <c r="D1020" s="2" t="s">
        <v>5</v>
      </c>
      <c r="E1020" s="2">
        <v>93000</v>
      </c>
      <c r="F1020" s="2" t="s">
        <v>102</v>
      </c>
      <c r="H1020" s="2" t="s">
        <v>35</v>
      </c>
    </row>
    <row r="1021" spans="1:8" ht="13" hidden="1">
      <c r="A1021" s="15">
        <v>45347.63833184028</v>
      </c>
      <c r="B1021" s="16">
        <v>45378</v>
      </c>
      <c r="C1021" s="2" t="s">
        <v>146</v>
      </c>
      <c r="D1021" s="2" t="s">
        <v>47</v>
      </c>
      <c r="E1021" s="2">
        <v>3400</v>
      </c>
      <c r="F1021" s="2" t="s">
        <v>102</v>
      </c>
      <c r="H1021" s="2" t="s">
        <v>35</v>
      </c>
    </row>
    <row r="1022" spans="1:8" ht="13" hidden="1">
      <c r="A1022" s="15">
        <v>45347.638609548609</v>
      </c>
      <c r="B1022" s="16">
        <v>45378</v>
      </c>
      <c r="C1022" s="2" t="s">
        <v>530</v>
      </c>
      <c r="D1022" s="2" t="s">
        <v>47</v>
      </c>
      <c r="E1022" s="2">
        <v>30000</v>
      </c>
      <c r="F1022" s="2" t="s">
        <v>102</v>
      </c>
      <c r="H1022" s="2" t="s">
        <v>35</v>
      </c>
    </row>
    <row r="1023" spans="1:8" ht="13" hidden="1">
      <c r="A1023" s="15">
        <v>45347.638917511576</v>
      </c>
      <c r="B1023" s="16">
        <v>45378</v>
      </c>
      <c r="C1023" s="2" t="s">
        <v>17</v>
      </c>
      <c r="D1023" s="2" t="s">
        <v>45</v>
      </c>
      <c r="E1023" s="2">
        <v>8470</v>
      </c>
      <c r="F1023" s="2" t="s">
        <v>102</v>
      </c>
      <c r="H1023" s="2" t="s">
        <v>35</v>
      </c>
    </row>
    <row r="1024" spans="1:8" ht="13" hidden="1">
      <c r="A1024" s="15">
        <v>45347.63921883102</v>
      </c>
      <c r="B1024" s="16">
        <v>45378</v>
      </c>
      <c r="C1024" s="2" t="s">
        <v>239</v>
      </c>
      <c r="D1024" s="2" t="s">
        <v>47</v>
      </c>
      <c r="E1024" s="2">
        <v>20000</v>
      </c>
      <c r="F1024" s="2" t="s">
        <v>102</v>
      </c>
      <c r="H1024" s="2" t="s">
        <v>35</v>
      </c>
    </row>
    <row r="1025" spans="1:8" ht="13" hidden="1">
      <c r="A1025" s="15">
        <v>45347.639465983797</v>
      </c>
      <c r="B1025" s="16">
        <v>45378</v>
      </c>
      <c r="C1025" s="2" t="s">
        <v>408</v>
      </c>
      <c r="D1025" s="2" t="s">
        <v>152</v>
      </c>
      <c r="E1025" s="2">
        <v>10000</v>
      </c>
      <c r="F1025" s="2" t="s">
        <v>102</v>
      </c>
      <c r="H1025" s="2" t="s">
        <v>35</v>
      </c>
    </row>
    <row r="1026" spans="1:8" ht="13" hidden="1">
      <c r="A1026" s="15">
        <v>45347.639803935184</v>
      </c>
      <c r="B1026" s="16">
        <v>45378</v>
      </c>
      <c r="C1026" s="2" t="s">
        <v>9</v>
      </c>
      <c r="D1026" s="2" t="s">
        <v>47</v>
      </c>
      <c r="E1026" s="2">
        <v>13600</v>
      </c>
      <c r="F1026" s="2" t="s">
        <v>102</v>
      </c>
      <c r="H1026" s="2" t="s">
        <v>35</v>
      </c>
    </row>
    <row r="1027" spans="1:8" ht="13" hidden="1">
      <c r="A1027" s="15">
        <v>45382.715380081019</v>
      </c>
      <c r="B1027" s="16">
        <v>45379</v>
      </c>
      <c r="C1027" s="2" t="s">
        <v>114</v>
      </c>
      <c r="D1027" s="2" t="s">
        <v>38</v>
      </c>
      <c r="E1027" s="2">
        <v>855</v>
      </c>
      <c r="F1027" s="2" t="s">
        <v>102</v>
      </c>
      <c r="H1027" s="2" t="s">
        <v>35</v>
      </c>
    </row>
    <row r="1028" spans="1:8" ht="13" hidden="1">
      <c r="A1028" s="15">
        <v>45382.715772303243</v>
      </c>
      <c r="B1028" s="16">
        <v>45379</v>
      </c>
      <c r="C1028" s="2" t="s">
        <v>112</v>
      </c>
      <c r="D1028" s="2" t="s">
        <v>38</v>
      </c>
      <c r="E1028" s="2">
        <v>120</v>
      </c>
      <c r="F1028" s="2" t="s">
        <v>102</v>
      </c>
      <c r="G1028" s="2" t="s">
        <v>103</v>
      </c>
      <c r="H1028" s="2" t="s">
        <v>35</v>
      </c>
    </row>
    <row r="1029" spans="1:8" ht="13" hidden="1">
      <c r="A1029" s="15">
        <v>45382.716049097224</v>
      </c>
      <c r="B1029" s="16">
        <v>45380</v>
      </c>
      <c r="C1029" s="2" t="s">
        <v>236</v>
      </c>
      <c r="D1029" s="2" t="s">
        <v>43</v>
      </c>
      <c r="E1029" s="2">
        <v>327</v>
      </c>
      <c r="F1029" s="2" t="s">
        <v>102</v>
      </c>
      <c r="H1029" s="2" t="s">
        <v>35</v>
      </c>
    </row>
    <row r="1030" spans="1:8" ht="13" hidden="1">
      <c r="A1030" s="15">
        <v>45382.716435266208</v>
      </c>
      <c r="B1030" s="16">
        <v>45381</v>
      </c>
      <c r="C1030" s="2" t="s">
        <v>114</v>
      </c>
      <c r="D1030" s="2" t="s">
        <v>38</v>
      </c>
      <c r="E1030" s="2">
        <v>662</v>
      </c>
      <c r="F1030" s="2" t="s">
        <v>102</v>
      </c>
      <c r="G1030" s="2" t="s">
        <v>269</v>
      </c>
      <c r="H1030" s="2" t="s">
        <v>35</v>
      </c>
    </row>
    <row r="1031" spans="1:8" ht="13" hidden="1">
      <c r="A1031" s="15">
        <v>45382.716766469908</v>
      </c>
      <c r="B1031" s="16">
        <v>45381</v>
      </c>
      <c r="C1031" s="2" t="s">
        <v>116</v>
      </c>
      <c r="D1031" s="2" t="s">
        <v>38</v>
      </c>
      <c r="E1031" s="2">
        <v>1339</v>
      </c>
      <c r="F1031" s="2" t="s">
        <v>102</v>
      </c>
      <c r="G1031" s="2" t="s">
        <v>145</v>
      </c>
      <c r="H1031" s="2" t="s">
        <v>35</v>
      </c>
    </row>
    <row r="1032" spans="1:8" ht="13" hidden="1">
      <c r="A1032" s="15">
        <v>45382.716984583334</v>
      </c>
      <c r="B1032" s="16">
        <v>45381</v>
      </c>
      <c r="C1032" s="2" t="s">
        <v>294</v>
      </c>
      <c r="D1032" s="2" t="s">
        <v>39</v>
      </c>
      <c r="E1032" s="2">
        <v>1700</v>
      </c>
      <c r="F1032" s="2" t="s">
        <v>102</v>
      </c>
      <c r="H1032" s="2" t="s">
        <v>35</v>
      </c>
    </row>
    <row r="1033" spans="1:8" ht="13" hidden="1">
      <c r="A1033" s="15">
        <v>45382.717325729165</v>
      </c>
      <c r="B1033" s="16">
        <v>45382</v>
      </c>
      <c r="C1033" s="2" t="s">
        <v>116</v>
      </c>
      <c r="D1033" s="2" t="s">
        <v>38</v>
      </c>
      <c r="E1033" s="2">
        <v>3031</v>
      </c>
      <c r="F1033" s="2" t="s">
        <v>102</v>
      </c>
      <c r="G1033" s="2" t="s">
        <v>145</v>
      </c>
      <c r="H1033" s="2" t="s">
        <v>35</v>
      </c>
    </row>
    <row r="1034" spans="1:8" ht="13" hidden="1">
      <c r="A1034" s="15">
        <v>45382.717744456022</v>
      </c>
      <c r="B1034" s="16">
        <v>45382</v>
      </c>
      <c r="C1034" s="2" t="s">
        <v>163</v>
      </c>
      <c r="D1034" s="2" t="s">
        <v>38</v>
      </c>
      <c r="E1034" s="2">
        <v>1880</v>
      </c>
      <c r="F1034" s="2" t="s">
        <v>102</v>
      </c>
      <c r="G1034" s="2" t="s">
        <v>164</v>
      </c>
      <c r="H1034" s="2" t="s">
        <v>35</v>
      </c>
    </row>
    <row r="1035" spans="1:8" ht="13" hidden="1">
      <c r="A1035" s="15">
        <v>45389.746801018518</v>
      </c>
      <c r="B1035" s="16">
        <v>45383</v>
      </c>
      <c r="C1035" s="2" t="s">
        <v>106</v>
      </c>
      <c r="D1035" s="2" t="s">
        <v>38</v>
      </c>
      <c r="E1035" s="2">
        <v>1000</v>
      </c>
      <c r="F1035" s="2" t="s">
        <v>102</v>
      </c>
      <c r="H1035" s="2" t="s">
        <v>35</v>
      </c>
    </row>
    <row r="1036" spans="1:8" ht="13" hidden="1">
      <c r="A1036" s="15">
        <v>45389.753587800922</v>
      </c>
      <c r="B1036" s="16">
        <v>45383</v>
      </c>
      <c r="C1036" s="2" t="s">
        <v>531</v>
      </c>
      <c r="D1036" s="2" t="s">
        <v>45</v>
      </c>
      <c r="E1036" s="2">
        <v>20501</v>
      </c>
      <c r="F1036" s="2" t="s">
        <v>100</v>
      </c>
      <c r="H1036" s="2" t="s">
        <v>35</v>
      </c>
    </row>
    <row r="1037" spans="1:8" ht="13" hidden="1">
      <c r="A1037" s="15">
        <v>45389.753993356484</v>
      </c>
      <c r="B1037" s="16">
        <v>45383</v>
      </c>
      <c r="C1037" s="2" t="s">
        <v>10</v>
      </c>
      <c r="D1037" s="2" t="s">
        <v>45</v>
      </c>
      <c r="E1037" s="2">
        <v>280</v>
      </c>
      <c r="F1037" s="2" t="s">
        <v>100</v>
      </c>
      <c r="H1037" s="2" t="s">
        <v>35</v>
      </c>
    </row>
    <row r="1038" spans="1:8" ht="13" hidden="1">
      <c r="A1038" s="15">
        <v>45389.754392719908</v>
      </c>
      <c r="B1038" s="16">
        <v>45383</v>
      </c>
      <c r="C1038" s="2" t="s">
        <v>248</v>
      </c>
      <c r="D1038" s="2" t="s">
        <v>49</v>
      </c>
      <c r="E1038" s="2">
        <v>700</v>
      </c>
      <c r="F1038" s="2" t="s">
        <v>100</v>
      </c>
      <c r="H1038" s="2" t="s">
        <v>35</v>
      </c>
    </row>
    <row r="1039" spans="1:8" ht="13" hidden="1">
      <c r="A1039" s="15">
        <v>45389.74502858796</v>
      </c>
      <c r="B1039" s="16">
        <v>45384</v>
      </c>
      <c r="C1039" s="2" t="s">
        <v>184</v>
      </c>
      <c r="D1039" s="2" t="s">
        <v>38</v>
      </c>
      <c r="E1039" s="2">
        <v>1400</v>
      </c>
      <c r="F1039" s="2" t="s">
        <v>102</v>
      </c>
      <c r="G1039" s="2" t="s">
        <v>200</v>
      </c>
      <c r="H1039" s="2" t="s">
        <v>35</v>
      </c>
    </row>
    <row r="1040" spans="1:8" ht="13" hidden="1">
      <c r="A1040" s="15">
        <v>45389.745307395831</v>
      </c>
      <c r="B1040" s="16">
        <v>45384</v>
      </c>
      <c r="C1040" s="2" t="s">
        <v>116</v>
      </c>
      <c r="D1040" s="2" t="s">
        <v>38</v>
      </c>
      <c r="E1040" s="2">
        <v>395</v>
      </c>
      <c r="F1040" s="2" t="s">
        <v>102</v>
      </c>
      <c r="G1040" s="2" t="s">
        <v>145</v>
      </c>
      <c r="H1040" s="2" t="s">
        <v>35</v>
      </c>
    </row>
    <row r="1041" spans="1:8" ht="13" hidden="1">
      <c r="A1041" s="15">
        <v>45389.750108032407</v>
      </c>
      <c r="B1041" s="16">
        <v>45384</v>
      </c>
      <c r="C1041" s="2" t="s">
        <v>258</v>
      </c>
      <c r="E1041" s="2">
        <v>10378</v>
      </c>
      <c r="H1041" s="2" t="s">
        <v>34</v>
      </c>
    </row>
    <row r="1042" spans="1:8" ht="13" hidden="1">
      <c r="A1042" s="15">
        <v>45389.754787118058</v>
      </c>
      <c r="B1042" s="16">
        <v>45384</v>
      </c>
      <c r="C1042" s="2" t="s">
        <v>532</v>
      </c>
      <c r="D1042" s="2" t="s">
        <v>39</v>
      </c>
      <c r="E1042" s="2">
        <v>1540</v>
      </c>
      <c r="F1042" s="2" t="s">
        <v>100</v>
      </c>
      <c r="H1042" s="2" t="s">
        <v>35</v>
      </c>
    </row>
    <row r="1043" spans="1:8" ht="13" hidden="1">
      <c r="A1043" s="15">
        <v>45389.755082314819</v>
      </c>
      <c r="B1043" s="16">
        <v>45384</v>
      </c>
      <c r="C1043" s="2" t="s">
        <v>181</v>
      </c>
      <c r="D1043" s="2" t="s">
        <v>45</v>
      </c>
      <c r="E1043" s="2">
        <v>135</v>
      </c>
      <c r="F1043" s="2" t="s">
        <v>100</v>
      </c>
      <c r="H1043" s="2" t="s">
        <v>35</v>
      </c>
    </row>
    <row r="1044" spans="1:8" ht="13" hidden="1">
      <c r="A1044" s="15">
        <v>45389.746313738426</v>
      </c>
      <c r="B1044" s="16">
        <v>45385</v>
      </c>
      <c r="C1044" s="2" t="s">
        <v>106</v>
      </c>
      <c r="D1044" s="2" t="s">
        <v>38</v>
      </c>
      <c r="E1044" s="2">
        <v>1100</v>
      </c>
      <c r="F1044" s="2" t="s">
        <v>102</v>
      </c>
      <c r="H1044" s="2" t="s">
        <v>35</v>
      </c>
    </row>
    <row r="1045" spans="1:8" ht="13" hidden="1">
      <c r="A1045" s="15">
        <v>45389.746629479167</v>
      </c>
      <c r="B1045" s="16">
        <v>45385</v>
      </c>
      <c r="C1045" s="2" t="s">
        <v>116</v>
      </c>
      <c r="D1045" s="2" t="s">
        <v>38</v>
      </c>
      <c r="E1045" s="2">
        <v>523</v>
      </c>
      <c r="F1045" s="2" t="s">
        <v>102</v>
      </c>
      <c r="G1045" s="2" t="s">
        <v>145</v>
      </c>
      <c r="H1045" s="2" t="s">
        <v>35</v>
      </c>
    </row>
    <row r="1046" spans="1:8" ht="13" hidden="1">
      <c r="A1046" s="15">
        <v>45389.747298078699</v>
      </c>
      <c r="B1046" s="16">
        <v>45385</v>
      </c>
      <c r="C1046" s="2" t="s">
        <v>326</v>
      </c>
      <c r="D1046" s="2" t="s">
        <v>39</v>
      </c>
      <c r="E1046" s="2">
        <v>5700</v>
      </c>
      <c r="F1046" s="2" t="s">
        <v>102</v>
      </c>
      <c r="H1046" s="2" t="s">
        <v>35</v>
      </c>
    </row>
    <row r="1047" spans="1:8" ht="13" hidden="1">
      <c r="A1047" s="15">
        <v>45389.747588773149</v>
      </c>
      <c r="B1047" s="16">
        <v>45386</v>
      </c>
      <c r="C1047" s="2" t="s">
        <v>226</v>
      </c>
      <c r="E1047" s="2">
        <v>5000</v>
      </c>
      <c r="H1047" s="2" t="s">
        <v>34</v>
      </c>
    </row>
    <row r="1048" spans="1:8" ht="13" hidden="1">
      <c r="A1048" s="15">
        <v>45389.747947708333</v>
      </c>
      <c r="B1048" s="16">
        <v>45386</v>
      </c>
      <c r="C1048" s="2" t="s">
        <v>116</v>
      </c>
      <c r="D1048" s="2" t="s">
        <v>38</v>
      </c>
      <c r="E1048" s="2">
        <v>1312</v>
      </c>
      <c r="F1048" s="2" t="s">
        <v>102</v>
      </c>
      <c r="G1048" s="2" t="s">
        <v>145</v>
      </c>
      <c r="H1048" s="2" t="s">
        <v>35</v>
      </c>
    </row>
    <row r="1049" spans="1:8" ht="13" hidden="1">
      <c r="A1049" s="15">
        <v>45389.748369988425</v>
      </c>
      <c r="B1049" s="16">
        <v>45387</v>
      </c>
      <c r="C1049" s="2" t="s">
        <v>106</v>
      </c>
      <c r="D1049" s="2" t="s">
        <v>38</v>
      </c>
      <c r="E1049" s="2">
        <v>980</v>
      </c>
      <c r="F1049" s="2" t="s">
        <v>102</v>
      </c>
      <c r="G1049" s="2" t="s">
        <v>194</v>
      </c>
      <c r="H1049" s="2" t="s">
        <v>35</v>
      </c>
    </row>
    <row r="1050" spans="1:8" ht="13" hidden="1">
      <c r="A1050" s="15">
        <v>45389.755603622689</v>
      </c>
      <c r="B1050" s="16">
        <v>45387</v>
      </c>
      <c r="C1050" s="2" t="s">
        <v>533</v>
      </c>
      <c r="D1050" s="2" t="s">
        <v>46</v>
      </c>
      <c r="E1050" s="2">
        <v>1980</v>
      </c>
      <c r="F1050" s="2" t="s">
        <v>100</v>
      </c>
      <c r="H1050" s="2" t="s">
        <v>35</v>
      </c>
    </row>
    <row r="1051" spans="1:8" ht="13" hidden="1">
      <c r="A1051" s="15">
        <v>45389.755979745372</v>
      </c>
      <c r="B1051" s="16">
        <v>45387</v>
      </c>
      <c r="C1051" s="2" t="s">
        <v>277</v>
      </c>
      <c r="D1051" s="2" t="s">
        <v>46</v>
      </c>
      <c r="E1051" s="2">
        <v>4400</v>
      </c>
      <c r="F1051" s="2" t="s">
        <v>100</v>
      </c>
      <c r="H1051" s="2" t="s">
        <v>35</v>
      </c>
    </row>
    <row r="1052" spans="1:8" ht="13" hidden="1">
      <c r="A1052" s="15">
        <v>45389.756289699071</v>
      </c>
      <c r="B1052" s="16">
        <v>45387</v>
      </c>
      <c r="C1052" s="2" t="s">
        <v>277</v>
      </c>
      <c r="D1052" s="2" t="s">
        <v>46</v>
      </c>
      <c r="E1052" s="2">
        <v>1760</v>
      </c>
      <c r="F1052" s="2" t="s">
        <v>100</v>
      </c>
      <c r="H1052" s="2" t="s">
        <v>35</v>
      </c>
    </row>
    <row r="1053" spans="1:8" ht="13" hidden="1">
      <c r="A1053" s="15">
        <v>45389.748686053237</v>
      </c>
      <c r="B1053" s="16">
        <v>45388</v>
      </c>
      <c r="C1053" s="2" t="s">
        <v>116</v>
      </c>
      <c r="D1053" s="2" t="s">
        <v>38</v>
      </c>
      <c r="E1053" s="2">
        <v>517</v>
      </c>
      <c r="F1053" s="2" t="s">
        <v>102</v>
      </c>
      <c r="G1053" s="2" t="s">
        <v>145</v>
      </c>
      <c r="H1053" s="2" t="s">
        <v>35</v>
      </c>
    </row>
    <row r="1054" spans="1:8" ht="13" hidden="1">
      <c r="A1054" s="15">
        <v>45389.748954467592</v>
      </c>
      <c r="B1054" s="16">
        <v>45388</v>
      </c>
      <c r="C1054" s="2" t="s">
        <v>534</v>
      </c>
      <c r="D1054" s="2" t="s">
        <v>45</v>
      </c>
      <c r="E1054" s="2">
        <v>1112</v>
      </c>
      <c r="F1054" s="2" t="s">
        <v>102</v>
      </c>
      <c r="H1054" s="2" t="s">
        <v>35</v>
      </c>
    </row>
    <row r="1055" spans="1:8" ht="13" hidden="1">
      <c r="A1055" s="15">
        <v>45396.599917546293</v>
      </c>
      <c r="B1055" s="16">
        <v>45388</v>
      </c>
      <c r="C1055" s="2" t="s">
        <v>105</v>
      </c>
      <c r="D1055" s="2" t="s">
        <v>40</v>
      </c>
      <c r="E1055" s="2">
        <v>2400</v>
      </c>
      <c r="F1055" s="2" t="s">
        <v>100</v>
      </c>
      <c r="H1055" s="2" t="s">
        <v>35</v>
      </c>
    </row>
    <row r="1056" spans="1:8" ht="13" hidden="1">
      <c r="A1056" s="15">
        <v>45389.751091180558</v>
      </c>
      <c r="B1056" s="16">
        <v>45379</v>
      </c>
      <c r="C1056" s="2" t="s">
        <v>158</v>
      </c>
      <c r="D1056" s="2" t="s">
        <v>49</v>
      </c>
      <c r="E1056" s="2">
        <v>4980</v>
      </c>
      <c r="F1056" s="2" t="s">
        <v>100</v>
      </c>
      <c r="H1056" s="2" t="s">
        <v>35</v>
      </c>
    </row>
    <row r="1057" spans="1:8" ht="13" hidden="1">
      <c r="A1057" s="15">
        <v>45389.75137027778</v>
      </c>
      <c r="B1057" s="16">
        <v>45379</v>
      </c>
      <c r="C1057" s="2" t="s">
        <v>105</v>
      </c>
      <c r="D1057" s="2" t="s">
        <v>40</v>
      </c>
      <c r="E1057" s="2">
        <v>3400</v>
      </c>
      <c r="F1057" s="2" t="s">
        <v>100</v>
      </c>
      <c r="H1057" s="2" t="s">
        <v>35</v>
      </c>
    </row>
    <row r="1058" spans="1:8" ht="13" hidden="1">
      <c r="A1058" s="15">
        <v>45389.751783495369</v>
      </c>
      <c r="B1058" s="16">
        <v>45379</v>
      </c>
      <c r="C1058" s="2" t="s">
        <v>105</v>
      </c>
      <c r="D1058" s="2" t="s">
        <v>40</v>
      </c>
      <c r="E1058" s="2">
        <v>4700</v>
      </c>
      <c r="F1058" s="2" t="s">
        <v>100</v>
      </c>
      <c r="H1058" s="2" t="s">
        <v>35</v>
      </c>
    </row>
    <row r="1059" spans="1:8" ht="13" hidden="1">
      <c r="A1059" s="15">
        <v>45389.752114861112</v>
      </c>
      <c r="B1059" s="16">
        <v>45379</v>
      </c>
      <c r="C1059" s="2" t="s">
        <v>240</v>
      </c>
      <c r="D1059" s="2" t="s">
        <v>42</v>
      </c>
      <c r="E1059" s="2">
        <v>980</v>
      </c>
      <c r="F1059" s="2" t="s">
        <v>100</v>
      </c>
      <c r="H1059" s="2" t="s">
        <v>35</v>
      </c>
    </row>
    <row r="1060" spans="1:8" ht="13" hidden="1">
      <c r="A1060" s="15">
        <v>45389.753105648153</v>
      </c>
      <c r="B1060" s="16">
        <v>45382</v>
      </c>
      <c r="C1060" s="2" t="s">
        <v>535</v>
      </c>
      <c r="D1060" s="2" t="s">
        <v>42</v>
      </c>
      <c r="E1060" s="2">
        <v>650</v>
      </c>
      <c r="F1060" s="2" t="s">
        <v>100</v>
      </c>
      <c r="H1060" s="2" t="s">
        <v>35</v>
      </c>
    </row>
    <row r="1061" spans="1:8" ht="13" hidden="1">
      <c r="A1061" s="15">
        <v>45389.749305578705</v>
      </c>
      <c r="B1061" s="16">
        <v>45389</v>
      </c>
      <c r="C1061" s="2" t="s">
        <v>116</v>
      </c>
      <c r="D1061" s="2" t="s">
        <v>38</v>
      </c>
      <c r="E1061" s="2">
        <v>1215</v>
      </c>
      <c r="F1061" s="2" t="s">
        <v>102</v>
      </c>
      <c r="G1061" s="2" t="s">
        <v>145</v>
      </c>
      <c r="H1061" s="2" t="s">
        <v>35</v>
      </c>
    </row>
    <row r="1062" spans="1:8" ht="13" hidden="1">
      <c r="A1062" s="15">
        <v>45389.749610104162</v>
      </c>
      <c r="B1062" s="16">
        <v>45389</v>
      </c>
      <c r="C1062" s="2" t="s">
        <v>536</v>
      </c>
      <c r="D1062" s="2" t="s">
        <v>45</v>
      </c>
      <c r="E1062" s="2">
        <v>1078</v>
      </c>
      <c r="F1062" s="2" t="s">
        <v>102</v>
      </c>
      <c r="H1062" s="2" t="s">
        <v>35</v>
      </c>
    </row>
    <row r="1063" spans="1:8" ht="13" hidden="1">
      <c r="A1063" s="15">
        <v>45396.601512453708</v>
      </c>
      <c r="B1063" s="16">
        <v>45389</v>
      </c>
      <c r="C1063" s="2" t="s">
        <v>537</v>
      </c>
      <c r="D1063" s="2" t="s">
        <v>45</v>
      </c>
      <c r="E1063" s="2">
        <v>1171</v>
      </c>
      <c r="F1063" s="2" t="s">
        <v>102</v>
      </c>
      <c r="G1063" s="2" t="s">
        <v>129</v>
      </c>
      <c r="H1063" s="2" t="s">
        <v>35</v>
      </c>
    </row>
    <row r="1064" spans="1:8" ht="13" hidden="1">
      <c r="A1064" s="15">
        <v>45396.601841782409</v>
      </c>
      <c r="B1064" s="16">
        <v>45389</v>
      </c>
      <c r="C1064" s="2" t="s">
        <v>204</v>
      </c>
      <c r="D1064" s="2" t="s">
        <v>45</v>
      </c>
      <c r="E1064" s="2">
        <v>5300</v>
      </c>
      <c r="F1064" s="2" t="s">
        <v>100</v>
      </c>
      <c r="H1064" s="2" t="s">
        <v>35</v>
      </c>
    </row>
    <row r="1065" spans="1:8" ht="13" hidden="1">
      <c r="A1065" s="15">
        <v>45396.594771284726</v>
      </c>
      <c r="B1065" s="16">
        <v>45390</v>
      </c>
      <c r="C1065" s="2" t="s">
        <v>116</v>
      </c>
      <c r="D1065" s="2" t="s">
        <v>38</v>
      </c>
      <c r="E1065" s="2">
        <v>740</v>
      </c>
      <c r="F1065" s="2" t="s">
        <v>102</v>
      </c>
      <c r="G1065" s="2" t="s">
        <v>145</v>
      </c>
      <c r="H1065" s="2" t="s">
        <v>35</v>
      </c>
    </row>
    <row r="1066" spans="1:8" ht="13" hidden="1">
      <c r="A1066" s="15">
        <v>45396.595363252316</v>
      </c>
      <c r="B1066" s="16">
        <v>45390</v>
      </c>
      <c r="C1066" s="2" t="s">
        <v>106</v>
      </c>
      <c r="D1066" s="2" t="s">
        <v>38</v>
      </c>
      <c r="E1066" s="2">
        <v>1100</v>
      </c>
      <c r="F1066" s="2" t="s">
        <v>102</v>
      </c>
      <c r="G1066" s="2" t="s">
        <v>322</v>
      </c>
      <c r="H1066" s="2" t="s">
        <v>35</v>
      </c>
    </row>
    <row r="1067" spans="1:8" ht="13" hidden="1">
      <c r="A1067" s="15">
        <v>45396.602227372685</v>
      </c>
      <c r="B1067" s="16">
        <v>45390</v>
      </c>
      <c r="C1067" s="2" t="s">
        <v>538</v>
      </c>
      <c r="D1067" s="2" t="s">
        <v>39</v>
      </c>
      <c r="E1067" s="2">
        <v>1320</v>
      </c>
      <c r="F1067" s="2" t="s">
        <v>100</v>
      </c>
      <c r="H1067" s="2" t="s">
        <v>35</v>
      </c>
    </row>
    <row r="1068" spans="1:8" ht="13" hidden="1">
      <c r="A1068" s="15">
        <v>45396.602518564818</v>
      </c>
      <c r="B1068" s="16">
        <v>45390</v>
      </c>
      <c r="C1068" s="2" t="s">
        <v>539</v>
      </c>
      <c r="D1068" s="2" t="s">
        <v>152</v>
      </c>
      <c r="E1068" s="2">
        <v>130</v>
      </c>
      <c r="F1068" s="2" t="s">
        <v>100</v>
      </c>
      <c r="H1068" s="2" t="s">
        <v>35</v>
      </c>
    </row>
    <row r="1069" spans="1:8" ht="13" hidden="1">
      <c r="A1069" s="15">
        <v>45396.602808912037</v>
      </c>
      <c r="B1069" s="16">
        <v>45390</v>
      </c>
      <c r="C1069" s="2" t="s">
        <v>176</v>
      </c>
      <c r="D1069" s="2" t="s">
        <v>41</v>
      </c>
      <c r="E1069" s="2">
        <v>3172</v>
      </c>
      <c r="F1069" s="2" t="s">
        <v>100</v>
      </c>
      <c r="H1069" s="2" t="s">
        <v>35</v>
      </c>
    </row>
    <row r="1070" spans="1:8" ht="13" hidden="1">
      <c r="A1070" s="15">
        <v>45396.595693090276</v>
      </c>
      <c r="B1070" s="16">
        <v>45391</v>
      </c>
      <c r="C1070" s="2" t="s">
        <v>236</v>
      </c>
      <c r="D1070" s="2" t="s">
        <v>43</v>
      </c>
      <c r="E1070" s="2">
        <v>327</v>
      </c>
      <c r="F1070" s="2" t="s">
        <v>102</v>
      </c>
      <c r="H1070" s="2" t="s">
        <v>35</v>
      </c>
    </row>
    <row r="1071" spans="1:8" ht="13" hidden="1">
      <c r="A1071" s="15">
        <v>45396.596027199077</v>
      </c>
      <c r="B1071" s="16">
        <v>45391</v>
      </c>
      <c r="C1071" s="2" t="s">
        <v>540</v>
      </c>
      <c r="D1071" s="2" t="s">
        <v>38</v>
      </c>
      <c r="E1071" s="2">
        <v>333</v>
      </c>
      <c r="F1071" s="2" t="s">
        <v>102</v>
      </c>
      <c r="G1071" s="2" t="s">
        <v>356</v>
      </c>
      <c r="H1071" s="2" t="s">
        <v>35</v>
      </c>
    </row>
    <row r="1072" spans="1:8" ht="13" hidden="1">
      <c r="A1072" s="15">
        <v>45396.60309099537</v>
      </c>
      <c r="B1072" s="16">
        <v>45391</v>
      </c>
      <c r="C1072" s="2" t="s">
        <v>15</v>
      </c>
      <c r="D1072" s="2" t="s">
        <v>48</v>
      </c>
      <c r="E1072" s="2">
        <v>880</v>
      </c>
      <c r="F1072" s="2" t="s">
        <v>100</v>
      </c>
      <c r="H1072" s="2" t="s">
        <v>35</v>
      </c>
    </row>
    <row r="1073" spans="1:8" ht="13" hidden="1">
      <c r="A1073" s="15">
        <v>45396.596338796298</v>
      </c>
      <c r="B1073" s="16">
        <v>45392</v>
      </c>
      <c r="C1073" s="2" t="s">
        <v>116</v>
      </c>
      <c r="D1073" s="2" t="s">
        <v>38</v>
      </c>
      <c r="E1073" s="2">
        <v>631</v>
      </c>
      <c r="F1073" s="2" t="s">
        <v>102</v>
      </c>
      <c r="G1073" s="2" t="s">
        <v>145</v>
      </c>
      <c r="H1073" s="2" t="s">
        <v>35</v>
      </c>
    </row>
    <row r="1074" spans="1:8" ht="13" hidden="1">
      <c r="A1074" s="15">
        <v>45396.603356932872</v>
      </c>
      <c r="B1074" s="16">
        <v>45392</v>
      </c>
      <c r="C1074" s="2" t="s">
        <v>240</v>
      </c>
      <c r="D1074" s="2" t="s">
        <v>42</v>
      </c>
      <c r="E1074" s="2">
        <v>682</v>
      </c>
      <c r="F1074" s="2" t="s">
        <v>100</v>
      </c>
      <c r="H1074" s="2" t="s">
        <v>35</v>
      </c>
    </row>
    <row r="1075" spans="1:8" ht="13" hidden="1">
      <c r="A1075" s="15">
        <v>45396.597232743057</v>
      </c>
      <c r="B1075" s="16">
        <v>45393</v>
      </c>
      <c r="C1075" s="2" t="s">
        <v>541</v>
      </c>
      <c r="D1075" s="2" t="s">
        <v>38</v>
      </c>
      <c r="E1075" s="2">
        <v>1400</v>
      </c>
      <c r="F1075" s="2" t="s">
        <v>102</v>
      </c>
      <c r="H1075" s="2" t="s">
        <v>35</v>
      </c>
    </row>
    <row r="1076" spans="1:8" ht="13" hidden="1">
      <c r="A1076" s="15">
        <v>45396.597491145832</v>
      </c>
      <c r="B1076" s="16">
        <v>45393</v>
      </c>
      <c r="C1076" s="2" t="s">
        <v>116</v>
      </c>
      <c r="D1076" s="2" t="s">
        <v>38</v>
      </c>
      <c r="E1076" s="2">
        <v>1190</v>
      </c>
      <c r="F1076" s="2" t="s">
        <v>102</v>
      </c>
      <c r="H1076" s="2" t="s">
        <v>35</v>
      </c>
    </row>
    <row r="1077" spans="1:8" ht="13" hidden="1">
      <c r="A1077" s="15">
        <v>45396.603722511572</v>
      </c>
      <c r="B1077" s="16">
        <v>45393</v>
      </c>
      <c r="C1077" s="2" t="s">
        <v>18</v>
      </c>
      <c r="D1077" s="2" t="s">
        <v>41</v>
      </c>
      <c r="E1077" s="2">
        <v>5318</v>
      </c>
      <c r="F1077" s="2" t="s">
        <v>100</v>
      </c>
      <c r="H1077" s="2" t="s">
        <v>35</v>
      </c>
    </row>
    <row r="1078" spans="1:8" ht="13" hidden="1">
      <c r="A1078" s="15">
        <v>45396.604118113421</v>
      </c>
      <c r="B1078" s="16">
        <v>45393</v>
      </c>
      <c r="C1078" s="2" t="s">
        <v>277</v>
      </c>
      <c r="D1078" s="2" t="s">
        <v>46</v>
      </c>
      <c r="E1078" s="2">
        <v>1870</v>
      </c>
      <c r="F1078" s="2" t="s">
        <v>100</v>
      </c>
      <c r="G1078" s="2" t="s">
        <v>129</v>
      </c>
      <c r="H1078" s="2" t="s">
        <v>35</v>
      </c>
    </row>
    <row r="1079" spans="1:8" ht="13" hidden="1">
      <c r="A1079" s="15">
        <v>45403.804809479167</v>
      </c>
      <c r="B1079" s="16">
        <v>45393</v>
      </c>
      <c r="C1079" s="2" t="s">
        <v>240</v>
      </c>
      <c r="D1079" s="2" t="s">
        <v>42</v>
      </c>
      <c r="E1079" s="2">
        <v>990</v>
      </c>
      <c r="F1079" s="2" t="s">
        <v>100</v>
      </c>
      <c r="H1079" s="2" t="s">
        <v>35</v>
      </c>
    </row>
    <row r="1080" spans="1:8" ht="13" hidden="1">
      <c r="A1080" s="15">
        <v>45396.597800972224</v>
      </c>
      <c r="B1080" s="16">
        <v>45394</v>
      </c>
      <c r="C1080" s="2" t="s">
        <v>542</v>
      </c>
      <c r="D1080" s="2" t="s">
        <v>39</v>
      </c>
      <c r="E1080" s="2">
        <v>1100</v>
      </c>
      <c r="F1080" s="2" t="s">
        <v>102</v>
      </c>
      <c r="H1080" s="2" t="s">
        <v>35</v>
      </c>
    </row>
    <row r="1081" spans="1:8" ht="13" hidden="1">
      <c r="A1081" s="15">
        <v>45396.598090821761</v>
      </c>
      <c r="B1081" s="16">
        <v>45394</v>
      </c>
      <c r="C1081" s="2" t="s">
        <v>543</v>
      </c>
      <c r="D1081" s="2" t="s">
        <v>39</v>
      </c>
      <c r="E1081" s="2">
        <v>3500</v>
      </c>
      <c r="F1081" s="2" t="s">
        <v>102</v>
      </c>
      <c r="H1081" s="2" t="s">
        <v>35</v>
      </c>
    </row>
    <row r="1082" spans="1:8" ht="13" hidden="1">
      <c r="A1082" s="15">
        <v>45396.598337372685</v>
      </c>
      <c r="B1082" s="16">
        <v>45395</v>
      </c>
      <c r="C1082" s="2" t="s">
        <v>287</v>
      </c>
      <c r="D1082" s="2" t="s">
        <v>38</v>
      </c>
      <c r="E1082" s="2">
        <v>300</v>
      </c>
      <c r="F1082" s="2" t="s">
        <v>102</v>
      </c>
      <c r="G1082" s="2" t="s">
        <v>199</v>
      </c>
      <c r="H1082" s="2" t="s">
        <v>35</v>
      </c>
    </row>
    <row r="1083" spans="1:8" ht="13" hidden="1">
      <c r="A1083" s="15">
        <v>45396.598648310188</v>
      </c>
      <c r="B1083" s="16">
        <v>45395</v>
      </c>
      <c r="C1083" s="2" t="s">
        <v>116</v>
      </c>
      <c r="D1083" s="2" t="s">
        <v>38</v>
      </c>
      <c r="E1083" s="2">
        <v>1601</v>
      </c>
      <c r="F1083" s="2" t="s">
        <v>102</v>
      </c>
      <c r="G1083" s="2" t="s">
        <v>145</v>
      </c>
      <c r="H1083" s="2" t="s">
        <v>35</v>
      </c>
    </row>
    <row r="1084" spans="1:8" ht="13" hidden="1">
      <c r="A1084" s="15">
        <v>45396.598948067127</v>
      </c>
      <c r="B1084" s="16">
        <v>45396</v>
      </c>
      <c r="C1084" s="2" t="s">
        <v>544</v>
      </c>
      <c r="D1084" s="2" t="s">
        <v>45</v>
      </c>
      <c r="E1084" s="2">
        <v>110</v>
      </c>
      <c r="F1084" s="2" t="s">
        <v>102</v>
      </c>
      <c r="G1084" s="2" t="s">
        <v>136</v>
      </c>
      <c r="H1084" s="2" t="s">
        <v>35</v>
      </c>
    </row>
    <row r="1085" spans="1:8" ht="13" hidden="1">
      <c r="A1085" s="15">
        <v>45403.79505724537</v>
      </c>
      <c r="B1085" s="16">
        <v>45397</v>
      </c>
      <c r="C1085" s="2" t="s">
        <v>545</v>
      </c>
      <c r="D1085" s="2" t="s">
        <v>38</v>
      </c>
      <c r="E1085" s="2">
        <v>1150</v>
      </c>
      <c r="F1085" s="2" t="s">
        <v>102</v>
      </c>
      <c r="H1085" s="2" t="s">
        <v>35</v>
      </c>
    </row>
    <row r="1086" spans="1:8" ht="13" hidden="1">
      <c r="A1086" s="15">
        <v>45403.795344537037</v>
      </c>
      <c r="B1086" s="16">
        <v>45398</v>
      </c>
      <c r="C1086" s="2" t="s">
        <v>287</v>
      </c>
      <c r="D1086" s="2" t="s">
        <v>38</v>
      </c>
      <c r="E1086" s="2">
        <v>400</v>
      </c>
      <c r="F1086" s="2" t="s">
        <v>102</v>
      </c>
      <c r="G1086" s="2" t="s">
        <v>199</v>
      </c>
      <c r="H1086" s="2" t="s">
        <v>35</v>
      </c>
    </row>
    <row r="1087" spans="1:8" ht="13" hidden="1">
      <c r="A1087" s="15">
        <v>45403.805224710653</v>
      </c>
      <c r="B1087" s="16">
        <v>45398</v>
      </c>
      <c r="C1087" s="2" t="s">
        <v>327</v>
      </c>
      <c r="D1087" s="2" t="s">
        <v>39</v>
      </c>
      <c r="E1087" s="2">
        <v>1490</v>
      </c>
      <c r="F1087" s="2" t="s">
        <v>100</v>
      </c>
      <c r="H1087" s="2" t="s">
        <v>35</v>
      </c>
    </row>
    <row r="1088" spans="1:8" ht="13" hidden="1">
      <c r="A1088" s="15">
        <v>45403.795729837962</v>
      </c>
      <c r="B1088" s="16">
        <v>45399</v>
      </c>
      <c r="C1088" s="2" t="s">
        <v>114</v>
      </c>
      <c r="D1088" s="2" t="s">
        <v>38</v>
      </c>
      <c r="E1088" s="2">
        <v>850</v>
      </c>
      <c r="F1088" s="2" t="s">
        <v>102</v>
      </c>
      <c r="H1088" s="2" t="s">
        <v>35</v>
      </c>
    </row>
    <row r="1089" spans="1:8" ht="13" hidden="1">
      <c r="A1089" s="15">
        <v>45403.79605730324</v>
      </c>
      <c r="B1089" s="16">
        <v>45399</v>
      </c>
      <c r="C1089" s="2" t="s">
        <v>116</v>
      </c>
      <c r="D1089" s="2" t="s">
        <v>38</v>
      </c>
      <c r="E1089" s="2">
        <v>745</v>
      </c>
      <c r="F1089" s="2" t="s">
        <v>102</v>
      </c>
      <c r="G1089" s="2" t="s">
        <v>145</v>
      </c>
      <c r="H1089" s="2" t="s">
        <v>35</v>
      </c>
    </row>
    <row r="1090" spans="1:8" ht="13" hidden="1">
      <c r="A1090" s="15">
        <v>45403.796529513886</v>
      </c>
      <c r="B1090" s="16">
        <v>45400</v>
      </c>
      <c r="C1090" s="2" t="s">
        <v>106</v>
      </c>
      <c r="D1090" s="2" t="s">
        <v>38</v>
      </c>
      <c r="E1090" s="2">
        <v>1100</v>
      </c>
      <c r="F1090" s="2" t="s">
        <v>102</v>
      </c>
      <c r="G1090" s="2" t="s">
        <v>528</v>
      </c>
      <c r="H1090" s="2" t="s">
        <v>35</v>
      </c>
    </row>
    <row r="1091" spans="1:8" ht="13" hidden="1">
      <c r="A1091" s="15">
        <v>45403.796883148148</v>
      </c>
      <c r="B1091" s="16">
        <v>45401</v>
      </c>
      <c r="C1091" s="2" t="s">
        <v>116</v>
      </c>
      <c r="D1091" s="2" t="s">
        <v>38</v>
      </c>
      <c r="E1091" s="2">
        <v>1574</v>
      </c>
      <c r="F1091" s="2" t="s">
        <v>102</v>
      </c>
      <c r="G1091" s="2" t="s">
        <v>145</v>
      </c>
      <c r="H1091" s="2" t="s">
        <v>35</v>
      </c>
    </row>
    <row r="1092" spans="1:8" ht="13" hidden="1">
      <c r="A1092" s="15">
        <v>45403.805479953706</v>
      </c>
      <c r="B1092" s="16">
        <v>45401</v>
      </c>
      <c r="C1092" s="2" t="s">
        <v>247</v>
      </c>
      <c r="D1092" s="2" t="s">
        <v>39</v>
      </c>
      <c r="E1092" s="2">
        <v>3600</v>
      </c>
      <c r="F1092" s="2" t="s">
        <v>100</v>
      </c>
      <c r="H1092" s="2" t="s">
        <v>35</v>
      </c>
    </row>
    <row r="1093" spans="1:8" ht="13" hidden="1">
      <c r="A1093" s="15">
        <v>45403.806327395832</v>
      </c>
      <c r="B1093" s="16">
        <v>45401</v>
      </c>
      <c r="C1093" s="2" t="s">
        <v>546</v>
      </c>
      <c r="D1093" s="2" t="s">
        <v>45</v>
      </c>
      <c r="E1093" s="2">
        <v>3780</v>
      </c>
      <c r="F1093" s="2" t="s">
        <v>100</v>
      </c>
      <c r="G1093" s="2" t="s">
        <v>129</v>
      </c>
      <c r="H1093" s="2" t="s">
        <v>35</v>
      </c>
    </row>
    <row r="1094" spans="1:8" ht="13" hidden="1">
      <c r="A1094" s="15">
        <v>45403.797226689814</v>
      </c>
      <c r="B1094" s="16">
        <v>45402</v>
      </c>
      <c r="C1094" s="2" t="s">
        <v>116</v>
      </c>
      <c r="D1094" s="2" t="s">
        <v>38</v>
      </c>
      <c r="E1094" s="2">
        <v>1014</v>
      </c>
      <c r="F1094" s="2" t="s">
        <v>102</v>
      </c>
      <c r="G1094" s="2" t="s">
        <v>145</v>
      </c>
      <c r="H1094" s="2" t="s">
        <v>35</v>
      </c>
    </row>
    <row r="1095" spans="1:8" ht="13" hidden="1">
      <c r="A1095" s="15">
        <v>45411.790103900465</v>
      </c>
      <c r="B1095" s="16">
        <v>45402</v>
      </c>
      <c r="C1095" s="2" t="s">
        <v>24</v>
      </c>
      <c r="D1095" s="2" t="s">
        <v>49</v>
      </c>
      <c r="E1095" s="2">
        <v>1100</v>
      </c>
      <c r="F1095" s="2" t="s">
        <v>100</v>
      </c>
      <c r="H1095" s="2" t="s">
        <v>35</v>
      </c>
    </row>
    <row r="1096" spans="1:8" ht="13" hidden="1">
      <c r="A1096" s="15">
        <v>45411.790584641203</v>
      </c>
      <c r="B1096" s="16">
        <v>45402</v>
      </c>
      <c r="C1096" s="2" t="s">
        <v>350</v>
      </c>
      <c r="D1096" s="2" t="s">
        <v>40</v>
      </c>
      <c r="E1096" s="2">
        <v>1000</v>
      </c>
      <c r="F1096" s="2" t="s">
        <v>100</v>
      </c>
      <c r="H1096" s="2" t="s">
        <v>35</v>
      </c>
    </row>
    <row r="1097" spans="1:8" ht="13" hidden="1">
      <c r="A1097" s="15">
        <v>45403.797492881946</v>
      </c>
      <c r="B1097" s="16">
        <v>45403</v>
      </c>
      <c r="C1097" s="2" t="s">
        <v>116</v>
      </c>
      <c r="D1097" s="2" t="s">
        <v>38</v>
      </c>
      <c r="E1097" s="2">
        <v>1334</v>
      </c>
      <c r="F1097" s="2" t="s">
        <v>102</v>
      </c>
      <c r="G1097" s="2" t="s">
        <v>145</v>
      </c>
      <c r="H1097" s="2" t="s">
        <v>35</v>
      </c>
    </row>
    <row r="1098" spans="1:8" ht="13" hidden="1">
      <c r="A1098" s="15">
        <v>45411.79095657407</v>
      </c>
      <c r="B1098" s="16">
        <v>45403</v>
      </c>
      <c r="C1098" s="2" t="s">
        <v>547</v>
      </c>
      <c r="D1098" s="2" t="s">
        <v>45</v>
      </c>
      <c r="E1098" s="2">
        <v>6000</v>
      </c>
      <c r="F1098" s="2" t="s">
        <v>100</v>
      </c>
      <c r="H1098" s="2" t="s">
        <v>35</v>
      </c>
    </row>
    <row r="1099" spans="1:8" ht="13" hidden="1">
      <c r="A1099" s="15">
        <v>45411.791263240739</v>
      </c>
      <c r="B1099" s="16">
        <v>45404</v>
      </c>
      <c r="C1099" s="2" t="s">
        <v>22</v>
      </c>
      <c r="D1099" s="2" t="s">
        <v>39</v>
      </c>
      <c r="E1099" s="2">
        <v>2310</v>
      </c>
      <c r="F1099" s="2" t="s">
        <v>100</v>
      </c>
      <c r="H1099" s="2" t="s">
        <v>35</v>
      </c>
    </row>
    <row r="1100" spans="1:8" ht="13" hidden="1">
      <c r="A1100" s="15">
        <v>45411.783605497687</v>
      </c>
      <c r="B1100" s="16">
        <v>45405</v>
      </c>
      <c r="C1100" s="2" t="s">
        <v>236</v>
      </c>
      <c r="D1100" s="2" t="s">
        <v>43</v>
      </c>
      <c r="E1100" s="2">
        <v>327</v>
      </c>
      <c r="F1100" s="2" t="s">
        <v>102</v>
      </c>
      <c r="H1100" s="2" t="s">
        <v>35</v>
      </c>
    </row>
    <row r="1101" spans="1:8" ht="13" hidden="1">
      <c r="A1101" s="15">
        <v>45411.78390998843</v>
      </c>
      <c r="B1101" s="16">
        <v>45406</v>
      </c>
      <c r="C1101" s="2" t="s">
        <v>287</v>
      </c>
      <c r="D1101" s="2" t="s">
        <v>38</v>
      </c>
      <c r="E1101" s="2">
        <v>400</v>
      </c>
      <c r="F1101" s="2" t="s">
        <v>102</v>
      </c>
      <c r="G1101" s="2" t="s">
        <v>199</v>
      </c>
      <c r="H1101" s="2" t="s">
        <v>35</v>
      </c>
    </row>
    <row r="1102" spans="1:8" ht="13" hidden="1">
      <c r="A1102" s="15">
        <v>45411.788421145829</v>
      </c>
      <c r="B1102" s="16">
        <v>45407</v>
      </c>
      <c r="C1102" s="2" t="s">
        <v>106</v>
      </c>
      <c r="D1102" s="2" t="s">
        <v>38</v>
      </c>
      <c r="E1102" s="2">
        <v>1100</v>
      </c>
      <c r="F1102" s="2" t="s">
        <v>102</v>
      </c>
      <c r="H1102" s="2" t="s">
        <v>35</v>
      </c>
    </row>
    <row r="1103" spans="1:8" ht="13" hidden="1">
      <c r="A1103" s="15">
        <v>45411.794415798606</v>
      </c>
      <c r="B1103" s="16">
        <v>45407</v>
      </c>
      <c r="C1103" s="2" t="s">
        <v>548</v>
      </c>
      <c r="E1103" s="2">
        <v>341790</v>
      </c>
      <c r="H1103" s="2" t="s">
        <v>34</v>
      </c>
    </row>
    <row r="1104" spans="1:8" ht="13" hidden="1">
      <c r="A1104" s="15">
        <v>45411.791512673612</v>
      </c>
      <c r="B1104" s="16">
        <v>45407</v>
      </c>
      <c r="C1104" s="2" t="s">
        <v>240</v>
      </c>
      <c r="D1104" s="2" t="s">
        <v>42</v>
      </c>
      <c r="E1104" s="2">
        <v>990</v>
      </c>
      <c r="F1104" s="2" t="s">
        <v>100</v>
      </c>
      <c r="H1104" s="2" t="s">
        <v>35</v>
      </c>
    </row>
    <row r="1105" spans="1:8" ht="13" hidden="1">
      <c r="A1105" s="15">
        <v>45418.782264155088</v>
      </c>
      <c r="B1105" s="16">
        <v>45407</v>
      </c>
      <c r="C1105" s="2" t="s">
        <v>105</v>
      </c>
      <c r="D1105" s="2" t="s">
        <v>40</v>
      </c>
      <c r="E1105" s="2">
        <v>600</v>
      </c>
      <c r="F1105" s="2" t="s">
        <v>100</v>
      </c>
      <c r="H1105" s="2" t="s">
        <v>35</v>
      </c>
    </row>
    <row r="1106" spans="1:8" ht="13" hidden="1">
      <c r="A1106" s="15">
        <v>45382.720918680556</v>
      </c>
      <c r="B1106" s="16">
        <v>45408</v>
      </c>
      <c r="C1106" s="2" t="s">
        <v>530</v>
      </c>
      <c r="D1106" s="2" t="s">
        <v>47</v>
      </c>
      <c r="E1106" s="2">
        <v>30000</v>
      </c>
      <c r="F1106" s="2" t="s">
        <v>102</v>
      </c>
      <c r="H1106" s="2" t="s">
        <v>35</v>
      </c>
    </row>
    <row r="1107" spans="1:8" ht="13" hidden="1">
      <c r="A1107" s="15">
        <v>45382.721552673611</v>
      </c>
      <c r="B1107" s="16">
        <v>45408</v>
      </c>
      <c r="C1107" s="2" t="s">
        <v>146</v>
      </c>
      <c r="D1107" s="2" t="s">
        <v>47</v>
      </c>
      <c r="E1107" s="2">
        <v>3400</v>
      </c>
      <c r="F1107" s="2" t="s">
        <v>102</v>
      </c>
      <c r="H1107" s="2" t="s">
        <v>35</v>
      </c>
    </row>
    <row r="1108" spans="1:8" ht="13" hidden="1">
      <c r="A1108" s="15">
        <v>45382.722317233798</v>
      </c>
      <c r="B1108" s="16">
        <v>45408</v>
      </c>
      <c r="C1108" s="2" t="s">
        <v>408</v>
      </c>
      <c r="D1108" s="2" t="s">
        <v>152</v>
      </c>
      <c r="E1108" s="2">
        <v>10000</v>
      </c>
      <c r="F1108" s="2" t="s">
        <v>102</v>
      </c>
      <c r="H1108" s="2" t="s">
        <v>35</v>
      </c>
    </row>
    <row r="1109" spans="1:8" ht="13" hidden="1">
      <c r="A1109" s="15">
        <v>45411.78432486111</v>
      </c>
      <c r="B1109" s="16">
        <v>45408</v>
      </c>
      <c r="C1109" s="2" t="s">
        <v>116</v>
      </c>
      <c r="D1109" s="2" t="s">
        <v>38</v>
      </c>
      <c r="E1109" s="2">
        <v>546</v>
      </c>
      <c r="F1109" s="2" t="s">
        <v>102</v>
      </c>
      <c r="G1109" s="2" t="s">
        <v>145</v>
      </c>
      <c r="H1109" s="2" t="s">
        <v>35</v>
      </c>
    </row>
    <row r="1110" spans="1:8" ht="13" hidden="1">
      <c r="A1110" s="15">
        <v>45411.784758391208</v>
      </c>
      <c r="B1110" s="16">
        <v>45408</v>
      </c>
      <c r="C1110" s="2" t="s">
        <v>549</v>
      </c>
      <c r="D1110" s="2" t="s">
        <v>39</v>
      </c>
      <c r="E1110" s="2">
        <v>4000</v>
      </c>
      <c r="F1110" s="2" t="s">
        <v>102</v>
      </c>
      <c r="H1110" s="2" t="s">
        <v>35</v>
      </c>
    </row>
    <row r="1111" spans="1:8" ht="13" hidden="1">
      <c r="A1111" s="15">
        <v>45418.78295533565</v>
      </c>
      <c r="B1111" s="16">
        <v>45408</v>
      </c>
      <c r="C1111" s="2" t="s">
        <v>550</v>
      </c>
      <c r="D1111" s="2" t="s">
        <v>39</v>
      </c>
      <c r="E1111" s="2">
        <v>12600</v>
      </c>
      <c r="F1111" s="2" t="s">
        <v>100</v>
      </c>
      <c r="H1111" s="2" t="s">
        <v>35</v>
      </c>
    </row>
    <row r="1112" spans="1:8" ht="13" hidden="1">
      <c r="A1112" s="15">
        <v>45411.785159085644</v>
      </c>
      <c r="B1112" s="16">
        <v>45409</v>
      </c>
      <c r="C1112" s="2" t="s">
        <v>551</v>
      </c>
      <c r="E1112" s="2">
        <v>2500</v>
      </c>
      <c r="H1112" s="2" t="s">
        <v>34</v>
      </c>
    </row>
    <row r="1113" spans="1:8" ht="13" hidden="1">
      <c r="A1113" s="15">
        <v>45411.785476423611</v>
      </c>
      <c r="B1113" s="16">
        <v>45409</v>
      </c>
      <c r="C1113" s="2" t="s">
        <v>552</v>
      </c>
      <c r="D1113" s="2" t="s">
        <v>39</v>
      </c>
      <c r="E1113" s="2">
        <v>1562</v>
      </c>
      <c r="F1113" s="2" t="s">
        <v>102</v>
      </c>
      <c r="H1113" s="2" t="s">
        <v>35</v>
      </c>
    </row>
    <row r="1114" spans="1:8" ht="13" hidden="1">
      <c r="A1114" s="15">
        <v>45411.785911712963</v>
      </c>
      <c r="B1114" s="16">
        <v>45409</v>
      </c>
      <c r="C1114" s="2" t="s">
        <v>553</v>
      </c>
      <c r="D1114" s="2" t="s">
        <v>39</v>
      </c>
      <c r="E1114" s="2">
        <v>2500</v>
      </c>
      <c r="F1114" s="2" t="s">
        <v>102</v>
      </c>
      <c r="H1114" s="2" t="s">
        <v>35</v>
      </c>
    </row>
    <row r="1115" spans="1:8" ht="13" hidden="1">
      <c r="A1115" s="15">
        <v>45411.786236192129</v>
      </c>
      <c r="B1115" s="16">
        <v>45409</v>
      </c>
      <c r="C1115" s="2" t="s">
        <v>554</v>
      </c>
      <c r="D1115" s="2" t="s">
        <v>39</v>
      </c>
      <c r="E1115" s="2">
        <v>1600</v>
      </c>
      <c r="F1115" s="2" t="s">
        <v>102</v>
      </c>
      <c r="H1115" s="2" t="s">
        <v>35</v>
      </c>
    </row>
    <row r="1116" spans="1:8" ht="13" hidden="1">
      <c r="A1116" s="15">
        <v>45411.791932499997</v>
      </c>
      <c r="B1116" s="16">
        <v>45409</v>
      </c>
      <c r="C1116" s="2" t="s">
        <v>555</v>
      </c>
      <c r="D1116" s="2" t="s">
        <v>48</v>
      </c>
      <c r="E1116" s="2">
        <v>1180</v>
      </c>
      <c r="F1116" s="2" t="s">
        <v>100</v>
      </c>
      <c r="H1116" s="2" t="s">
        <v>35</v>
      </c>
    </row>
    <row r="1117" spans="1:8" ht="13" hidden="1">
      <c r="A1117" s="15">
        <v>45411.788728969907</v>
      </c>
      <c r="B1117" s="16">
        <v>45409</v>
      </c>
      <c r="C1117" s="2" t="s">
        <v>294</v>
      </c>
      <c r="D1117" s="2" t="s">
        <v>39</v>
      </c>
      <c r="E1117" s="2">
        <v>850</v>
      </c>
      <c r="F1117" s="2" t="s">
        <v>102</v>
      </c>
      <c r="H1117" s="2" t="s">
        <v>35</v>
      </c>
    </row>
    <row r="1118" spans="1:8" ht="13" hidden="1">
      <c r="A1118" s="15">
        <v>45418.783643437499</v>
      </c>
      <c r="B1118" s="16">
        <v>45409</v>
      </c>
      <c r="C1118" s="2" t="s">
        <v>556</v>
      </c>
      <c r="D1118" s="2" t="s">
        <v>39</v>
      </c>
      <c r="E1118" s="2">
        <v>15790</v>
      </c>
      <c r="F1118" s="2" t="s">
        <v>100</v>
      </c>
      <c r="H1118" s="2" t="s">
        <v>35</v>
      </c>
    </row>
    <row r="1119" spans="1:8" ht="13" hidden="1">
      <c r="A1119" s="15">
        <v>45418.783358703702</v>
      </c>
      <c r="B1119" s="16">
        <v>45409</v>
      </c>
      <c r="C1119" s="2" t="s">
        <v>557</v>
      </c>
      <c r="D1119" s="2" t="s">
        <v>40</v>
      </c>
      <c r="E1119" s="2">
        <v>1600</v>
      </c>
      <c r="F1119" s="2" t="s">
        <v>100</v>
      </c>
      <c r="H1119" s="2" t="s">
        <v>35</v>
      </c>
    </row>
    <row r="1120" spans="1:8" ht="13" hidden="1">
      <c r="A1120" s="15">
        <v>45411.78653474537</v>
      </c>
      <c r="B1120" s="16">
        <v>45410</v>
      </c>
      <c r="C1120" s="2" t="s">
        <v>116</v>
      </c>
      <c r="D1120" s="2" t="s">
        <v>38</v>
      </c>
      <c r="E1120" s="2">
        <v>2778</v>
      </c>
      <c r="F1120" s="2" t="s">
        <v>102</v>
      </c>
      <c r="G1120" s="2" t="s">
        <v>145</v>
      </c>
      <c r="H1120" s="2" t="s">
        <v>35</v>
      </c>
    </row>
    <row r="1121" spans="1:8" ht="13" hidden="1">
      <c r="A1121" s="15">
        <v>45411.786789745369</v>
      </c>
      <c r="B1121" s="16">
        <v>45410</v>
      </c>
      <c r="C1121" s="2" t="s">
        <v>400</v>
      </c>
      <c r="D1121" s="2" t="s">
        <v>38</v>
      </c>
      <c r="E1121" s="2">
        <v>1360</v>
      </c>
      <c r="F1121" s="2" t="s">
        <v>102</v>
      </c>
      <c r="H1121" s="2" t="s">
        <v>35</v>
      </c>
    </row>
    <row r="1122" spans="1:8" ht="13" hidden="1">
      <c r="A1122" s="15">
        <v>45411.787240324076</v>
      </c>
      <c r="B1122" s="16">
        <v>45410</v>
      </c>
      <c r="C1122" s="2" t="s">
        <v>558</v>
      </c>
      <c r="E1122" s="2">
        <v>7500</v>
      </c>
      <c r="H1122" s="2" t="s">
        <v>34</v>
      </c>
    </row>
    <row r="1123" spans="1:8" ht="13" hidden="1">
      <c r="A1123" s="15">
        <v>45418.784015925921</v>
      </c>
      <c r="B1123" s="16">
        <v>45410</v>
      </c>
      <c r="C1123" s="2" t="s">
        <v>158</v>
      </c>
      <c r="D1123" s="2" t="s">
        <v>49</v>
      </c>
      <c r="E1123" s="2">
        <v>4980</v>
      </c>
      <c r="F1123" s="2" t="s">
        <v>100</v>
      </c>
      <c r="H1123" s="2" t="s">
        <v>35</v>
      </c>
    </row>
    <row r="1124" spans="1:8" ht="13" hidden="1">
      <c r="A1124" s="15">
        <v>45411.787585729166</v>
      </c>
      <c r="B1124" s="16">
        <v>45411</v>
      </c>
      <c r="C1124" s="2" t="s">
        <v>116</v>
      </c>
      <c r="D1124" s="2" t="s">
        <v>38</v>
      </c>
      <c r="E1124" s="2">
        <v>1452</v>
      </c>
      <c r="F1124" s="2" t="s">
        <v>102</v>
      </c>
      <c r="G1124" s="2" t="s">
        <v>145</v>
      </c>
      <c r="H1124" s="2" t="s">
        <v>35</v>
      </c>
    </row>
    <row r="1125" spans="1:8" ht="13" hidden="1">
      <c r="A1125" s="15">
        <v>45411.788984548606</v>
      </c>
      <c r="B1125" s="16">
        <v>45411</v>
      </c>
      <c r="C1125" s="2" t="s">
        <v>559</v>
      </c>
      <c r="D1125" s="2" t="s">
        <v>39</v>
      </c>
      <c r="E1125" s="2">
        <v>500</v>
      </c>
      <c r="F1125" s="2" t="s">
        <v>102</v>
      </c>
      <c r="H1125" s="2" t="s">
        <v>35</v>
      </c>
    </row>
    <row r="1126" spans="1:8" ht="13" hidden="1">
      <c r="A1126" s="15">
        <v>45418.786927337962</v>
      </c>
      <c r="B1126" s="16">
        <v>45411</v>
      </c>
      <c r="C1126" s="2" t="s">
        <v>560</v>
      </c>
      <c r="D1126" s="2" t="s">
        <v>39</v>
      </c>
      <c r="E1126" s="2">
        <v>4000</v>
      </c>
      <c r="F1126" s="2" t="s">
        <v>100</v>
      </c>
      <c r="H1126" s="2" t="s">
        <v>35</v>
      </c>
    </row>
    <row r="1127" spans="1:8" ht="13" hidden="1">
      <c r="A1127" s="15">
        <v>45418.785976342595</v>
      </c>
      <c r="B1127" s="16">
        <v>45411</v>
      </c>
      <c r="C1127" s="2" t="s">
        <v>350</v>
      </c>
      <c r="D1127" s="2" t="s">
        <v>40</v>
      </c>
      <c r="E1127" s="2">
        <v>1000</v>
      </c>
      <c r="F1127" s="2" t="s">
        <v>100</v>
      </c>
      <c r="H1127" s="2" t="s">
        <v>35</v>
      </c>
    </row>
    <row r="1128" spans="1:8" ht="13" hidden="1">
      <c r="A1128" s="15">
        <v>45418.786650590278</v>
      </c>
      <c r="B1128" s="16">
        <v>45411</v>
      </c>
      <c r="C1128" s="2" t="s">
        <v>454</v>
      </c>
      <c r="D1128" s="2" t="s">
        <v>45</v>
      </c>
      <c r="E1128" s="2">
        <v>299</v>
      </c>
      <c r="F1128" s="2" t="s">
        <v>100</v>
      </c>
      <c r="G1128" s="2" t="s">
        <v>129</v>
      </c>
      <c r="H1128" s="2" t="s">
        <v>35</v>
      </c>
    </row>
    <row r="1129" spans="1:8" ht="13" hidden="1">
      <c r="A1129" s="15">
        <v>45382.720596724539</v>
      </c>
      <c r="B1129" s="16">
        <v>45412</v>
      </c>
      <c r="C1129" s="2" t="s">
        <v>561</v>
      </c>
      <c r="D1129" s="2" t="s">
        <v>5</v>
      </c>
      <c r="E1129" s="2">
        <v>93000</v>
      </c>
      <c r="F1129" s="2" t="s">
        <v>102</v>
      </c>
      <c r="H1129" s="2" t="s">
        <v>35</v>
      </c>
    </row>
    <row r="1130" spans="1:8" ht="13" hidden="1">
      <c r="A1130" s="15">
        <v>45382.721236979167</v>
      </c>
      <c r="B1130" s="16">
        <v>45412</v>
      </c>
      <c r="C1130" s="2" t="s">
        <v>17</v>
      </c>
      <c r="D1130" s="2" t="s">
        <v>45</v>
      </c>
      <c r="E1130" s="2">
        <v>8470</v>
      </c>
      <c r="F1130" s="2" t="s">
        <v>102</v>
      </c>
      <c r="H1130" s="2" t="s">
        <v>35</v>
      </c>
    </row>
    <row r="1131" spans="1:8" ht="13" hidden="1">
      <c r="A1131" s="15">
        <v>45382.721850196758</v>
      </c>
      <c r="B1131" s="16">
        <v>45412</v>
      </c>
      <c r="C1131" s="2" t="s">
        <v>9</v>
      </c>
      <c r="D1131" s="2" t="s">
        <v>47</v>
      </c>
      <c r="E1131" s="2">
        <v>13600</v>
      </c>
      <c r="F1131" s="2" t="s">
        <v>102</v>
      </c>
      <c r="H1131" s="2" t="s">
        <v>35</v>
      </c>
    </row>
    <row r="1132" spans="1:8" ht="13" hidden="1">
      <c r="A1132" s="15">
        <v>45382.722702256942</v>
      </c>
      <c r="B1132" s="16">
        <v>45412</v>
      </c>
      <c r="C1132" s="2" t="s">
        <v>239</v>
      </c>
      <c r="D1132" s="2" t="s">
        <v>47</v>
      </c>
      <c r="E1132" s="2">
        <v>20000</v>
      </c>
      <c r="F1132" s="2" t="s">
        <v>102</v>
      </c>
      <c r="H1132" s="2" t="s">
        <v>35</v>
      </c>
    </row>
    <row r="1133" spans="1:8" ht="13" hidden="1">
      <c r="A1133" s="15">
        <v>45418.774897326388</v>
      </c>
      <c r="B1133" s="16">
        <v>45412</v>
      </c>
      <c r="C1133" s="2" t="s">
        <v>106</v>
      </c>
      <c r="D1133" s="2" t="s">
        <v>38</v>
      </c>
      <c r="E1133" s="2">
        <v>980</v>
      </c>
      <c r="F1133" s="2" t="s">
        <v>102</v>
      </c>
      <c r="G1133" s="2" t="s">
        <v>194</v>
      </c>
      <c r="H1133" s="2" t="s">
        <v>35</v>
      </c>
    </row>
    <row r="1134" spans="1:8" ht="13" hidden="1">
      <c r="A1134" s="15">
        <v>45418.775234687499</v>
      </c>
      <c r="B1134" s="16">
        <v>45412</v>
      </c>
      <c r="C1134" s="2" t="s">
        <v>562</v>
      </c>
      <c r="D1134" s="2" t="s">
        <v>38</v>
      </c>
      <c r="E1134" s="2">
        <v>367</v>
      </c>
      <c r="F1134" s="2" t="s">
        <v>102</v>
      </c>
      <c r="G1134" s="2" t="s">
        <v>103</v>
      </c>
      <c r="H1134" s="2" t="s">
        <v>35</v>
      </c>
    </row>
    <row r="1135" spans="1:8" ht="13" hidden="1">
      <c r="A1135" s="15">
        <v>45418.775508703708</v>
      </c>
      <c r="B1135" s="16">
        <v>45412</v>
      </c>
      <c r="C1135" s="2" t="s">
        <v>116</v>
      </c>
      <c r="D1135" s="2" t="s">
        <v>38</v>
      </c>
      <c r="E1135" s="2">
        <v>801</v>
      </c>
      <c r="F1135" s="2" t="s">
        <v>102</v>
      </c>
      <c r="G1135" s="2" t="s">
        <v>145</v>
      </c>
      <c r="H1135" s="2" t="s">
        <v>35</v>
      </c>
    </row>
    <row r="1136" spans="1:8" ht="13" hidden="1">
      <c r="A1136" s="15">
        <v>45418.775948275463</v>
      </c>
      <c r="B1136" s="16">
        <v>45413</v>
      </c>
      <c r="C1136" s="2" t="s">
        <v>428</v>
      </c>
      <c r="D1136" s="2" t="s">
        <v>45</v>
      </c>
      <c r="E1136" s="2">
        <v>731</v>
      </c>
      <c r="F1136" s="2" t="s">
        <v>102</v>
      </c>
      <c r="H1136" s="2" t="s">
        <v>35</v>
      </c>
    </row>
    <row r="1137" spans="1:8" ht="13" hidden="1">
      <c r="A1137" s="15">
        <v>45418.776681076386</v>
      </c>
      <c r="B1137" s="16">
        <v>45413</v>
      </c>
      <c r="C1137" s="2" t="s">
        <v>563</v>
      </c>
      <c r="D1137" s="2" t="s">
        <v>38</v>
      </c>
      <c r="E1137" s="2">
        <v>1000</v>
      </c>
      <c r="F1137" s="2" t="s">
        <v>102</v>
      </c>
      <c r="H1137" s="2" t="s">
        <v>35</v>
      </c>
    </row>
    <row r="1138" spans="1:8" ht="13" hidden="1">
      <c r="A1138" s="15">
        <v>45418.777251898151</v>
      </c>
      <c r="B1138" s="16">
        <v>45413</v>
      </c>
      <c r="C1138" s="2" t="s">
        <v>116</v>
      </c>
      <c r="D1138" s="2" t="s">
        <v>38</v>
      </c>
      <c r="E1138" s="2">
        <v>1207</v>
      </c>
      <c r="F1138" s="2" t="s">
        <v>102</v>
      </c>
      <c r="G1138" s="2" t="s">
        <v>145</v>
      </c>
      <c r="H1138" s="2" t="s">
        <v>35</v>
      </c>
    </row>
    <row r="1139" spans="1:8" ht="13" hidden="1">
      <c r="A1139" s="15">
        <v>45418.776197997686</v>
      </c>
      <c r="B1139" s="16">
        <v>45413</v>
      </c>
      <c r="C1139" s="2" t="s">
        <v>564</v>
      </c>
      <c r="D1139" s="2" t="s">
        <v>39</v>
      </c>
      <c r="E1139" s="2">
        <v>1400</v>
      </c>
      <c r="F1139" s="2" t="s">
        <v>102</v>
      </c>
      <c r="H1139" s="2" t="s">
        <v>35</v>
      </c>
    </row>
    <row r="1140" spans="1:8" ht="13" hidden="1">
      <c r="A1140" s="15">
        <v>45418.776470277779</v>
      </c>
      <c r="B1140" s="16">
        <v>45413</v>
      </c>
      <c r="C1140" s="2" t="s">
        <v>565</v>
      </c>
      <c r="D1140" s="2" t="s">
        <v>39</v>
      </c>
      <c r="E1140" s="2">
        <v>500</v>
      </c>
      <c r="F1140" s="2" t="s">
        <v>102</v>
      </c>
      <c r="H1140" s="2" t="s">
        <v>35</v>
      </c>
    </row>
    <row r="1141" spans="1:8" ht="13" hidden="1">
      <c r="A1141" s="15">
        <v>45418.776953055552</v>
      </c>
      <c r="B1141" s="16">
        <v>45413</v>
      </c>
      <c r="C1141" s="2" t="s">
        <v>566</v>
      </c>
      <c r="D1141" s="2" t="s">
        <v>39</v>
      </c>
      <c r="E1141" s="2">
        <v>1080</v>
      </c>
      <c r="F1141" s="2" t="s">
        <v>102</v>
      </c>
      <c r="H1141" s="2" t="s">
        <v>35</v>
      </c>
    </row>
    <row r="1142" spans="1:8" ht="13" hidden="1">
      <c r="A1142" s="15">
        <v>45418.787264849539</v>
      </c>
      <c r="B1142" s="16">
        <v>45413</v>
      </c>
      <c r="C1142" s="2" t="s">
        <v>248</v>
      </c>
      <c r="D1142" s="2" t="s">
        <v>49</v>
      </c>
      <c r="E1142" s="2">
        <v>700</v>
      </c>
      <c r="F1142" s="2" t="s">
        <v>100</v>
      </c>
      <c r="G1142" s="2" t="s">
        <v>179</v>
      </c>
      <c r="H1142" s="2" t="s">
        <v>35</v>
      </c>
    </row>
    <row r="1143" spans="1:8" ht="13" hidden="1">
      <c r="A1143" s="15">
        <v>45418.787748645831</v>
      </c>
      <c r="B1143" s="16">
        <v>45413</v>
      </c>
      <c r="C1143" s="2" t="s">
        <v>567</v>
      </c>
      <c r="D1143" s="2" t="s">
        <v>49</v>
      </c>
      <c r="E1143" s="2">
        <v>1400</v>
      </c>
      <c r="F1143" s="2" t="s">
        <v>100</v>
      </c>
      <c r="G1143" s="2" t="s">
        <v>568</v>
      </c>
      <c r="H1143" s="2" t="s">
        <v>35</v>
      </c>
    </row>
    <row r="1144" spans="1:8" ht="13" hidden="1">
      <c r="A1144" s="15">
        <v>45418.788047442125</v>
      </c>
      <c r="B1144" s="16">
        <v>45413</v>
      </c>
      <c r="C1144" s="2" t="s">
        <v>350</v>
      </c>
      <c r="D1144" s="2" t="s">
        <v>40</v>
      </c>
      <c r="E1144" s="2">
        <v>1000</v>
      </c>
      <c r="F1144" s="2" t="s">
        <v>100</v>
      </c>
      <c r="H1144" s="2" t="s">
        <v>35</v>
      </c>
    </row>
    <row r="1145" spans="1:8" ht="13" hidden="1">
      <c r="A1145" s="15">
        <v>45418.788281122688</v>
      </c>
      <c r="B1145" s="16">
        <v>45413</v>
      </c>
      <c r="C1145" s="2" t="s">
        <v>240</v>
      </c>
      <c r="D1145" s="2" t="s">
        <v>42</v>
      </c>
      <c r="E1145" s="2">
        <v>990</v>
      </c>
      <c r="F1145" s="2" t="s">
        <v>100</v>
      </c>
      <c r="H1145" s="2" t="s">
        <v>35</v>
      </c>
    </row>
    <row r="1146" spans="1:8" ht="13" hidden="1">
      <c r="A1146" s="15">
        <v>45418.777602002316</v>
      </c>
      <c r="B1146" s="16">
        <v>45414</v>
      </c>
      <c r="C1146" s="2" t="s">
        <v>116</v>
      </c>
      <c r="D1146" s="2" t="s">
        <v>38</v>
      </c>
      <c r="E1146" s="2">
        <v>1348</v>
      </c>
      <c r="F1146" s="2" t="s">
        <v>102</v>
      </c>
      <c r="G1146" s="2" t="s">
        <v>145</v>
      </c>
      <c r="H1146" s="2" t="s">
        <v>35</v>
      </c>
    </row>
    <row r="1147" spans="1:8" ht="13" hidden="1">
      <c r="A1147" s="15">
        <v>45418.778095752314</v>
      </c>
      <c r="B1147" s="16">
        <v>45415</v>
      </c>
      <c r="C1147" s="2" t="s">
        <v>277</v>
      </c>
      <c r="D1147" s="2" t="s">
        <v>46</v>
      </c>
      <c r="E1147" s="2">
        <v>2387</v>
      </c>
      <c r="F1147" s="2" t="s">
        <v>102</v>
      </c>
      <c r="H1147" s="2" t="s">
        <v>35</v>
      </c>
    </row>
    <row r="1148" spans="1:8" ht="13" hidden="1">
      <c r="A1148" s="15">
        <v>45418.778399525458</v>
      </c>
      <c r="B1148" s="16">
        <v>45415</v>
      </c>
      <c r="C1148" s="2" t="s">
        <v>569</v>
      </c>
      <c r="D1148" s="2" t="s">
        <v>38</v>
      </c>
      <c r="E1148" s="2">
        <v>957</v>
      </c>
      <c r="F1148" s="2" t="s">
        <v>102</v>
      </c>
      <c r="H1148" s="2" t="s">
        <v>35</v>
      </c>
    </row>
    <row r="1149" spans="1:8" ht="13" hidden="1">
      <c r="A1149" s="15">
        <v>45418.777844270837</v>
      </c>
      <c r="B1149" s="16">
        <v>45415</v>
      </c>
      <c r="C1149" s="2" t="s">
        <v>570</v>
      </c>
      <c r="D1149" s="2" t="s">
        <v>39</v>
      </c>
      <c r="E1149" s="2">
        <v>2200</v>
      </c>
      <c r="F1149" s="2" t="s">
        <v>102</v>
      </c>
      <c r="H1149" s="2" t="s">
        <v>35</v>
      </c>
    </row>
    <row r="1150" spans="1:8" ht="13" hidden="1">
      <c r="A1150" s="15">
        <v>45418.779027326389</v>
      </c>
      <c r="B1150" s="16">
        <v>45416</v>
      </c>
      <c r="C1150" s="2" t="s">
        <v>116</v>
      </c>
      <c r="D1150" s="2" t="s">
        <v>38</v>
      </c>
      <c r="E1150" s="2">
        <v>972</v>
      </c>
      <c r="F1150" s="2" t="s">
        <v>102</v>
      </c>
      <c r="G1150" s="2" t="s">
        <v>145</v>
      </c>
      <c r="H1150" s="2" t="s">
        <v>35</v>
      </c>
    </row>
    <row r="1151" spans="1:8" ht="13" hidden="1">
      <c r="A1151" s="15">
        <v>45418.778655335649</v>
      </c>
      <c r="B1151" s="16">
        <v>45416</v>
      </c>
      <c r="C1151" s="2" t="s">
        <v>571</v>
      </c>
      <c r="D1151" s="2" t="s">
        <v>39</v>
      </c>
      <c r="E1151" s="2">
        <v>1650</v>
      </c>
      <c r="F1151" s="2" t="s">
        <v>102</v>
      </c>
      <c r="H1151" s="2" t="s">
        <v>35</v>
      </c>
    </row>
    <row r="1152" spans="1:8" ht="13" hidden="1">
      <c r="A1152" s="15">
        <v>45418.779352118057</v>
      </c>
      <c r="B1152" s="16">
        <v>45417</v>
      </c>
      <c r="C1152" s="2" t="s">
        <v>572</v>
      </c>
      <c r="D1152" s="2" t="s">
        <v>39</v>
      </c>
      <c r="E1152" s="2">
        <v>1000</v>
      </c>
      <c r="F1152" s="2" t="s">
        <v>102</v>
      </c>
      <c r="H1152" s="2" t="s">
        <v>35</v>
      </c>
    </row>
    <row r="1153" spans="1:8" ht="13" hidden="1">
      <c r="A1153" s="15">
        <v>45424.634996516208</v>
      </c>
      <c r="B1153" s="16">
        <v>45417</v>
      </c>
      <c r="C1153" s="2" t="s">
        <v>526</v>
      </c>
      <c r="D1153" s="2" t="s">
        <v>40</v>
      </c>
      <c r="E1153" s="2">
        <v>1000</v>
      </c>
      <c r="F1153" s="2" t="s">
        <v>100</v>
      </c>
      <c r="H1153" s="2" t="s">
        <v>35</v>
      </c>
    </row>
    <row r="1154" spans="1:8" ht="13" hidden="1">
      <c r="A1154" s="15">
        <v>45418.779700335646</v>
      </c>
      <c r="B1154" s="16">
        <v>45418</v>
      </c>
      <c r="C1154" s="2" t="s">
        <v>163</v>
      </c>
      <c r="D1154" s="2" t="s">
        <v>38</v>
      </c>
      <c r="E1154" s="2">
        <v>1880</v>
      </c>
      <c r="F1154" s="2" t="s">
        <v>102</v>
      </c>
      <c r="G1154" s="2" t="s">
        <v>164</v>
      </c>
      <c r="H1154" s="2" t="s">
        <v>35</v>
      </c>
    </row>
    <row r="1155" spans="1:8" ht="13" hidden="1">
      <c r="A1155" s="15">
        <v>45418.780020150458</v>
      </c>
      <c r="B1155" s="16">
        <v>45418</v>
      </c>
      <c r="C1155" s="2" t="s">
        <v>116</v>
      </c>
      <c r="D1155" s="2" t="s">
        <v>38</v>
      </c>
      <c r="E1155" s="2">
        <v>552</v>
      </c>
      <c r="F1155" s="2" t="s">
        <v>102</v>
      </c>
      <c r="G1155" s="2" t="s">
        <v>145</v>
      </c>
      <c r="H1155" s="2" t="s">
        <v>35</v>
      </c>
    </row>
    <row r="1156" spans="1:8" ht="13" hidden="1">
      <c r="A1156" s="15">
        <v>45418.780344375002</v>
      </c>
      <c r="B1156" s="16">
        <v>45418</v>
      </c>
      <c r="C1156" s="2" t="s">
        <v>168</v>
      </c>
      <c r="D1156" s="2" t="s">
        <v>45</v>
      </c>
      <c r="E1156" s="2">
        <v>220</v>
      </c>
      <c r="F1156" s="2" t="s">
        <v>102</v>
      </c>
      <c r="G1156" s="2" t="s">
        <v>136</v>
      </c>
      <c r="H1156" s="2" t="s">
        <v>35</v>
      </c>
    </row>
    <row r="1157" spans="1:8" ht="13" hidden="1">
      <c r="A1157" s="15">
        <v>45424.63528905093</v>
      </c>
      <c r="B1157" s="16">
        <v>45418</v>
      </c>
      <c r="C1157" s="2" t="s">
        <v>240</v>
      </c>
      <c r="D1157" s="2" t="s">
        <v>42</v>
      </c>
      <c r="E1157" s="2">
        <v>990</v>
      </c>
      <c r="F1157" s="2" t="s">
        <v>100</v>
      </c>
      <c r="H1157" s="2" t="s">
        <v>35</v>
      </c>
    </row>
    <row r="1158" spans="1:8" ht="13" hidden="1">
      <c r="A1158" s="15">
        <v>45424.629078495374</v>
      </c>
      <c r="B1158" s="16">
        <v>45419</v>
      </c>
      <c r="C1158" s="2" t="s">
        <v>106</v>
      </c>
      <c r="D1158" s="2" t="s">
        <v>38</v>
      </c>
      <c r="E1158" s="2">
        <v>1400</v>
      </c>
      <c r="F1158" s="2" t="s">
        <v>102</v>
      </c>
      <c r="G1158" s="2" t="s">
        <v>200</v>
      </c>
      <c r="H1158" s="2" t="s">
        <v>35</v>
      </c>
    </row>
    <row r="1159" spans="1:8" ht="13" hidden="1">
      <c r="A1159" s="15">
        <v>45424.629420497688</v>
      </c>
      <c r="B1159" s="16">
        <v>45419</v>
      </c>
      <c r="C1159" s="2" t="s">
        <v>116</v>
      </c>
      <c r="D1159" s="2" t="s">
        <v>38</v>
      </c>
      <c r="E1159" s="2">
        <v>726</v>
      </c>
      <c r="F1159" s="2" t="s">
        <v>102</v>
      </c>
      <c r="G1159" s="2" t="s">
        <v>145</v>
      </c>
      <c r="H1159" s="2" t="s">
        <v>35</v>
      </c>
    </row>
    <row r="1160" spans="1:8" ht="13" hidden="1">
      <c r="A1160" s="15">
        <v>45424.633964618057</v>
      </c>
      <c r="B1160" s="16">
        <v>45419</v>
      </c>
      <c r="C1160" s="2" t="s">
        <v>258</v>
      </c>
      <c r="E1160" s="2">
        <v>9380</v>
      </c>
      <c r="H1160" s="2" t="s">
        <v>34</v>
      </c>
    </row>
    <row r="1161" spans="1:8" ht="13" hidden="1">
      <c r="A1161" s="15">
        <v>45424.635617222222</v>
      </c>
      <c r="B1161" s="16">
        <v>45419</v>
      </c>
      <c r="C1161" s="2" t="s">
        <v>277</v>
      </c>
      <c r="D1161" s="2" t="s">
        <v>46</v>
      </c>
      <c r="E1161" s="2">
        <v>7315</v>
      </c>
      <c r="F1161" s="2" t="s">
        <v>100</v>
      </c>
      <c r="G1161" s="2" t="s">
        <v>129</v>
      </c>
      <c r="H1161" s="2" t="s">
        <v>35</v>
      </c>
    </row>
    <row r="1162" spans="1:8" ht="13" hidden="1">
      <c r="A1162" s="15">
        <v>45424.630112025465</v>
      </c>
      <c r="B1162" s="16">
        <v>45420</v>
      </c>
      <c r="C1162" s="2" t="s">
        <v>573</v>
      </c>
      <c r="D1162" s="2" t="s">
        <v>38</v>
      </c>
      <c r="E1162" s="2">
        <v>890</v>
      </c>
      <c r="F1162" s="2" t="s">
        <v>102</v>
      </c>
      <c r="H1162" s="2" t="s">
        <v>35</v>
      </c>
    </row>
    <row r="1163" spans="1:8" ht="13" hidden="1">
      <c r="A1163" s="15">
        <v>45424.635849143524</v>
      </c>
      <c r="B1163" s="16">
        <v>45420</v>
      </c>
      <c r="C1163" s="2" t="s">
        <v>489</v>
      </c>
      <c r="D1163" s="2" t="s">
        <v>152</v>
      </c>
      <c r="E1163" s="2">
        <v>130</v>
      </c>
      <c r="F1163" s="2" t="s">
        <v>100</v>
      </c>
      <c r="H1163" s="2" t="s">
        <v>35</v>
      </c>
    </row>
    <row r="1164" spans="1:8" ht="13" hidden="1">
      <c r="A1164" s="15">
        <v>45424.636176793982</v>
      </c>
      <c r="B1164" s="16">
        <v>45420</v>
      </c>
      <c r="C1164" s="2" t="s">
        <v>10</v>
      </c>
      <c r="D1164" s="2" t="s">
        <v>45</v>
      </c>
      <c r="E1164" s="2">
        <v>280</v>
      </c>
      <c r="F1164" s="2" t="s">
        <v>100</v>
      </c>
      <c r="H1164" s="2" t="s">
        <v>35</v>
      </c>
    </row>
    <row r="1165" spans="1:8" ht="13" hidden="1">
      <c r="A1165" s="15">
        <v>45424.630393113424</v>
      </c>
      <c r="B1165" s="16">
        <v>45421</v>
      </c>
      <c r="C1165" s="2" t="s">
        <v>106</v>
      </c>
      <c r="D1165" s="2" t="s">
        <v>38</v>
      </c>
      <c r="E1165" s="2">
        <v>1100</v>
      </c>
      <c r="F1165" s="2" t="s">
        <v>102</v>
      </c>
      <c r="H1165" s="2" t="s">
        <v>35</v>
      </c>
    </row>
    <row r="1166" spans="1:8" ht="13" hidden="1">
      <c r="A1166" s="15">
        <v>45424.630698622685</v>
      </c>
      <c r="B1166" s="16">
        <v>45421</v>
      </c>
      <c r="C1166" s="2" t="s">
        <v>287</v>
      </c>
      <c r="D1166" s="2" t="s">
        <v>38</v>
      </c>
      <c r="E1166" s="2">
        <v>400</v>
      </c>
      <c r="F1166" s="2" t="s">
        <v>102</v>
      </c>
      <c r="G1166" s="2" t="s">
        <v>199</v>
      </c>
      <c r="H1166" s="2" t="s">
        <v>35</v>
      </c>
    </row>
    <row r="1167" spans="1:8" ht="13" hidden="1">
      <c r="A1167" s="15">
        <v>45424.636496493054</v>
      </c>
      <c r="B1167" s="16">
        <v>45421</v>
      </c>
      <c r="C1167" s="2" t="s">
        <v>574</v>
      </c>
      <c r="D1167" s="2" t="s">
        <v>48</v>
      </c>
      <c r="E1167" s="2">
        <v>880</v>
      </c>
      <c r="F1167" s="2" t="s">
        <v>100</v>
      </c>
      <c r="H1167" s="2" t="s">
        <v>35</v>
      </c>
    </row>
    <row r="1168" spans="1:8" ht="13" hidden="1">
      <c r="A1168" s="15">
        <v>45431.728135428246</v>
      </c>
      <c r="B1168" s="16">
        <v>45421</v>
      </c>
      <c r="C1168" s="2" t="s">
        <v>308</v>
      </c>
      <c r="D1168" s="2" t="s">
        <v>40</v>
      </c>
      <c r="E1168" s="2">
        <v>34580</v>
      </c>
      <c r="F1168" s="2" t="s">
        <v>100</v>
      </c>
      <c r="H1168" s="2" t="s">
        <v>35</v>
      </c>
    </row>
    <row r="1169" spans="1:8" ht="13" hidden="1">
      <c r="A1169" s="15">
        <v>45424.631056168982</v>
      </c>
      <c r="B1169" s="16">
        <v>45422</v>
      </c>
      <c r="C1169" s="2" t="s">
        <v>106</v>
      </c>
      <c r="D1169" s="2" t="s">
        <v>38</v>
      </c>
      <c r="E1169" s="2">
        <v>880</v>
      </c>
      <c r="F1169" s="2" t="s">
        <v>102</v>
      </c>
      <c r="G1169" s="2" t="s">
        <v>194</v>
      </c>
      <c r="H1169" s="2" t="s">
        <v>35</v>
      </c>
    </row>
    <row r="1170" spans="1:8" ht="13" hidden="1">
      <c r="A1170" s="15">
        <v>45424.631324861111</v>
      </c>
      <c r="B1170" s="16">
        <v>45422</v>
      </c>
      <c r="C1170" s="2" t="s">
        <v>575</v>
      </c>
      <c r="E1170" s="2">
        <v>2500</v>
      </c>
      <c r="H1170" s="2" t="s">
        <v>34</v>
      </c>
    </row>
    <row r="1171" spans="1:8" ht="13" hidden="1">
      <c r="A1171" s="15">
        <v>45424.631637905091</v>
      </c>
      <c r="B1171" s="16">
        <v>45422</v>
      </c>
      <c r="C1171" s="2" t="s">
        <v>576</v>
      </c>
      <c r="D1171" s="2" t="s">
        <v>39</v>
      </c>
      <c r="E1171" s="2">
        <v>2792</v>
      </c>
      <c r="F1171" s="2" t="s">
        <v>102</v>
      </c>
      <c r="G1171" s="2" t="s">
        <v>577</v>
      </c>
      <c r="H1171" s="2" t="s">
        <v>35</v>
      </c>
    </row>
    <row r="1172" spans="1:8" ht="13" hidden="1">
      <c r="A1172" s="15">
        <v>45424.63193643518</v>
      </c>
      <c r="B1172" s="16">
        <v>45422</v>
      </c>
      <c r="C1172" s="2" t="s">
        <v>578</v>
      </c>
      <c r="E1172" s="2">
        <v>2000</v>
      </c>
      <c r="H1172" s="2" t="s">
        <v>34</v>
      </c>
    </row>
    <row r="1173" spans="1:8" ht="13" hidden="1">
      <c r="A1173" s="15">
        <v>45431.728416122685</v>
      </c>
      <c r="B1173" s="16">
        <v>45422</v>
      </c>
      <c r="C1173" s="2" t="s">
        <v>240</v>
      </c>
      <c r="D1173" s="2" t="s">
        <v>42</v>
      </c>
      <c r="E1173" s="2">
        <v>110</v>
      </c>
      <c r="F1173" s="2" t="s">
        <v>100</v>
      </c>
      <c r="H1173" s="2" t="s">
        <v>35</v>
      </c>
    </row>
    <row r="1174" spans="1:8" ht="13" hidden="1">
      <c r="A1174" s="15">
        <v>45424.632251643518</v>
      </c>
      <c r="B1174" s="16">
        <v>45423</v>
      </c>
      <c r="C1174" s="2" t="s">
        <v>579</v>
      </c>
      <c r="D1174" s="2" t="s">
        <v>45</v>
      </c>
      <c r="E1174" s="2">
        <v>1188</v>
      </c>
      <c r="F1174" s="2" t="s">
        <v>102</v>
      </c>
      <c r="G1174" s="2" t="s">
        <v>285</v>
      </c>
      <c r="H1174" s="2" t="s">
        <v>35</v>
      </c>
    </row>
    <row r="1175" spans="1:8" ht="13" hidden="1">
      <c r="A1175" s="15">
        <v>45424.632535173616</v>
      </c>
      <c r="B1175" s="16">
        <v>45423</v>
      </c>
      <c r="C1175" s="2" t="s">
        <v>116</v>
      </c>
      <c r="D1175" s="2" t="s">
        <v>38</v>
      </c>
      <c r="E1175" s="2">
        <v>907</v>
      </c>
      <c r="F1175" s="2" t="s">
        <v>102</v>
      </c>
      <c r="G1175" s="2" t="s">
        <v>145</v>
      </c>
      <c r="H1175" s="2" t="s">
        <v>35</v>
      </c>
    </row>
    <row r="1176" spans="1:8" ht="13" hidden="1">
      <c r="A1176" s="15">
        <v>45424.633567824072</v>
      </c>
      <c r="B1176" s="16">
        <v>45423</v>
      </c>
      <c r="C1176" s="2" t="s">
        <v>106</v>
      </c>
      <c r="D1176" s="2" t="s">
        <v>38</v>
      </c>
      <c r="E1176" s="2">
        <v>990</v>
      </c>
      <c r="F1176" s="2" t="s">
        <v>102</v>
      </c>
      <c r="G1176" s="2" t="s">
        <v>580</v>
      </c>
      <c r="H1176" s="2" t="s">
        <v>35</v>
      </c>
    </row>
    <row r="1177" spans="1:8" ht="13" hidden="1">
      <c r="A1177" s="15">
        <v>45431.728729791663</v>
      </c>
      <c r="B1177" s="16">
        <v>45423</v>
      </c>
      <c r="C1177" s="2" t="s">
        <v>18</v>
      </c>
      <c r="D1177" s="2" t="s">
        <v>41</v>
      </c>
      <c r="E1177" s="2">
        <v>5318</v>
      </c>
      <c r="F1177" s="2" t="s">
        <v>100</v>
      </c>
      <c r="H1177" s="2" t="s">
        <v>35</v>
      </c>
    </row>
    <row r="1178" spans="1:8" ht="13" hidden="1">
      <c r="A1178" s="15">
        <v>45424.632876250005</v>
      </c>
      <c r="B1178" s="16">
        <v>45424</v>
      </c>
      <c r="C1178" s="2" t="s">
        <v>116</v>
      </c>
      <c r="D1178" s="2" t="s">
        <v>38</v>
      </c>
      <c r="E1178" s="2">
        <v>2182</v>
      </c>
      <c r="F1178" s="2" t="s">
        <v>102</v>
      </c>
      <c r="G1178" s="2" t="s">
        <v>145</v>
      </c>
      <c r="H1178" s="2" t="s">
        <v>35</v>
      </c>
    </row>
    <row r="1179" spans="1:8" ht="13" hidden="1">
      <c r="A1179" s="15">
        <v>45431.729067650464</v>
      </c>
      <c r="B1179" s="16">
        <v>45424</v>
      </c>
      <c r="C1179" s="2" t="s">
        <v>277</v>
      </c>
      <c r="D1179" s="2" t="s">
        <v>46</v>
      </c>
      <c r="E1179" s="2">
        <v>737</v>
      </c>
      <c r="F1179" s="2" t="s">
        <v>100</v>
      </c>
      <c r="G1179" s="2" t="s">
        <v>129</v>
      </c>
      <c r="H1179" s="2" t="s">
        <v>35</v>
      </c>
    </row>
    <row r="1180" spans="1:8" ht="13" hidden="1">
      <c r="A1180" s="15">
        <v>45431.7226881713</v>
      </c>
      <c r="B1180" s="16">
        <v>45425</v>
      </c>
      <c r="C1180" s="2" t="s">
        <v>106</v>
      </c>
      <c r="D1180" s="2" t="s">
        <v>38</v>
      </c>
      <c r="E1180" s="2">
        <v>1200</v>
      </c>
      <c r="F1180" s="2" t="s">
        <v>102</v>
      </c>
      <c r="G1180" s="2" t="s">
        <v>227</v>
      </c>
      <c r="H1180" s="2" t="s">
        <v>35</v>
      </c>
    </row>
    <row r="1181" spans="1:8" ht="13" hidden="1">
      <c r="A1181" s="15">
        <v>45431.72941414352</v>
      </c>
      <c r="B1181" s="16">
        <v>45425</v>
      </c>
      <c r="C1181" s="2" t="s">
        <v>277</v>
      </c>
      <c r="D1181" s="2" t="s">
        <v>46</v>
      </c>
      <c r="E1181" s="2">
        <v>2070</v>
      </c>
      <c r="F1181" s="2" t="s">
        <v>100</v>
      </c>
      <c r="G1181" s="2" t="s">
        <v>129</v>
      </c>
      <c r="H1181" s="2" t="s">
        <v>35</v>
      </c>
    </row>
    <row r="1182" spans="1:8" ht="13" hidden="1">
      <c r="A1182" s="15">
        <v>45431.723129131948</v>
      </c>
      <c r="B1182" s="16">
        <v>45426</v>
      </c>
      <c r="C1182" s="2" t="s">
        <v>116</v>
      </c>
      <c r="D1182" s="2" t="s">
        <v>38</v>
      </c>
      <c r="E1182" s="2">
        <v>1462</v>
      </c>
      <c r="F1182" s="2" t="s">
        <v>102</v>
      </c>
      <c r="G1182" s="2" t="s">
        <v>145</v>
      </c>
      <c r="H1182" s="2" t="s">
        <v>35</v>
      </c>
    </row>
    <row r="1183" spans="1:8" ht="13" hidden="1">
      <c r="A1183" s="15">
        <v>45431.729717442126</v>
      </c>
      <c r="B1183" s="16">
        <v>45426</v>
      </c>
      <c r="C1183" s="2" t="s">
        <v>581</v>
      </c>
      <c r="D1183" s="2" t="s">
        <v>48</v>
      </c>
      <c r="E1183" s="2">
        <v>3196</v>
      </c>
      <c r="F1183" s="2" t="s">
        <v>100</v>
      </c>
      <c r="H1183" s="2" t="s">
        <v>35</v>
      </c>
    </row>
    <row r="1184" spans="1:8" ht="13" hidden="1">
      <c r="A1184" s="15">
        <v>45431.723460150461</v>
      </c>
      <c r="B1184" s="16">
        <v>45427</v>
      </c>
      <c r="C1184" s="2" t="s">
        <v>582</v>
      </c>
      <c r="D1184" s="2" t="s">
        <v>39</v>
      </c>
      <c r="E1184" s="2">
        <v>1500</v>
      </c>
      <c r="F1184" s="2" t="s">
        <v>102</v>
      </c>
      <c r="H1184" s="2" t="s">
        <v>35</v>
      </c>
    </row>
    <row r="1185" spans="1:8" ht="13" hidden="1">
      <c r="A1185" s="15">
        <v>45431.723728506942</v>
      </c>
      <c r="B1185" s="16">
        <v>45427</v>
      </c>
      <c r="C1185" s="2" t="s">
        <v>287</v>
      </c>
      <c r="D1185" s="2" t="s">
        <v>38</v>
      </c>
      <c r="E1185" s="2">
        <v>430</v>
      </c>
      <c r="F1185" s="2" t="s">
        <v>102</v>
      </c>
      <c r="H1185" s="2" t="s">
        <v>35</v>
      </c>
    </row>
    <row r="1186" spans="1:8" ht="13" hidden="1">
      <c r="A1186" s="15">
        <v>45431.727173923609</v>
      </c>
      <c r="B1186" s="16">
        <v>45427</v>
      </c>
      <c r="C1186" s="2" t="s">
        <v>583</v>
      </c>
      <c r="D1186" s="2" t="s">
        <v>38</v>
      </c>
      <c r="E1186" s="2">
        <v>1200</v>
      </c>
      <c r="F1186" s="2" t="s">
        <v>102</v>
      </c>
      <c r="H1186" s="2" t="s">
        <v>35</v>
      </c>
    </row>
    <row r="1187" spans="1:8" ht="13" hidden="1">
      <c r="A1187" s="15">
        <v>45431.729953819449</v>
      </c>
      <c r="B1187" s="16">
        <v>45427</v>
      </c>
      <c r="C1187" s="2" t="s">
        <v>350</v>
      </c>
      <c r="D1187" s="2" t="s">
        <v>40</v>
      </c>
      <c r="E1187" s="2">
        <v>1000</v>
      </c>
      <c r="F1187" s="2" t="s">
        <v>100</v>
      </c>
      <c r="H1187" s="2" t="s">
        <v>35</v>
      </c>
    </row>
    <row r="1188" spans="1:8" ht="13" hidden="1">
      <c r="A1188" s="15">
        <v>45445.75609800926</v>
      </c>
      <c r="B1188" s="16">
        <v>45428</v>
      </c>
      <c r="C1188" s="2" t="s">
        <v>20</v>
      </c>
      <c r="D1188" s="2" t="s">
        <v>39</v>
      </c>
      <c r="E1188" s="2">
        <v>1490</v>
      </c>
      <c r="F1188" s="2" t="s">
        <v>100</v>
      </c>
      <c r="H1188" s="2" t="s">
        <v>35</v>
      </c>
    </row>
    <row r="1189" spans="1:8" ht="13" hidden="1">
      <c r="A1189" s="15">
        <v>45431.723977233793</v>
      </c>
      <c r="B1189" s="16">
        <v>45429</v>
      </c>
      <c r="C1189" s="2" t="s">
        <v>236</v>
      </c>
      <c r="D1189" s="2" t="s">
        <v>43</v>
      </c>
      <c r="E1189" s="2">
        <v>305</v>
      </c>
      <c r="F1189" s="2" t="s">
        <v>102</v>
      </c>
      <c r="H1189" s="2" t="s">
        <v>35</v>
      </c>
    </row>
    <row r="1190" spans="1:8" ht="13" hidden="1">
      <c r="A1190" s="15">
        <v>45431.724313206018</v>
      </c>
      <c r="B1190" s="16">
        <v>45429</v>
      </c>
      <c r="C1190" s="2" t="s">
        <v>106</v>
      </c>
      <c r="D1190" s="2" t="s">
        <v>38</v>
      </c>
      <c r="E1190" s="2">
        <v>1300</v>
      </c>
      <c r="F1190" s="2" t="s">
        <v>102</v>
      </c>
      <c r="G1190" s="2" t="s">
        <v>227</v>
      </c>
      <c r="H1190" s="2" t="s">
        <v>35</v>
      </c>
    </row>
    <row r="1191" spans="1:8" ht="13" hidden="1">
      <c r="A1191" s="15">
        <v>45431.724800219905</v>
      </c>
      <c r="B1191" s="16">
        <v>45429</v>
      </c>
      <c r="C1191" s="2" t="s">
        <v>584</v>
      </c>
      <c r="D1191" s="2" t="s">
        <v>38</v>
      </c>
      <c r="E1191" s="2">
        <v>1227</v>
      </c>
      <c r="F1191" s="2" t="s">
        <v>102</v>
      </c>
      <c r="G1191" s="2" t="s">
        <v>103</v>
      </c>
      <c r="H1191" s="2" t="s">
        <v>35</v>
      </c>
    </row>
    <row r="1192" spans="1:8" ht="13" hidden="1">
      <c r="A1192" s="15">
        <v>45431.725079965283</v>
      </c>
      <c r="B1192" s="16">
        <v>45430</v>
      </c>
      <c r="C1192" s="2" t="s">
        <v>287</v>
      </c>
      <c r="D1192" s="2" t="s">
        <v>38</v>
      </c>
      <c r="E1192" s="2">
        <v>400</v>
      </c>
      <c r="F1192" s="2" t="s">
        <v>102</v>
      </c>
      <c r="G1192" s="2" t="s">
        <v>199</v>
      </c>
      <c r="H1192" s="2" t="s">
        <v>35</v>
      </c>
    </row>
    <row r="1193" spans="1:8" ht="13" hidden="1">
      <c r="A1193" s="15">
        <v>45431.725467488424</v>
      </c>
      <c r="B1193" s="16">
        <v>45430</v>
      </c>
      <c r="C1193" s="2" t="s">
        <v>585</v>
      </c>
      <c r="D1193" s="2" t="s">
        <v>45</v>
      </c>
      <c r="E1193" s="2">
        <v>110</v>
      </c>
      <c r="F1193" s="2" t="s">
        <v>102</v>
      </c>
      <c r="G1193" s="2" t="s">
        <v>136</v>
      </c>
      <c r="H1193" s="2" t="s">
        <v>35</v>
      </c>
    </row>
    <row r="1194" spans="1:8" ht="13" hidden="1">
      <c r="A1194" s="15">
        <v>45431.725748090277</v>
      </c>
      <c r="B1194" s="16">
        <v>45430</v>
      </c>
      <c r="C1194" s="2" t="s">
        <v>116</v>
      </c>
      <c r="D1194" s="2" t="s">
        <v>38</v>
      </c>
      <c r="E1194" s="2">
        <v>414</v>
      </c>
      <c r="F1194" s="2" t="s">
        <v>102</v>
      </c>
      <c r="G1194" s="2" t="s">
        <v>145</v>
      </c>
      <c r="H1194" s="2" t="s">
        <v>35</v>
      </c>
    </row>
    <row r="1195" spans="1:8" ht="13" hidden="1">
      <c r="A1195" s="15">
        <v>45445.75654638889</v>
      </c>
      <c r="B1195" s="16">
        <v>45430</v>
      </c>
      <c r="C1195" s="2" t="s">
        <v>240</v>
      </c>
      <c r="D1195" s="2" t="s">
        <v>39</v>
      </c>
      <c r="E1195" s="2">
        <v>2250</v>
      </c>
      <c r="F1195" s="2" t="s">
        <v>100</v>
      </c>
      <c r="H1195" s="2" t="s">
        <v>35</v>
      </c>
    </row>
    <row r="1196" spans="1:8" ht="13" hidden="1">
      <c r="A1196" s="15">
        <v>45445.756890659723</v>
      </c>
      <c r="B1196" s="16">
        <v>45430</v>
      </c>
      <c r="C1196" s="2" t="s">
        <v>240</v>
      </c>
      <c r="D1196" s="2" t="s">
        <v>42</v>
      </c>
      <c r="E1196" s="2">
        <v>330</v>
      </c>
      <c r="F1196" s="2" t="s">
        <v>100</v>
      </c>
      <c r="H1196" s="2" t="s">
        <v>35</v>
      </c>
    </row>
    <row r="1197" spans="1:8" ht="13" hidden="1">
      <c r="A1197" s="15">
        <v>45431.726048587967</v>
      </c>
      <c r="B1197" s="16">
        <v>45431</v>
      </c>
      <c r="C1197" s="2" t="s">
        <v>116</v>
      </c>
      <c r="D1197" s="2" t="s">
        <v>38</v>
      </c>
      <c r="E1197" s="2">
        <v>1340</v>
      </c>
      <c r="F1197" s="2" t="s">
        <v>102</v>
      </c>
      <c r="G1197" s="2" t="s">
        <v>145</v>
      </c>
      <c r="H1197" s="2" t="s">
        <v>35</v>
      </c>
    </row>
    <row r="1198" spans="1:8" ht="13" hidden="1">
      <c r="A1198" s="15">
        <v>45445.757331342596</v>
      </c>
      <c r="B1198" s="16">
        <v>45431</v>
      </c>
      <c r="C1198" s="2" t="s">
        <v>204</v>
      </c>
      <c r="D1198" s="2" t="s">
        <v>45</v>
      </c>
      <c r="E1198" s="2">
        <v>5200</v>
      </c>
      <c r="F1198" s="2" t="s">
        <v>100</v>
      </c>
      <c r="H1198" s="2" t="s">
        <v>35</v>
      </c>
    </row>
    <row r="1199" spans="1:8" ht="13" hidden="1">
      <c r="A1199" s="15">
        <v>45445.757613935188</v>
      </c>
      <c r="B1199" s="16">
        <v>45431</v>
      </c>
      <c r="C1199" s="2" t="s">
        <v>247</v>
      </c>
      <c r="D1199" s="2" t="s">
        <v>39</v>
      </c>
      <c r="E1199" s="2">
        <v>3600</v>
      </c>
      <c r="F1199" s="2" t="s">
        <v>100</v>
      </c>
      <c r="H1199" s="2" t="s">
        <v>35</v>
      </c>
    </row>
    <row r="1200" spans="1:8" ht="13" hidden="1">
      <c r="A1200" s="15">
        <v>45445.758135775468</v>
      </c>
      <c r="B1200" s="16">
        <v>45431</v>
      </c>
      <c r="C1200" s="2" t="s">
        <v>586</v>
      </c>
      <c r="D1200" s="2" t="s">
        <v>49</v>
      </c>
      <c r="E1200" s="2">
        <v>1000</v>
      </c>
      <c r="F1200" s="2" t="s">
        <v>100</v>
      </c>
      <c r="H1200" s="2" t="s">
        <v>35</v>
      </c>
    </row>
    <row r="1201" spans="1:8" ht="13" hidden="1">
      <c r="A1201" s="15">
        <v>45436.679318379625</v>
      </c>
      <c r="B1201" s="16">
        <v>45432</v>
      </c>
      <c r="C1201" s="2" t="s">
        <v>110</v>
      </c>
      <c r="D1201" s="2" t="s">
        <v>38</v>
      </c>
      <c r="E1201" s="2">
        <v>291</v>
      </c>
      <c r="F1201" s="2" t="s">
        <v>102</v>
      </c>
      <c r="G1201" s="2" t="s">
        <v>103</v>
      </c>
      <c r="H1201" s="2" t="s">
        <v>35</v>
      </c>
    </row>
    <row r="1202" spans="1:8" ht="13" hidden="1">
      <c r="A1202" s="15">
        <v>45436.679670972226</v>
      </c>
      <c r="B1202" s="16">
        <v>45432</v>
      </c>
      <c r="C1202" s="2" t="s">
        <v>106</v>
      </c>
      <c r="D1202" s="2" t="s">
        <v>38</v>
      </c>
      <c r="E1202" s="2">
        <v>1320</v>
      </c>
      <c r="F1202" s="2" t="s">
        <v>102</v>
      </c>
      <c r="G1202" s="2" t="s">
        <v>587</v>
      </c>
      <c r="H1202" s="2" t="s">
        <v>35</v>
      </c>
    </row>
    <row r="1203" spans="1:8" ht="13" hidden="1">
      <c r="A1203" s="15">
        <v>45436.679985462964</v>
      </c>
      <c r="B1203" s="16">
        <v>45432</v>
      </c>
      <c r="C1203" s="2" t="s">
        <v>116</v>
      </c>
      <c r="D1203" s="2" t="s">
        <v>38</v>
      </c>
      <c r="E1203" s="2">
        <v>490</v>
      </c>
      <c r="F1203" s="2" t="s">
        <v>102</v>
      </c>
      <c r="G1203" s="2" t="s">
        <v>145</v>
      </c>
      <c r="H1203" s="2" t="s">
        <v>35</v>
      </c>
    </row>
    <row r="1204" spans="1:8" ht="13" hidden="1">
      <c r="A1204" s="15">
        <v>45445.758505983795</v>
      </c>
      <c r="B1204" s="16">
        <v>45432</v>
      </c>
      <c r="C1204" s="2" t="s">
        <v>24</v>
      </c>
      <c r="D1204" s="2" t="s">
        <v>49</v>
      </c>
      <c r="E1204" s="2">
        <v>1100</v>
      </c>
      <c r="F1204" s="2" t="s">
        <v>100</v>
      </c>
      <c r="H1204" s="2" t="s">
        <v>35</v>
      </c>
    </row>
    <row r="1205" spans="1:8" ht="13" hidden="1">
      <c r="A1205" s="15">
        <v>45436.680343587963</v>
      </c>
      <c r="B1205" s="16">
        <v>45433</v>
      </c>
      <c r="C1205" s="2" t="s">
        <v>588</v>
      </c>
      <c r="E1205" s="2">
        <v>5000</v>
      </c>
      <c r="H1205" s="2" t="s">
        <v>34</v>
      </c>
    </row>
    <row r="1206" spans="1:8" ht="13" hidden="1">
      <c r="A1206" s="15">
        <v>45445.759106458332</v>
      </c>
      <c r="B1206" s="16">
        <v>45433</v>
      </c>
      <c r="C1206" s="2" t="s">
        <v>589</v>
      </c>
      <c r="D1206" s="2" t="s">
        <v>39</v>
      </c>
      <c r="E1206" s="2">
        <v>11100</v>
      </c>
      <c r="F1206" s="2" t="s">
        <v>100</v>
      </c>
      <c r="H1206" s="2" t="s">
        <v>35</v>
      </c>
    </row>
    <row r="1207" spans="1:8" ht="13" hidden="1">
      <c r="A1207" s="15">
        <v>45445.758737673612</v>
      </c>
      <c r="B1207" s="16">
        <v>45433</v>
      </c>
      <c r="C1207" s="2" t="s">
        <v>526</v>
      </c>
      <c r="D1207" s="2" t="s">
        <v>40</v>
      </c>
      <c r="E1207" s="2">
        <v>1000</v>
      </c>
      <c r="F1207" s="2" t="s">
        <v>100</v>
      </c>
      <c r="H1207" s="2" t="s">
        <v>35</v>
      </c>
    </row>
    <row r="1208" spans="1:8" ht="13" hidden="1">
      <c r="A1208" s="15">
        <v>45436.680729201384</v>
      </c>
      <c r="B1208" s="16">
        <v>45434</v>
      </c>
      <c r="C1208" s="2" t="s">
        <v>116</v>
      </c>
      <c r="D1208" s="2" t="s">
        <v>38</v>
      </c>
      <c r="E1208" s="2">
        <v>1599</v>
      </c>
      <c r="F1208" s="2" t="s">
        <v>102</v>
      </c>
      <c r="G1208" s="2" t="s">
        <v>145</v>
      </c>
      <c r="H1208" s="2" t="s">
        <v>35</v>
      </c>
    </row>
    <row r="1209" spans="1:8" ht="13" hidden="1">
      <c r="A1209" s="15">
        <v>45445.759455902778</v>
      </c>
      <c r="B1209" s="16">
        <v>45435</v>
      </c>
      <c r="C1209" s="2" t="s">
        <v>547</v>
      </c>
      <c r="D1209" s="2" t="s">
        <v>45</v>
      </c>
      <c r="E1209" s="2">
        <v>6600</v>
      </c>
      <c r="F1209" s="2" t="s">
        <v>100</v>
      </c>
      <c r="H1209" s="2" t="s">
        <v>35</v>
      </c>
    </row>
    <row r="1210" spans="1:8" ht="13" hidden="1">
      <c r="A1210" s="15">
        <v>45445.759971689811</v>
      </c>
      <c r="B1210" s="16">
        <v>45435</v>
      </c>
      <c r="C1210" s="2" t="s">
        <v>579</v>
      </c>
      <c r="D1210" s="2" t="s">
        <v>45</v>
      </c>
      <c r="E1210" s="2">
        <v>1670</v>
      </c>
      <c r="F1210" s="2" t="s">
        <v>100</v>
      </c>
      <c r="G1210" s="2" t="s">
        <v>129</v>
      </c>
      <c r="H1210" s="2" t="s">
        <v>35</v>
      </c>
    </row>
    <row r="1211" spans="1:8" ht="13" hidden="1">
      <c r="A1211" s="15">
        <v>45436.681467893519</v>
      </c>
      <c r="B1211" s="16">
        <v>45436</v>
      </c>
      <c r="C1211" s="2" t="s">
        <v>590</v>
      </c>
      <c r="E1211" s="2">
        <v>376163</v>
      </c>
      <c r="H1211" s="2" t="s">
        <v>34</v>
      </c>
    </row>
    <row r="1212" spans="1:8" ht="13" hidden="1">
      <c r="A1212" s="15">
        <v>45436.682964432868</v>
      </c>
      <c r="B1212" s="16">
        <v>45436</v>
      </c>
      <c r="C1212" s="2" t="s">
        <v>530</v>
      </c>
      <c r="D1212" s="2" t="s">
        <v>47</v>
      </c>
      <c r="E1212" s="2">
        <v>30000</v>
      </c>
      <c r="F1212" s="2" t="s">
        <v>102</v>
      </c>
      <c r="H1212" s="2" t="s">
        <v>35</v>
      </c>
    </row>
    <row r="1213" spans="1:8" ht="13" hidden="1">
      <c r="A1213" s="15">
        <v>45440.873558310181</v>
      </c>
      <c r="B1213" s="16">
        <v>45436</v>
      </c>
      <c r="C1213" s="2" t="s">
        <v>106</v>
      </c>
      <c r="D1213" s="2" t="s">
        <v>38</v>
      </c>
      <c r="E1213" s="2">
        <v>1100</v>
      </c>
      <c r="F1213" s="2" t="s">
        <v>102</v>
      </c>
      <c r="H1213" s="2" t="s">
        <v>35</v>
      </c>
    </row>
    <row r="1214" spans="1:8" ht="13" hidden="1">
      <c r="A1214" s="15">
        <v>45440.873814675928</v>
      </c>
      <c r="B1214" s="16">
        <v>45437</v>
      </c>
      <c r="C1214" s="2" t="s">
        <v>591</v>
      </c>
      <c r="D1214" s="2" t="s">
        <v>39</v>
      </c>
      <c r="E1214" s="2">
        <v>6104</v>
      </c>
      <c r="F1214" s="2" t="s">
        <v>102</v>
      </c>
      <c r="H1214" s="2" t="s">
        <v>35</v>
      </c>
    </row>
    <row r="1215" spans="1:8" ht="13" hidden="1">
      <c r="A1215" s="15">
        <v>45440.874076585649</v>
      </c>
      <c r="B1215" s="16">
        <v>45437</v>
      </c>
      <c r="C1215" s="2" t="s">
        <v>592</v>
      </c>
      <c r="E1215" s="2">
        <v>6000</v>
      </c>
      <c r="H1215" s="2" t="s">
        <v>34</v>
      </c>
    </row>
    <row r="1216" spans="1:8" ht="13" hidden="1">
      <c r="A1216" s="15">
        <v>45440.874328472222</v>
      </c>
      <c r="B1216" s="16">
        <v>45437</v>
      </c>
      <c r="C1216" s="2" t="s">
        <v>236</v>
      </c>
      <c r="D1216" s="2" t="s">
        <v>43</v>
      </c>
      <c r="E1216" s="2">
        <v>327</v>
      </c>
      <c r="F1216" s="2" t="s">
        <v>102</v>
      </c>
      <c r="H1216" s="2" t="s">
        <v>35</v>
      </c>
    </row>
    <row r="1217" spans="1:8" ht="13" hidden="1">
      <c r="A1217" s="15">
        <v>45440.874571666667</v>
      </c>
      <c r="B1217" s="16">
        <v>45437</v>
      </c>
      <c r="C1217" s="2" t="s">
        <v>106</v>
      </c>
      <c r="D1217" s="2" t="s">
        <v>38</v>
      </c>
      <c r="E1217" s="2">
        <v>650</v>
      </c>
      <c r="F1217" s="2" t="s">
        <v>102</v>
      </c>
      <c r="G1217" s="2" t="s">
        <v>593</v>
      </c>
      <c r="H1217" s="2" t="s">
        <v>35</v>
      </c>
    </row>
    <row r="1218" spans="1:8" ht="13" hidden="1">
      <c r="A1218" s="15">
        <v>45440.8748074537</v>
      </c>
      <c r="B1218" s="16">
        <v>45437</v>
      </c>
      <c r="C1218" s="2" t="s">
        <v>245</v>
      </c>
      <c r="D1218" s="2" t="s">
        <v>38</v>
      </c>
      <c r="E1218" s="2">
        <v>600</v>
      </c>
      <c r="F1218" s="2" t="s">
        <v>102</v>
      </c>
      <c r="H1218" s="2" t="s">
        <v>35</v>
      </c>
    </row>
    <row r="1219" spans="1:8" ht="13" hidden="1">
      <c r="A1219" s="15">
        <v>45440.875085300926</v>
      </c>
      <c r="B1219" s="16">
        <v>45437</v>
      </c>
      <c r="C1219" s="2" t="s">
        <v>594</v>
      </c>
      <c r="D1219" s="2" t="s">
        <v>39</v>
      </c>
      <c r="E1219" s="2">
        <v>5000</v>
      </c>
      <c r="F1219" s="2" t="s">
        <v>102</v>
      </c>
      <c r="H1219" s="2" t="s">
        <v>35</v>
      </c>
    </row>
    <row r="1220" spans="1:8" ht="13" hidden="1">
      <c r="A1220" s="15">
        <v>45445.760701273146</v>
      </c>
      <c r="B1220" s="16">
        <v>45437</v>
      </c>
      <c r="C1220" s="2" t="s">
        <v>240</v>
      </c>
      <c r="D1220" s="2" t="s">
        <v>42</v>
      </c>
      <c r="E1220" s="2">
        <v>330</v>
      </c>
      <c r="F1220" s="2" t="s">
        <v>100</v>
      </c>
      <c r="H1220" s="2" t="s">
        <v>35</v>
      </c>
    </row>
    <row r="1221" spans="1:8" ht="13" hidden="1">
      <c r="A1221" s="15">
        <v>45445.760968634262</v>
      </c>
      <c r="B1221" s="16">
        <v>45437</v>
      </c>
      <c r="C1221" s="2" t="s">
        <v>350</v>
      </c>
      <c r="D1221" s="2" t="s">
        <v>40</v>
      </c>
      <c r="E1221" s="2">
        <v>1000</v>
      </c>
      <c r="F1221" s="2" t="s">
        <v>100</v>
      </c>
      <c r="H1221" s="2" t="s">
        <v>35</v>
      </c>
    </row>
    <row r="1222" spans="1:8" ht="13" hidden="1">
      <c r="A1222" s="15">
        <v>45445.761664270831</v>
      </c>
      <c r="B1222" s="16">
        <v>45437</v>
      </c>
      <c r="C1222" s="2" t="s">
        <v>240</v>
      </c>
      <c r="D1222" s="2" t="s">
        <v>42</v>
      </c>
      <c r="E1222" s="2">
        <v>990</v>
      </c>
      <c r="F1222" s="2" t="s">
        <v>100</v>
      </c>
      <c r="H1222" s="2" t="s">
        <v>35</v>
      </c>
    </row>
    <row r="1223" spans="1:8" ht="13" hidden="1">
      <c r="A1223" s="15">
        <v>45440.875473993059</v>
      </c>
      <c r="B1223" s="16">
        <v>45438</v>
      </c>
      <c r="C1223" s="2" t="s">
        <v>595</v>
      </c>
      <c r="D1223" s="2" t="s">
        <v>39</v>
      </c>
      <c r="E1223" s="2">
        <v>3000</v>
      </c>
      <c r="F1223" s="2" t="s">
        <v>102</v>
      </c>
      <c r="H1223" s="2" t="s">
        <v>35</v>
      </c>
    </row>
    <row r="1224" spans="1:8" ht="13" hidden="1">
      <c r="A1224" s="15">
        <v>45440.875789606478</v>
      </c>
      <c r="B1224" s="16">
        <v>45438</v>
      </c>
      <c r="C1224" s="2" t="s">
        <v>436</v>
      </c>
      <c r="D1224" s="2" t="s">
        <v>39</v>
      </c>
      <c r="E1224" s="2">
        <v>810</v>
      </c>
      <c r="F1224" s="2" t="s">
        <v>102</v>
      </c>
      <c r="H1224" s="2" t="s">
        <v>35</v>
      </c>
    </row>
    <row r="1225" spans="1:8" ht="13" hidden="1">
      <c r="A1225" s="15">
        <v>45440.876111412035</v>
      </c>
      <c r="B1225" s="16">
        <v>45438</v>
      </c>
      <c r="C1225" s="2" t="s">
        <v>116</v>
      </c>
      <c r="D1225" s="2" t="s">
        <v>38</v>
      </c>
      <c r="E1225" s="2">
        <v>727</v>
      </c>
      <c r="F1225" s="2" t="s">
        <v>102</v>
      </c>
      <c r="G1225" s="2" t="s">
        <v>145</v>
      </c>
      <c r="H1225" s="2" t="s">
        <v>35</v>
      </c>
    </row>
    <row r="1226" spans="1:8" ht="13" hidden="1">
      <c r="A1226" s="15">
        <v>45445.761285312503</v>
      </c>
      <c r="B1226" s="16">
        <v>45438</v>
      </c>
      <c r="C1226" s="2" t="s">
        <v>105</v>
      </c>
      <c r="D1226" s="2" t="s">
        <v>40</v>
      </c>
      <c r="E1226" s="2">
        <v>2600</v>
      </c>
      <c r="F1226" s="2" t="s">
        <v>100</v>
      </c>
      <c r="H1226" s="2" t="s">
        <v>35</v>
      </c>
    </row>
    <row r="1227" spans="1:8" ht="13" hidden="1">
      <c r="A1227" s="15">
        <v>45445.76202631944</v>
      </c>
      <c r="B1227" s="16">
        <v>45438</v>
      </c>
      <c r="C1227" s="2" t="s">
        <v>277</v>
      </c>
      <c r="D1227" s="2" t="s">
        <v>46</v>
      </c>
      <c r="E1227" s="2">
        <v>2090</v>
      </c>
      <c r="F1227" s="2" t="s">
        <v>100</v>
      </c>
      <c r="H1227" s="2" t="s">
        <v>35</v>
      </c>
    </row>
    <row r="1228" spans="1:8" ht="13" hidden="1">
      <c r="A1228" s="15">
        <v>45445.762492905094</v>
      </c>
      <c r="B1228" s="16">
        <v>45438</v>
      </c>
      <c r="C1228" s="2" t="s">
        <v>303</v>
      </c>
      <c r="D1228" s="2" t="s">
        <v>39</v>
      </c>
      <c r="E1228" s="2">
        <v>2600</v>
      </c>
      <c r="F1228" s="2" t="s">
        <v>100</v>
      </c>
      <c r="H1228" s="2" t="s">
        <v>35</v>
      </c>
    </row>
    <row r="1229" spans="1:8" ht="13" hidden="1">
      <c r="A1229" s="15">
        <v>45445.762949826385</v>
      </c>
      <c r="B1229" s="16">
        <v>45438</v>
      </c>
      <c r="C1229" s="2" t="s">
        <v>596</v>
      </c>
      <c r="D1229" s="2" t="s">
        <v>45</v>
      </c>
      <c r="E1229" s="2">
        <v>44400</v>
      </c>
      <c r="F1229" s="2" t="s">
        <v>100</v>
      </c>
      <c r="G1229" s="2" t="s">
        <v>597</v>
      </c>
      <c r="H1229" s="2" t="s">
        <v>35</v>
      </c>
    </row>
    <row r="1230" spans="1:8" ht="13" hidden="1">
      <c r="A1230" s="15">
        <v>45436.683223587963</v>
      </c>
      <c r="B1230" s="16">
        <v>45439</v>
      </c>
      <c r="C1230" s="2" t="s">
        <v>146</v>
      </c>
      <c r="D1230" s="2" t="s">
        <v>47</v>
      </c>
      <c r="E1230" s="2">
        <v>3400</v>
      </c>
      <c r="F1230" s="2" t="s">
        <v>102</v>
      </c>
      <c r="H1230" s="2" t="s">
        <v>35</v>
      </c>
    </row>
    <row r="1231" spans="1:8" ht="13" hidden="1">
      <c r="A1231" s="15">
        <v>45436.683559965277</v>
      </c>
      <c r="B1231" s="16">
        <v>45439</v>
      </c>
      <c r="C1231" s="2" t="s">
        <v>408</v>
      </c>
      <c r="D1231" s="2" t="s">
        <v>152</v>
      </c>
      <c r="E1231" s="2">
        <v>10000</v>
      </c>
      <c r="F1231" s="2" t="s">
        <v>102</v>
      </c>
      <c r="H1231" s="2" t="s">
        <v>35</v>
      </c>
    </row>
    <row r="1232" spans="1:8" ht="13" hidden="1">
      <c r="A1232" s="15">
        <v>45436.683892743051</v>
      </c>
      <c r="B1232" s="16">
        <v>45439</v>
      </c>
      <c r="C1232" s="2" t="s">
        <v>17</v>
      </c>
      <c r="D1232" s="2" t="s">
        <v>45</v>
      </c>
      <c r="E1232" s="2">
        <v>8470</v>
      </c>
      <c r="F1232" s="2" t="s">
        <v>102</v>
      </c>
      <c r="H1232" s="2" t="s">
        <v>35</v>
      </c>
    </row>
    <row r="1233" spans="1:8" ht="13" hidden="1">
      <c r="A1233" s="15">
        <v>45436.684265555552</v>
      </c>
      <c r="B1233" s="16">
        <v>45439</v>
      </c>
      <c r="C1233" s="2" t="s">
        <v>9</v>
      </c>
      <c r="D1233" s="2" t="s">
        <v>47</v>
      </c>
      <c r="E1233" s="2">
        <v>13600</v>
      </c>
      <c r="F1233" s="2" t="s">
        <v>102</v>
      </c>
      <c r="H1233" s="2" t="s">
        <v>35</v>
      </c>
    </row>
    <row r="1234" spans="1:8" ht="13" hidden="1">
      <c r="A1234" s="15">
        <v>45436.684913437501</v>
      </c>
      <c r="B1234" s="16">
        <v>45439</v>
      </c>
      <c r="C1234" s="2" t="s">
        <v>239</v>
      </c>
      <c r="D1234" s="2" t="s">
        <v>47</v>
      </c>
      <c r="E1234" s="2">
        <v>20000</v>
      </c>
      <c r="F1234" s="2" t="s">
        <v>102</v>
      </c>
      <c r="H1234" s="2" t="s">
        <v>35</v>
      </c>
    </row>
    <row r="1235" spans="1:8" ht="13" hidden="1">
      <c r="A1235" s="15">
        <v>45436.685208923613</v>
      </c>
      <c r="B1235" s="16">
        <v>45439</v>
      </c>
      <c r="C1235" s="2" t="s">
        <v>598</v>
      </c>
      <c r="D1235" s="2" t="s">
        <v>5</v>
      </c>
      <c r="E1235" s="2">
        <v>93000</v>
      </c>
      <c r="F1235" s="2" t="s">
        <v>102</v>
      </c>
      <c r="H1235" s="2" t="s">
        <v>35</v>
      </c>
    </row>
    <row r="1236" spans="1:8" ht="13" hidden="1">
      <c r="A1236" s="15">
        <v>45440.876463229171</v>
      </c>
      <c r="B1236" s="16">
        <v>45439</v>
      </c>
      <c r="C1236" s="2" t="s">
        <v>106</v>
      </c>
      <c r="D1236" s="2" t="s">
        <v>38</v>
      </c>
      <c r="E1236" s="2">
        <v>1300</v>
      </c>
      <c r="F1236" s="2" t="s">
        <v>102</v>
      </c>
      <c r="G1236" s="2" t="s">
        <v>599</v>
      </c>
      <c r="H1236" s="2" t="s">
        <v>35</v>
      </c>
    </row>
    <row r="1237" spans="1:8" ht="13" hidden="1">
      <c r="A1237" s="15">
        <v>45445.763448182872</v>
      </c>
      <c r="B1237" s="16">
        <v>45439</v>
      </c>
      <c r="C1237" s="2" t="s">
        <v>600</v>
      </c>
      <c r="D1237" s="2" t="s">
        <v>45</v>
      </c>
      <c r="E1237" s="2">
        <v>2299</v>
      </c>
      <c r="F1237" s="2" t="s">
        <v>100</v>
      </c>
      <c r="G1237" s="2" t="s">
        <v>129</v>
      </c>
      <c r="H1237" s="2" t="s">
        <v>35</v>
      </c>
    </row>
    <row r="1238" spans="1:8" ht="13" hidden="1">
      <c r="A1238" s="15">
        <v>45445.763794143517</v>
      </c>
      <c r="B1238" s="16">
        <v>45439</v>
      </c>
      <c r="C1238" s="2" t="s">
        <v>368</v>
      </c>
      <c r="D1238" s="2" t="s">
        <v>39</v>
      </c>
      <c r="E1238" s="2">
        <v>1180</v>
      </c>
      <c r="F1238" s="2" t="s">
        <v>100</v>
      </c>
      <c r="H1238" s="2" t="s">
        <v>35</v>
      </c>
    </row>
    <row r="1239" spans="1:8" ht="13" hidden="1">
      <c r="A1239" s="15">
        <v>45440.8768359838</v>
      </c>
      <c r="B1239" s="16">
        <v>45440</v>
      </c>
      <c r="C1239" s="2" t="s">
        <v>601</v>
      </c>
      <c r="D1239" s="2" t="s">
        <v>38</v>
      </c>
      <c r="E1239" s="2">
        <v>162</v>
      </c>
      <c r="F1239" s="2" t="s">
        <v>102</v>
      </c>
      <c r="G1239" s="2" t="s">
        <v>356</v>
      </c>
      <c r="H1239" s="2" t="s">
        <v>35</v>
      </c>
    </row>
    <row r="1240" spans="1:8" ht="13" hidden="1">
      <c r="A1240" s="15">
        <v>45440.877105497682</v>
      </c>
      <c r="B1240" s="16">
        <v>45440</v>
      </c>
      <c r="C1240" s="2" t="s">
        <v>602</v>
      </c>
      <c r="D1240" s="2" t="s">
        <v>49</v>
      </c>
      <c r="E1240" s="2">
        <v>1540</v>
      </c>
      <c r="F1240" s="2" t="s">
        <v>102</v>
      </c>
      <c r="H1240" s="2" t="s">
        <v>35</v>
      </c>
    </row>
    <row r="1241" spans="1:8" ht="13" hidden="1">
      <c r="A1241" s="15">
        <v>45440.87739652778</v>
      </c>
      <c r="B1241" s="16">
        <v>45440</v>
      </c>
      <c r="C1241" s="2" t="s">
        <v>603</v>
      </c>
      <c r="D1241" s="2" t="s">
        <v>45</v>
      </c>
      <c r="E1241" s="2">
        <v>220</v>
      </c>
      <c r="F1241" s="2" t="s">
        <v>102</v>
      </c>
      <c r="H1241" s="2" t="s">
        <v>35</v>
      </c>
    </row>
    <row r="1242" spans="1:8" ht="13" hidden="1">
      <c r="A1242" s="15">
        <v>45440.87768020833</v>
      </c>
      <c r="B1242" s="16">
        <v>45440</v>
      </c>
      <c r="C1242" s="2" t="s">
        <v>116</v>
      </c>
      <c r="D1242" s="2" t="s">
        <v>38</v>
      </c>
      <c r="E1242" s="2">
        <v>1335</v>
      </c>
      <c r="F1242" s="2" t="s">
        <v>102</v>
      </c>
      <c r="G1242" s="2" t="s">
        <v>145</v>
      </c>
      <c r="H1242" s="2" t="s">
        <v>35</v>
      </c>
    </row>
    <row r="1243" spans="1:8" ht="13" hidden="1">
      <c r="A1243" s="15">
        <v>45454.752655289354</v>
      </c>
      <c r="B1243" s="16">
        <v>45440</v>
      </c>
      <c r="C1243" s="2" t="s">
        <v>604</v>
      </c>
      <c r="D1243" s="2" t="s">
        <v>45</v>
      </c>
      <c r="E1243" s="2">
        <v>1299</v>
      </c>
      <c r="F1243" s="2" t="s">
        <v>100</v>
      </c>
      <c r="G1243" s="2" t="s">
        <v>129</v>
      </c>
      <c r="H1243" s="2" t="s">
        <v>35</v>
      </c>
    </row>
    <row r="1244" spans="1:8" ht="13" hidden="1">
      <c r="A1244" s="15">
        <v>45454.752885069443</v>
      </c>
      <c r="B1244" s="16">
        <v>45440</v>
      </c>
      <c r="C1244" s="2" t="s">
        <v>158</v>
      </c>
      <c r="D1244" s="2" t="s">
        <v>49</v>
      </c>
      <c r="E1244" s="2">
        <v>4980</v>
      </c>
      <c r="F1244" s="2" t="s">
        <v>100</v>
      </c>
      <c r="H1244" s="2" t="s">
        <v>35</v>
      </c>
    </row>
    <row r="1245" spans="1:8" ht="13" hidden="1">
      <c r="A1245" s="15">
        <v>45454.753115023152</v>
      </c>
      <c r="B1245" s="16">
        <v>45440</v>
      </c>
      <c r="C1245" s="2" t="s">
        <v>22</v>
      </c>
      <c r="D1245" s="2" t="s">
        <v>39</v>
      </c>
      <c r="E1245" s="2">
        <v>2310</v>
      </c>
      <c r="F1245" s="2" t="s">
        <v>100</v>
      </c>
      <c r="H1245" s="2" t="s">
        <v>35</v>
      </c>
    </row>
    <row r="1246" spans="1:8" ht="13" hidden="1">
      <c r="A1246" s="15">
        <v>45441.495502696758</v>
      </c>
      <c r="B1246" s="16">
        <v>45441</v>
      </c>
      <c r="C1246" s="2" t="s">
        <v>106</v>
      </c>
      <c r="D1246" s="2" t="s">
        <v>38</v>
      </c>
      <c r="E1246" s="2">
        <v>1000</v>
      </c>
      <c r="F1246" s="2" t="s">
        <v>102</v>
      </c>
      <c r="G1246" s="2" t="s">
        <v>322</v>
      </c>
      <c r="H1246" s="2" t="s">
        <v>35</v>
      </c>
    </row>
    <row r="1247" spans="1:8" ht="13" hidden="1">
      <c r="A1247" s="15">
        <v>45445.750717905088</v>
      </c>
      <c r="B1247" s="16">
        <v>45441</v>
      </c>
      <c r="C1247" s="2" t="s">
        <v>605</v>
      </c>
      <c r="D1247" s="2" t="s">
        <v>38</v>
      </c>
      <c r="E1247" s="2">
        <v>145</v>
      </c>
      <c r="F1247" s="2" t="s">
        <v>102</v>
      </c>
      <c r="G1247" s="2" t="s">
        <v>103</v>
      </c>
      <c r="H1247" s="2" t="s">
        <v>35</v>
      </c>
    </row>
    <row r="1248" spans="1:8" ht="13" hidden="1">
      <c r="A1248" s="15">
        <v>45445.750987650463</v>
      </c>
      <c r="B1248" s="16">
        <v>45441</v>
      </c>
      <c r="C1248" s="2" t="s">
        <v>436</v>
      </c>
      <c r="D1248" s="2" t="s">
        <v>38</v>
      </c>
      <c r="E1248" s="2">
        <v>180</v>
      </c>
      <c r="F1248" s="2" t="s">
        <v>102</v>
      </c>
      <c r="G1248" s="2" t="s">
        <v>103</v>
      </c>
      <c r="H1248" s="2" t="s">
        <v>35</v>
      </c>
    </row>
    <row r="1249" spans="1:8" ht="13" hidden="1">
      <c r="A1249" s="15">
        <v>45454.753482569446</v>
      </c>
      <c r="B1249" s="16">
        <v>45441</v>
      </c>
      <c r="C1249" s="2" t="s">
        <v>105</v>
      </c>
      <c r="D1249" s="2" t="s">
        <v>40</v>
      </c>
      <c r="E1249" s="2">
        <v>500</v>
      </c>
      <c r="F1249" s="2" t="s">
        <v>100</v>
      </c>
      <c r="H1249" s="2" t="s">
        <v>35</v>
      </c>
    </row>
    <row r="1250" spans="1:8" ht="13" hidden="1">
      <c r="A1250" s="15">
        <v>45442.666589120374</v>
      </c>
      <c r="B1250" s="16">
        <v>45442</v>
      </c>
      <c r="C1250" s="2" t="s">
        <v>106</v>
      </c>
      <c r="D1250" s="2" t="s">
        <v>38</v>
      </c>
      <c r="E1250" s="2">
        <v>1050</v>
      </c>
      <c r="F1250" s="2" t="s">
        <v>102</v>
      </c>
      <c r="G1250" s="2" t="s">
        <v>606</v>
      </c>
      <c r="H1250" s="2" t="s">
        <v>35</v>
      </c>
    </row>
    <row r="1251" spans="1:8" ht="13" hidden="1">
      <c r="A1251" s="15">
        <v>45445.751343923606</v>
      </c>
      <c r="B1251" s="16">
        <v>45442</v>
      </c>
      <c r="C1251" s="2" t="s">
        <v>243</v>
      </c>
      <c r="D1251" s="2" t="s">
        <v>45</v>
      </c>
      <c r="E1251" s="2">
        <v>525</v>
      </c>
      <c r="F1251" s="2" t="s">
        <v>102</v>
      </c>
      <c r="G1251" s="2" t="s">
        <v>285</v>
      </c>
      <c r="H1251" s="2" t="s">
        <v>35</v>
      </c>
    </row>
    <row r="1252" spans="1:8" ht="13" hidden="1">
      <c r="A1252" s="15">
        <v>45454.75375481481</v>
      </c>
      <c r="B1252" s="16">
        <v>45442</v>
      </c>
      <c r="C1252" s="2" t="s">
        <v>350</v>
      </c>
      <c r="D1252" s="2" t="s">
        <v>40</v>
      </c>
      <c r="E1252" s="2">
        <v>1000</v>
      </c>
      <c r="F1252" s="2" t="s">
        <v>100</v>
      </c>
      <c r="H1252" s="2" t="s">
        <v>35</v>
      </c>
    </row>
    <row r="1253" spans="1:8" ht="13" hidden="1">
      <c r="A1253" s="15">
        <v>45454.754037233797</v>
      </c>
      <c r="B1253" s="16">
        <v>45442</v>
      </c>
      <c r="C1253" s="2" t="s">
        <v>240</v>
      </c>
      <c r="D1253" s="2" t="s">
        <v>42</v>
      </c>
      <c r="E1253" s="2">
        <v>330</v>
      </c>
      <c r="F1253" s="2" t="s">
        <v>100</v>
      </c>
      <c r="H1253" s="2" t="s">
        <v>35</v>
      </c>
    </row>
    <row r="1254" spans="1:8" ht="13" hidden="1">
      <c r="A1254" s="15">
        <v>45445.751694224542</v>
      </c>
      <c r="B1254" s="16">
        <v>45443</v>
      </c>
      <c r="C1254" s="2" t="s">
        <v>116</v>
      </c>
      <c r="D1254" s="2" t="s">
        <v>38</v>
      </c>
      <c r="E1254" s="2">
        <v>845</v>
      </c>
      <c r="F1254" s="2" t="s">
        <v>102</v>
      </c>
      <c r="G1254" s="2" t="s">
        <v>145</v>
      </c>
      <c r="H1254" s="2" t="s">
        <v>35</v>
      </c>
    </row>
    <row r="1255" spans="1:8" ht="13" hidden="1">
      <c r="A1255" s="15">
        <v>45445.752055648147</v>
      </c>
      <c r="B1255" s="16">
        <v>45443</v>
      </c>
      <c r="C1255" s="2" t="s">
        <v>287</v>
      </c>
      <c r="D1255" s="2" t="s">
        <v>38</v>
      </c>
      <c r="E1255" s="2">
        <v>400</v>
      </c>
      <c r="F1255" s="2" t="s">
        <v>102</v>
      </c>
      <c r="G1255" s="2" t="s">
        <v>199</v>
      </c>
      <c r="H1255" s="2" t="s">
        <v>35</v>
      </c>
    </row>
    <row r="1256" spans="1:8" ht="13" hidden="1">
      <c r="A1256" s="15">
        <v>45445.752335219906</v>
      </c>
      <c r="B1256" s="16">
        <v>45443</v>
      </c>
      <c r="C1256" s="2" t="s">
        <v>607</v>
      </c>
      <c r="D1256" s="2" t="s">
        <v>39</v>
      </c>
      <c r="E1256" s="2">
        <v>8000</v>
      </c>
      <c r="F1256" s="2" t="s">
        <v>102</v>
      </c>
      <c r="H1256" s="2" t="s">
        <v>35</v>
      </c>
    </row>
    <row r="1257" spans="1:8" ht="13" hidden="1">
      <c r="A1257" s="15">
        <v>45454.754380520833</v>
      </c>
      <c r="B1257" s="16">
        <v>45443</v>
      </c>
      <c r="C1257" s="2" t="s">
        <v>105</v>
      </c>
      <c r="D1257" s="2" t="s">
        <v>40</v>
      </c>
      <c r="E1257" s="2">
        <v>8800</v>
      </c>
      <c r="F1257" s="2" t="s">
        <v>100</v>
      </c>
      <c r="H1257" s="2" t="s">
        <v>35</v>
      </c>
    </row>
    <row r="1258" spans="1:8" ht="13" hidden="1">
      <c r="A1258" s="15">
        <v>45445.752700081022</v>
      </c>
      <c r="B1258" s="16">
        <v>45444</v>
      </c>
      <c r="C1258" s="2" t="s">
        <v>163</v>
      </c>
      <c r="D1258" s="2" t="s">
        <v>38</v>
      </c>
      <c r="E1258" s="2">
        <v>1680</v>
      </c>
      <c r="F1258" s="2" t="s">
        <v>102</v>
      </c>
      <c r="G1258" s="2" t="s">
        <v>164</v>
      </c>
      <c r="H1258" s="2" t="s">
        <v>35</v>
      </c>
    </row>
    <row r="1259" spans="1:8" ht="13" hidden="1">
      <c r="A1259" s="15">
        <v>45445.753090162034</v>
      </c>
      <c r="B1259" s="16">
        <v>45444</v>
      </c>
      <c r="C1259" s="2" t="s">
        <v>116</v>
      </c>
      <c r="D1259" s="2" t="s">
        <v>38</v>
      </c>
      <c r="E1259" s="2">
        <v>1680</v>
      </c>
      <c r="F1259" s="2" t="s">
        <v>102</v>
      </c>
      <c r="G1259" s="2" t="s">
        <v>145</v>
      </c>
      <c r="H1259" s="2" t="s">
        <v>35</v>
      </c>
    </row>
    <row r="1260" spans="1:8" ht="13" hidden="1">
      <c r="A1260" s="15">
        <v>45454.754672372685</v>
      </c>
      <c r="B1260" s="16">
        <v>45444</v>
      </c>
      <c r="C1260" s="2" t="s">
        <v>10</v>
      </c>
      <c r="D1260" s="2" t="s">
        <v>45</v>
      </c>
      <c r="E1260" s="2">
        <v>280</v>
      </c>
      <c r="F1260" s="2" t="s">
        <v>100</v>
      </c>
      <c r="H1260" s="2" t="s">
        <v>35</v>
      </c>
    </row>
    <row r="1261" spans="1:8" ht="13" hidden="1">
      <c r="A1261" s="15">
        <v>45454.755039976852</v>
      </c>
      <c r="B1261" s="16">
        <v>45444</v>
      </c>
      <c r="C1261" s="2" t="s">
        <v>248</v>
      </c>
      <c r="D1261" s="2" t="s">
        <v>49</v>
      </c>
      <c r="E1261" s="2">
        <v>700</v>
      </c>
      <c r="F1261" s="2" t="s">
        <v>100</v>
      </c>
      <c r="G1261" s="2" t="s">
        <v>179</v>
      </c>
      <c r="H1261" s="2" t="s">
        <v>35</v>
      </c>
    </row>
    <row r="1262" spans="1:8" ht="13" hidden="1">
      <c r="A1262" s="15">
        <v>45454.755396354165</v>
      </c>
      <c r="B1262" s="16">
        <v>45444</v>
      </c>
      <c r="C1262" s="2" t="s">
        <v>608</v>
      </c>
      <c r="D1262" s="2" t="s">
        <v>45</v>
      </c>
      <c r="E1262" s="2">
        <v>4280</v>
      </c>
      <c r="F1262" s="2" t="s">
        <v>100</v>
      </c>
      <c r="G1262" s="2" t="s">
        <v>129</v>
      </c>
      <c r="H1262" s="2" t="s">
        <v>35</v>
      </c>
    </row>
    <row r="1263" spans="1:8" ht="13" hidden="1">
      <c r="A1263" s="15">
        <v>45445.753528958332</v>
      </c>
      <c r="B1263" s="16">
        <v>45445</v>
      </c>
      <c r="C1263" s="2" t="s">
        <v>316</v>
      </c>
      <c r="D1263" s="2" t="s">
        <v>44</v>
      </c>
      <c r="E1263" s="2">
        <v>1000</v>
      </c>
      <c r="F1263" s="2" t="s">
        <v>102</v>
      </c>
      <c r="G1263" s="2" t="s">
        <v>132</v>
      </c>
      <c r="H1263" s="2" t="s">
        <v>35</v>
      </c>
    </row>
    <row r="1264" spans="1:8" ht="13" hidden="1">
      <c r="A1264" s="15">
        <v>45445.753912638887</v>
      </c>
      <c r="B1264" s="16">
        <v>45445</v>
      </c>
      <c r="C1264" s="2" t="s">
        <v>609</v>
      </c>
      <c r="D1264" s="2" t="s">
        <v>44</v>
      </c>
      <c r="E1264" s="2">
        <v>1519</v>
      </c>
      <c r="F1264" s="2" t="s">
        <v>102</v>
      </c>
      <c r="G1264" s="2" t="s">
        <v>610</v>
      </c>
      <c r="H1264" s="2" t="s">
        <v>35</v>
      </c>
    </row>
    <row r="1265" spans="1:8" ht="13" hidden="1">
      <c r="A1265" s="15">
        <v>45445.754234618056</v>
      </c>
      <c r="B1265" s="16">
        <v>45445</v>
      </c>
      <c r="C1265" s="2" t="s">
        <v>611</v>
      </c>
      <c r="D1265" s="2" t="s">
        <v>45</v>
      </c>
      <c r="E1265" s="2">
        <v>220</v>
      </c>
      <c r="F1265" s="2" t="s">
        <v>102</v>
      </c>
      <c r="G1265" s="2" t="s">
        <v>136</v>
      </c>
      <c r="H1265" s="2" t="s">
        <v>35</v>
      </c>
    </row>
    <row r="1266" spans="1:8" ht="13" hidden="1">
      <c r="A1266" s="15">
        <v>45445.75488385417</v>
      </c>
      <c r="B1266" s="16">
        <v>45445</v>
      </c>
      <c r="C1266" s="2" t="s">
        <v>612</v>
      </c>
      <c r="D1266" s="2" t="s">
        <v>39</v>
      </c>
      <c r="E1266" s="2">
        <v>3500</v>
      </c>
      <c r="F1266" s="2" t="s">
        <v>102</v>
      </c>
      <c r="H1266" s="2" t="s">
        <v>35</v>
      </c>
    </row>
    <row r="1267" spans="1:8" ht="13" hidden="1">
      <c r="A1267" s="15">
        <v>45454.747608703707</v>
      </c>
      <c r="B1267" s="16">
        <v>45446</v>
      </c>
      <c r="C1267" s="2" t="s">
        <v>116</v>
      </c>
      <c r="D1267" s="2" t="s">
        <v>38</v>
      </c>
      <c r="E1267" s="2">
        <v>1172</v>
      </c>
      <c r="F1267" s="2" t="s">
        <v>102</v>
      </c>
      <c r="G1267" s="2" t="s">
        <v>145</v>
      </c>
      <c r="H1267" s="2" t="s">
        <v>35</v>
      </c>
    </row>
    <row r="1268" spans="1:8" ht="13" hidden="1">
      <c r="A1268" s="15">
        <v>45454.748185104167</v>
      </c>
      <c r="B1268" s="16">
        <v>45447</v>
      </c>
      <c r="C1268" s="2" t="s">
        <v>545</v>
      </c>
      <c r="D1268" s="2" t="s">
        <v>38</v>
      </c>
      <c r="E1268" s="2">
        <v>1350</v>
      </c>
      <c r="F1268" s="2" t="s">
        <v>102</v>
      </c>
      <c r="H1268" s="2" t="s">
        <v>35</v>
      </c>
    </row>
    <row r="1269" spans="1:8" ht="13" hidden="1">
      <c r="A1269" s="15">
        <v>45454.748516226857</v>
      </c>
      <c r="B1269" s="16">
        <v>45447</v>
      </c>
      <c r="C1269" s="2" t="s">
        <v>116</v>
      </c>
      <c r="D1269" s="2" t="s">
        <v>38</v>
      </c>
      <c r="E1269" s="2">
        <v>589</v>
      </c>
      <c r="F1269" s="2" t="s">
        <v>102</v>
      </c>
      <c r="G1269" s="2" t="s">
        <v>145</v>
      </c>
      <c r="H1269" s="2" t="s">
        <v>35</v>
      </c>
    </row>
    <row r="1270" spans="1:8" ht="13" hidden="1">
      <c r="A1270" s="15">
        <v>45454.755719687499</v>
      </c>
      <c r="B1270" s="16">
        <v>45447</v>
      </c>
      <c r="C1270" s="2" t="s">
        <v>613</v>
      </c>
      <c r="D1270" s="2" t="s">
        <v>45</v>
      </c>
      <c r="E1270" s="2">
        <v>2986</v>
      </c>
      <c r="F1270" s="2" t="s">
        <v>100</v>
      </c>
      <c r="G1270" s="2" t="s">
        <v>614</v>
      </c>
      <c r="H1270" s="2" t="s">
        <v>35</v>
      </c>
    </row>
    <row r="1271" spans="1:8" ht="13" hidden="1">
      <c r="A1271" s="15">
        <v>45450.578465254628</v>
      </c>
      <c r="B1271" s="16">
        <v>45448</v>
      </c>
      <c r="C1271" s="2" t="s">
        <v>612</v>
      </c>
      <c r="D1271" s="2" t="s">
        <v>39</v>
      </c>
      <c r="E1271" s="2">
        <v>7750</v>
      </c>
      <c r="F1271" s="2" t="s">
        <v>102</v>
      </c>
      <c r="H1271" s="2" t="s">
        <v>35</v>
      </c>
    </row>
    <row r="1272" spans="1:8" ht="13" hidden="1">
      <c r="A1272" s="15">
        <v>45450.578661296298</v>
      </c>
      <c r="B1272" s="16">
        <v>45448</v>
      </c>
      <c r="C1272" s="2" t="s">
        <v>588</v>
      </c>
      <c r="E1272" s="2">
        <v>3000</v>
      </c>
      <c r="H1272" s="2" t="s">
        <v>34</v>
      </c>
    </row>
    <row r="1273" spans="1:8" ht="13" hidden="1">
      <c r="A1273" s="15">
        <v>45454.748946018517</v>
      </c>
      <c r="B1273" s="16">
        <v>45448</v>
      </c>
      <c r="C1273" s="2" t="s">
        <v>116</v>
      </c>
      <c r="D1273" s="2" t="s">
        <v>38</v>
      </c>
      <c r="E1273" s="2">
        <v>512</v>
      </c>
      <c r="F1273" s="2" t="s">
        <v>102</v>
      </c>
      <c r="G1273" s="2" t="s">
        <v>145</v>
      </c>
      <c r="H1273" s="2" t="s">
        <v>35</v>
      </c>
    </row>
    <row r="1274" spans="1:8" ht="13" hidden="1">
      <c r="A1274" s="15">
        <v>45454.756030590273</v>
      </c>
      <c r="B1274" s="16">
        <v>45448</v>
      </c>
      <c r="C1274" s="2" t="s">
        <v>350</v>
      </c>
      <c r="D1274" s="2" t="s">
        <v>40</v>
      </c>
      <c r="E1274" s="2">
        <v>1000</v>
      </c>
      <c r="F1274" s="2" t="s">
        <v>100</v>
      </c>
      <c r="H1274" s="2" t="s">
        <v>35</v>
      </c>
    </row>
    <row r="1275" spans="1:8" ht="13" hidden="1">
      <c r="A1275" s="15">
        <v>45454.75744538194</v>
      </c>
      <c r="B1275" s="16">
        <v>45448</v>
      </c>
      <c r="C1275" s="2" t="s">
        <v>258</v>
      </c>
      <c r="E1275" s="2">
        <v>14385</v>
      </c>
      <c r="H1275" s="2" t="s">
        <v>34</v>
      </c>
    </row>
    <row r="1276" spans="1:8" ht="13" hidden="1">
      <c r="A1276" s="15">
        <v>45450.579230555551</v>
      </c>
      <c r="B1276" s="16">
        <v>45449</v>
      </c>
      <c r="C1276" s="2" t="s">
        <v>106</v>
      </c>
      <c r="D1276" s="2" t="s">
        <v>38</v>
      </c>
      <c r="E1276" s="2">
        <v>1100</v>
      </c>
      <c r="F1276" s="2" t="s">
        <v>102</v>
      </c>
      <c r="H1276" s="2" t="s">
        <v>35</v>
      </c>
    </row>
    <row r="1277" spans="1:8" ht="13" hidden="1">
      <c r="A1277" s="15">
        <v>45454.746595729172</v>
      </c>
      <c r="B1277" s="16">
        <v>45449</v>
      </c>
      <c r="C1277" s="2" t="s">
        <v>615</v>
      </c>
      <c r="D1277" s="2" t="s">
        <v>38</v>
      </c>
      <c r="E1277" s="2">
        <v>258</v>
      </c>
      <c r="F1277" s="2" t="s">
        <v>102</v>
      </c>
      <c r="G1277" s="2" t="s">
        <v>356</v>
      </c>
      <c r="H1277" s="2" t="s">
        <v>35</v>
      </c>
    </row>
    <row r="1278" spans="1:8" ht="13" hidden="1">
      <c r="A1278" s="15">
        <v>45454.756298182867</v>
      </c>
      <c r="B1278" s="16">
        <v>45449</v>
      </c>
      <c r="C1278" s="2" t="s">
        <v>240</v>
      </c>
      <c r="D1278" s="2" t="s">
        <v>42</v>
      </c>
      <c r="E1278" s="2">
        <v>990</v>
      </c>
      <c r="F1278" s="2" t="s">
        <v>100</v>
      </c>
      <c r="H1278" s="2" t="s">
        <v>35</v>
      </c>
    </row>
    <row r="1279" spans="1:8" ht="13" hidden="1">
      <c r="A1279" s="15">
        <v>45450.57951836806</v>
      </c>
      <c r="B1279" s="16">
        <v>45450</v>
      </c>
      <c r="C1279" s="2" t="s">
        <v>106</v>
      </c>
      <c r="D1279" s="2" t="s">
        <v>38</v>
      </c>
      <c r="E1279" s="2">
        <v>1300</v>
      </c>
      <c r="F1279" s="2" t="s">
        <v>102</v>
      </c>
      <c r="G1279" s="2" t="s">
        <v>256</v>
      </c>
      <c r="H1279" s="2" t="s">
        <v>35</v>
      </c>
    </row>
    <row r="1280" spans="1:8" ht="13" hidden="1">
      <c r="A1280" s="15">
        <v>45454.746861435182</v>
      </c>
      <c r="B1280" s="16">
        <v>45450</v>
      </c>
      <c r="C1280" s="2" t="s">
        <v>287</v>
      </c>
      <c r="D1280" s="2" t="s">
        <v>38</v>
      </c>
      <c r="E1280" s="2">
        <v>400</v>
      </c>
      <c r="F1280" s="2" t="s">
        <v>102</v>
      </c>
      <c r="G1280" s="2" t="s">
        <v>199</v>
      </c>
      <c r="H1280" s="2" t="s">
        <v>35</v>
      </c>
    </row>
    <row r="1281" spans="1:8" ht="13" hidden="1">
      <c r="A1281" s="15">
        <v>45454.756658576385</v>
      </c>
      <c r="B1281" s="16">
        <v>45451</v>
      </c>
      <c r="C1281" s="2" t="s">
        <v>489</v>
      </c>
      <c r="D1281" s="2" t="s">
        <v>152</v>
      </c>
      <c r="E1281" s="2">
        <v>130</v>
      </c>
      <c r="F1281" s="2" t="s">
        <v>100</v>
      </c>
      <c r="H1281" s="2" t="s">
        <v>35</v>
      </c>
    </row>
    <row r="1282" spans="1:8" ht="13" hidden="1">
      <c r="A1282" s="15">
        <v>45454.747255092589</v>
      </c>
      <c r="B1282" s="16">
        <v>45452</v>
      </c>
      <c r="C1282" s="2" t="s">
        <v>116</v>
      </c>
      <c r="D1282" s="2" t="s">
        <v>38</v>
      </c>
      <c r="E1282" s="2">
        <v>399</v>
      </c>
      <c r="F1282" s="2" t="s">
        <v>102</v>
      </c>
      <c r="G1282" s="2" t="s">
        <v>145</v>
      </c>
      <c r="H1282" s="2" t="s">
        <v>35</v>
      </c>
    </row>
    <row r="1283" spans="1:8" ht="13" hidden="1">
      <c r="A1283" s="15">
        <v>45454.749502233797</v>
      </c>
      <c r="B1283" s="16">
        <v>45452</v>
      </c>
      <c r="C1283" s="2" t="s">
        <v>616</v>
      </c>
      <c r="D1283" s="2" t="s">
        <v>39</v>
      </c>
      <c r="E1283" s="2">
        <v>4060</v>
      </c>
      <c r="F1283" s="2" t="s">
        <v>102</v>
      </c>
      <c r="H1283" s="2" t="s">
        <v>35</v>
      </c>
    </row>
    <row r="1284" spans="1:8" ht="13" hidden="1">
      <c r="A1284" s="15">
        <v>45454.749828842592</v>
      </c>
      <c r="B1284" s="16">
        <v>45452</v>
      </c>
      <c r="C1284" s="2" t="s">
        <v>616</v>
      </c>
      <c r="D1284" s="2" t="s">
        <v>39</v>
      </c>
      <c r="E1284" s="2">
        <v>3800</v>
      </c>
      <c r="F1284" s="2" t="s">
        <v>102</v>
      </c>
      <c r="H1284" s="2" t="s">
        <v>35</v>
      </c>
    </row>
    <row r="1285" spans="1:8" ht="13" hidden="1">
      <c r="A1285" s="15">
        <v>45454.75006283565</v>
      </c>
      <c r="B1285" s="16">
        <v>45452</v>
      </c>
      <c r="C1285" s="2" t="s">
        <v>241</v>
      </c>
      <c r="D1285" s="2" t="s">
        <v>38</v>
      </c>
      <c r="E1285" s="2">
        <v>190</v>
      </c>
      <c r="F1285" s="2" t="s">
        <v>102</v>
      </c>
      <c r="G1285" s="2" t="s">
        <v>356</v>
      </c>
      <c r="H1285" s="2" t="s">
        <v>35</v>
      </c>
    </row>
    <row r="1286" spans="1:8" ht="13" hidden="1">
      <c r="A1286" s="15">
        <v>45454.757010266199</v>
      </c>
      <c r="B1286" s="16">
        <v>45452</v>
      </c>
      <c r="C1286" s="2" t="s">
        <v>197</v>
      </c>
      <c r="D1286" s="2" t="s">
        <v>48</v>
      </c>
      <c r="E1286" s="2">
        <v>880</v>
      </c>
      <c r="F1286" s="2" t="s">
        <v>100</v>
      </c>
      <c r="H1286" s="2" t="s">
        <v>35</v>
      </c>
    </row>
    <row r="1287" spans="1:8" ht="13" hidden="1">
      <c r="A1287" s="15">
        <v>45459.707263599536</v>
      </c>
      <c r="B1287" s="16">
        <v>45452</v>
      </c>
      <c r="C1287" s="2" t="s">
        <v>240</v>
      </c>
      <c r="D1287" s="2" t="s">
        <v>42</v>
      </c>
      <c r="E1287" s="2">
        <v>330</v>
      </c>
      <c r="F1287" s="2" t="s">
        <v>100</v>
      </c>
      <c r="H1287" s="2" t="s">
        <v>35</v>
      </c>
    </row>
    <row r="1288" spans="1:8" ht="13" hidden="1">
      <c r="A1288" s="15">
        <v>45454.7506397338</v>
      </c>
      <c r="B1288" s="16">
        <v>45453</v>
      </c>
      <c r="C1288" s="2" t="s">
        <v>106</v>
      </c>
      <c r="D1288" s="2" t="s">
        <v>38</v>
      </c>
      <c r="E1288" s="2">
        <v>1000</v>
      </c>
      <c r="F1288" s="2" t="s">
        <v>102</v>
      </c>
      <c r="G1288" s="2" t="s">
        <v>194</v>
      </c>
      <c r="H1288" s="2" t="s">
        <v>35</v>
      </c>
    </row>
    <row r="1289" spans="1:8" ht="13" hidden="1">
      <c r="A1289" s="15">
        <v>45454.751020405092</v>
      </c>
      <c r="B1289" s="16">
        <v>45453</v>
      </c>
      <c r="C1289" s="2" t="s">
        <v>116</v>
      </c>
      <c r="D1289" s="2" t="s">
        <v>38</v>
      </c>
      <c r="E1289" s="2">
        <v>1186</v>
      </c>
      <c r="F1289" s="2" t="s">
        <v>102</v>
      </c>
      <c r="G1289" s="2" t="s">
        <v>145</v>
      </c>
      <c r="H1289" s="2" t="s">
        <v>35</v>
      </c>
    </row>
    <row r="1290" spans="1:8" ht="13" hidden="1">
      <c r="A1290" s="15">
        <v>45454.757793715282</v>
      </c>
      <c r="B1290" s="16">
        <v>45453</v>
      </c>
      <c r="C1290" s="2" t="s">
        <v>617</v>
      </c>
      <c r="E1290" s="2">
        <v>40000</v>
      </c>
      <c r="H1290" s="2" t="s">
        <v>34</v>
      </c>
    </row>
    <row r="1291" spans="1:8" ht="13" hidden="1">
      <c r="A1291" s="15">
        <v>45459.707482210652</v>
      </c>
      <c r="B1291" s="16">
        <v>45453</v>
      </c>
      <c r="C1291" s="2" t="s">
        <v>240</v>
      </c>
      <c r="D1291" s="2" t="s">
        <v>42</v>
      </c>
      <c r="E1291" s="2">
        <v>88</v>
      </c>
      <c r="F1291" s="2" t="s">
        <v>100</v>
      </c>
      <c r="H1291" s="2" t="s">
        <v>35</v>
      </c>
    </row>
    <row r="1292" spans="1:8" ht="13" hidden="1">
      <c r="A1292" s="15">
        <v>45459.707793587964</v>
      </c>
      <c r="B1292" s="16">
        <v>45453</v>
      </c>
      <c r="C1292" s="2" t="s">
        <v>176</v>
      </c>
      <c r="D1292" s="2" t="s">
        <v>41</v>
      </c>
      <c r="E1292" s="2">
        <v>3196</v>
      </c>
      <c r="F1292" s="2" t="s">
        <v>100</v>
      </c>
      <c r="H1292" s="2" t="s">
        <v>35</v>
      </c>
    </row>
    <row r="1293" spans="1:8" ht="13" hidden="1">
      <c r="A1293" s="15">
        <v>45454.751375428241</v>
      </c>
      <c r="B1293" s="16">
        <v>45454</v>
      </c>
      <c r="C1293" s="2" t="s">
        <v>116</v>
      </c>
      <c r="D1293" s="2" t="s">
        <v>38</v>
      </c>
      <c r="E1293" s="2">
        <v>1049</v>
      </c>
      <c r="F1293" s="2" t="s">
        <v>102</v>
      </c>
      <c r="G1293" s="2" t="s">
        <v>145</v>
      </c>
      <c r="H1293" s="2" t="s">
        <v>35</v>
      </c>
    </row>
    <row r="1294" spans="1:8" ht="13" hidden="1">
      <c r="A1294" s="15">
        <v>45459.708123368051</v>
      </c>
      <c r="B1294" s="16">
        <v>45454</v>
      </c>
      <c r="C1294" s="2" t="s">
        <v>18</v>
      </c>
      <c r="D1294" s="2" t="s">
        <v>41</v>
      </c>
      <c r="E1294" s="2">
        <v>5318</v>
      </c>
      <c r="F1294" s="2" t="s">
        <v>100</v>
      </c>
      <c r="H1294" s="2" t="s">
        <v>35</v>
      </c>
    </row>
    <row r="1295" spans="1:8" ht="13" hidden="1">
      <c r="A1295" s="15">
        <v>45459.701014722217</v>
      </c>
      <c r="B1295" s="16">
        <v>45455</v>
      </c>
      <c r="C1295" s="2" t="s">
        <v>106</v>
      </c>
      <c r="D1295" s="2" t="s">
        <v>38</v>
      </c>
      <c r="E1295" s="2">
        <v>1500</v>
      </c>
      <c r="F1295" s="2" t="s">
        <v>102</v>
      </c>
      <c r="G1295" s="2" t="s">
        <v>329</v>
      </c>
      <c r="H1295" s="2" t="s">
        <v>35</v>
      </c>
    </row>
    <row r="1296" spans="1:8" ht="13" hidden="1">
      <c r="A1296" s="15">
        <v>45460.606248136573</v>
      </c>
      <c r="B1296" s="16">
        <v>45455</v>
      </c>
      <c r="C1296" s="2" t="s">
        <v>618</v>
      </c>
      <c r="D1296" s="2" t="s">
        <v>39</v>
      </c>
      <c r="E1296" s="2">
        <v>1500</v>
      </c>
      <c r="F1296" s="2" t="s">
        <v>102</v>
      </c>
      <c r="H1296" s="2" t="s">
        <v>35</v>
      </c>
    </row>
    <row r="1297" spans="1:8" ht="13" hidden="1">
      <c r="A1297" s="15">
        <v>45459.701490462961</v>
      </c>
      <c r="B1297" s="16">
        <v>45456</v>
      </c>
      <c r="C1297" s="2" t="s">
        <v>619</v>
      </c>
      <c r="D1297" s="2" t="s">
        <v>38</v>
      </c>
      <c r="E1297" s="2">
        <v>111</v>
      </c>
      <c r="F1297" s="2" t="s">
        <v>102</v>
      </c>
      <c r="G1297" s="2" t="s">
        <v>103</v>
      </c>
      <c r="H1297" s="2" t="s">
        <v>35</v>
      </c>
    </row>
    <row r="1298" spans="1:8" ht="13" hidden="1">
      <c r="A1298" s="15">
        <v>45459.701764386569</v>
      </c>
      <c r="B1298" s="16">
        <v>45456</v>
      </c>
      <c r="C1298" s="2" t="s">
        <v>106</v>
      </c>
      <c r="D1298" s="2" t="s">
        <v>38</v>
      </c>
      <c r="E1298" s="2">
        <v>970</v>
      </c>
      <c r="F1298" s="2" t="s">
        <v>102</v>
      </c>
      <c r="G1298" s="2" t="s">
        <v>191</v>
      </c>
      <c r="H1298" s="2" t="s">
        <v>35</v>
      </c>
    </row>
    <row r="1299" spans="1:8" ht="13" hidden="1">
      <c r="A1299" s="15">
        <v>45459.702066666665</v>
      </c>
      <c r="B1299" s="16">
        <v>45456</v>
      </c>
      <c r="C1299" s="2" t="s">
        <v>533</v>
      </c>
      <c r="D1299" s="2" t="s">
        <v>46</v>
      </c>
      <c r="E1299" s="2">
        <v>902</v>
      </c>
      <c r="F1299" s="2" t="s">
        <v>102</v>
      </c>
      <c r="G1299" s="2" t="s">
        <v>620</v>
      </c>
      <c r="H1299" s="2" t="s">
        <v>35</v>
      </c>
    </row>
    <row r="1300" spans="1:8" ht="13" hidden="1">
      <c r="A1300" s="15">
        <v>45459.709208796296</v>
      </c>
      <c r="B1300" s="16">
        <v>45456</v>
      </c>
      <c r="C1300" s="2" t="s">
        <v>621</v>
      </c>
      <c r="D1300" s="2" t="s">
        <v>45</v>
      </c>
      <c r="E1300" s="2">
        <v>1580</v>
      </c>
      <c r="F1300" s="2" t="s">
        <v>100</v>
      </c>
      <c r="G1300" s="2" t="s">
        <v>129</v>
      </c>
      <c r="H1300" s="2" t="s">
        <v>35</v>
      </c>
    </row>
    <row r="1301" spans="1:8" ht="13" hidden="1">
      <c r="A1301" s="15">
        <v>45459.702350717591</v>
      </c>
      <c r="B1301" s="16">
        <v>45457</v>
      </c>
      <c r="C1301" s="2" t="s">
        <v>622</v>
      </c>
      <c r="D1301" s="2" t="s">
        <v>45</v>
      </c>
      <c r="E1301" s="2">
        <v>110</v>
      </c>
      <c r="F1301" s="2" t="s">
        <v>102</v>
      </c>
      <c r="G1301" s="2" t="s">
        <v>136</v>
      </c>
      <c r="H1301" s="2" t="s">
        <v>35</v>
      </c>
    </row>
    <row r="1302" spans="1:8" ht="13" hidden="1">
      <c r="A1302" s="15">
        <v>45459.702671550927</v>
      </c>
      <c r="B1302" s="16">
        <v>45457</v>
      </c>
      <c r="C1302" s="2" t="s">
        <v>116</v>
      </c>
      <c r="D1302" s="2" t="s">
        <v>38</v>
      </c>
      <c r="E1302" s="2">
        <v>361</v>
      </c>
      <c r="F1302" s="2" t="s">
        <v>102</v>
      </c>
      <c r="G1302" s="2" t="s">
        <v>145</v>
      </c>
      <c r="H1302" s="2" t="s">
        <v>35</v>
      </c>
    </row>
    <row r="1303" spans="1:8" ht="13" hidden="1">
      <c r="A1303" s="15">
        <v>45459.703005289353</v>
      </c>
      <c r="B1303" s="16">
        <v>45457</v>
      </c>
      <c r="C1303" s="2" t="s">
        <v>623</v>
      </c>
      <c r="D1303" s="2" t="s">
        <v>38</v>
      </c>
      <c r="E1303" s="2">
        <v>213</v>
      </c>
      <c r="F1303" s="2" t="s">
        <v>102</v>
      </c>
      <c r="G1303" s="2" t="s">
        <v>145</v>
      </c>
      <c r="H1303" s="2" t="s">
        <v>35</v>
      </c>
    </row>
    <row r="1304" spans="1:8" ht="13" hidden="1">
      <c r="A1304" s="15">
        <v>45459.703338935185</v>
      </c>
      <c r="B1304" s="16">
        <v>45457</v>
      </c>
      <c r="C1304" s="2" t="s">
        <v>542</v>
      </c>
      <c r="D1304" s="2" t="s">
        <v>45</v>
      </c>
      <c r="E1304" s="2">
        <v>620</v>
      </c>
      <c r="F1304" s="2" t="s">
        <v>102</v>
      </c>
      <c r="H1304" s="2" t="s">
        <v>35</v>
      </c>
    </row>
    <row r="1305" spans="1:8" ht="13" hidden="1">
      <c r="A1305" s="15">
        <v>45459.709482430553</v>
      </c>
      <c r="B1305" s="16">
        <v>45457</v>
      </c>
      <c r="C1305" s="2" t="s">
        <v>581</v>
      </c>
      <c r="D1305" s="2" t="s">
        <v>48</v>
      </c>
      <c r="E1305" s="2">
        <v>3217</v>
      </c>
      <c r="F1305" s="2" t="s">
        <v>100</v>
      </c>
      <c r="H1305" s="2" t="s">
        <v>35</v>
      </c>
    </row>
    <row r="1306" spans="1:8" ht="13" hidden="1">
      <c r="A1306" s="15">
        <v>45459.70371519676</v>
      </c>
      <c r="B1306" s="16">
        <v>45458</v>
      </c>
      <c r="C1306" s="2" t="s">
        <v>624</v>
      </c>
      <c r="D1306" s="2" t="s">
        <v>39</v>
      </c>
      <c r="E1306" s="2">
        <v>7000</v>
      </c>
      <c r="F1306" s="2" t="s">
        <v>102</v>
      </c>
      <c r="H1306" s="2" t="s">
        <v>35</v>
      </c>
    </row>
    <row r="1307" spans="1:8" ht="13" hidden="1">
      <c r="A1307" s="15">
        <v>45459.704115856483</v>
      </c>
      <c r="B1307" s="16">
        <v>45458</v>
      </c>
      <c r="C1307" s="2" t="s">
        <v>116</v>
      </c>
      <c r="D1307" s="2" t="s">
        <v>38</v>
      </c>
      <c r="E1307" s="2">
        <v>1056</v>
      </c>
      <c r="F1307" s="2" t="s">
        <v>102</v>
      </c>
      <c r="G1307" s="2" t="s">
        <v>145</v>
      </c>
      <c r="H1307" s="2" t="s">
        <v>35</v>
      </c>
    </row>
    <row r="1308" spans="1:8" ht="13" hidden="1">
      <c r="A1308" s="15">
        <v>45467.938642638888</v>
      </c>
      <c r="B1308" s="16">
        <v>45458</v>
      </c>
      <c r="C1308" s="2" t="s">
        <v>625</v>
      </c>
      <c r="D1308" s="2" t="s">
        <v>39</v>
      </c>
      <c r="E1308" s="2">
        <v>429</v>
      </c>
      <c r="F1308" s="2" t="s">
        <v>100</v>
      </c>
      <c r="G1308" s="2" t="s">
        <v>626</v>
      </c>
      <c r="H1308" s="2" t="s">
        <v>35</v>
      </c>
    </row>
    <row r="1309" spans="1:8" ht="13" hidden="1">
      <c r="A1309" s="15">
        <v>45467.938899039349</v>
      </c>
      <c r="B1309" s="16">
        <v>45458</v>
      </c>
      <c r="C1309" s="2" t="s">
        <v>240</v>
      </c>
      <c r="D1309" s="2" t="s">
        <v>42</v>
      </c>
      <c r="E1309" s="2">
        <v>330</v>
      </c>
      <c r="F1309" s="2" t="s">
        <v>100</v>
      </c>
      <c r="H1309" s="2" t="s">
        <v>35</v>
      </c>
    </row>
    <row r="1310" spans="1:8" ht="13" hidden="1">
      <c r="A1310" s="15">
        <v>45459.704480081018</v>
      </c>
      <c r="B1310" s="16">
        <v>45459</v>
      </c>
      <c r="C1310" s="2" t="s">
        <v>627</v>
      </c>
      <c r="D1310" s="2" t="s">
        <v>45</v>
      </c>
      <c r="E1310" s="2">
        <v>220</v>
      </c>
      <c r="F1310" s="2" t="s">
        <v>102</v>
      </c>
      <c r="G1310" s="2" t="s">
        <v>136</v>
      </c>
      <c r="H1310" s="2" t="s">
        <v>35</v>
      </c>
    </row>
    <row r="1311" spans="1:8" ht="13" hidden="1">
      <c r="A1311" s="15">
        <v>45459.704896759256</v>
      </c>
      <c r="B1311" s="16">
        <v>45459</v>
      </c>
      <c r="C1311" s="2" t="s">
        <v>163</v>
      </c>
      <c r="D1311" s="2" t="s">
        <v>38</v>
      </c>
      <c r="E1311" s="2">
        <v>1720</v>
      </c>
      <c r="F1311" s="2" t="s">
        <v>102</v>
      </c>
      <c r="G1311" s="2" t="s">
        <v>164</v>
      </c>
      <c r="H1311" s="2" t="s">
        <v>35</v>
      </c>
    </row>
    <row r="1312" spans="1:8" ht="13" hidden="1">
      <c r="A1312" s="15">
        <v>45459.705147337962</v>
      </c>
      <c r="B1312" s="16">
        <v>45459</v>
      </c>
      <c r="C1312" s="2" t="s">
        <v>116</v>
      </c>
      <c r="D1312" s="2" t="s">
        <v>38</v>
      </c>
      <c r="E1312" s="2">
        <v>2077</v>
      </c>
      <c r="F1312" s="2" t="s">
        <v>102</v>
      </c>
      <c r="G1312" s="2" t="s">
        <v>145</v>
      </c>
      <c r="H1312" s="2" t="s">
        <v>35</v>
      </c>
    </row>
    <row r="1313" spans="1:8" ht="13" hidden="1">
      <c r="A1313" s="15">
        <v>45464.464774849534</v>
      </c>
      <c r="B1313" s="16">
        <v>45460</v>
      </c>
      <c r="C1313" s="2" t="s">
        <v>106</v>
      </c>
      <c r="D1313" s="2" t="s">
        <v>38</v>
      </c>
      <c r="E1313" s="2">
        <v>1300</v>
      </c>
      <c r="F1313" s="2" t="s">
        <v>102</v>
      </c>
      <c r="G1313" s="2" t="s">
        <v>227</v>
      </c>
      <c r="H1313" s="2" t="s">
        <v>35</v>
      </c>
    </row>
    <row r="1314" spans="1:8" ht="13" hidden="1">
      <c r="A1314" s="15">
        <v>45464.465102939816</v>
      </c>
      <c r="B1314" s="16">
        <v>45460</v>
      </c>
      <c r="C1314" s="2" t="s">
        <v>116</v>
      </c>
      <c r="D1314" s="2" t="s">
        <v>38</v>
      </c>
      <c r="E1314" s="2">
        <v>978</v>
      </c>
      <c r="F1314" s="2" t="s">
        <v>102</v>
      </c>
      <c r="G1314" s="2" t="s">
        <v>145</v>
      </c>
      <c r="H1314" s="2" t="s">
        <v>35</v>
      </c>
    </row>
    <row r="1315" spans="1:8" ht="13" hidden="1">
      <c r="A1315" s="15">
        <v>45464.465340763883</v>
      </c>
      <c r="B1315" s="16">
        <v>45460</v>
      </c>
      <c r="C1315" s="2" t="s">
        <v>575</v>
      </c>
      <c r="E1315" s="2">
        <v>3500</v>
      </c>
      <c r="H1315" s="2" t="s">
        <v>34</v>
      </c>
    </row>
    <row r="1316" spans="1:8" ht="13" hidden="1">
      <c r="A1316" s="15">
        <v>45467.939153981482</v>
      </c>
      <c r="B1316" s="16">
        <v>45461</v>
      </c>
      <c r="C1316" s="2" t="s">
        <v>628</v>
      </c>
      <c r="D1316" s="2" t="s">
        <v>39</v>
      </c>
      <c r="E1316" s="2">
        <v>880</v>
      </c>
      <c r="F1316" s="2" t="s">
        <v>100</v>
      </c>
      <c r="H1316" s="2" t="s">
        <v>35</v>
      </c>
    </row>
    <row r="1317" spans="1:8" ht="13" hidden="1">
      <c r="A1317" s="15">
        <v>45467.939492256948</v>
      </c>
      <c r="B1317" s="16">
        <v>45461</v>
      </c>
      <c r="C1317" s="2" t="s">
        <v>22</v>
      </c>
      <c r="D1317" s="2" t="s">
        <v>39</v>
      </c>
      <c r="E1317" s="2">
        <v>2310</v>
      </c>
      <c r="F1317" s="2" t="s">
        <v>100</v>
      </c>
      <c r="H1317" s="2" t="s">
        <v>35</v>
      </c>
    </row>
    <row r="1318" spans="1:8" ht="13" hidden="1">
      <c r="A1318" s="15">
        <v>45464.465700439818</v>
      </c>
      <c r="B1318" s="16">
        <v>45462</v>
      </c>
      <c r="C1318" s="2" t="s">
        <v>106</v>
      </c>
      <c r="D1318" s="2" t="s">
        <v>38</v>
      </c>
      <c r="E1318" s="2">
        <v>920</v>
      </c>
      <c r="F1318" s="2" t="s">
        <v>102</v>
      </c>
      <c r="G1318" s="2" t="s">
        <v>191</v>
      </c>
      <c r="H1318" s="2" t="s">
        <v>35</v>
      </c>
    </row>
    <row r="1319" spans="1:8" ht="13" hidden="1">
      <c r="A1319" s="15">
        <v>45464.4660325</v>
      </c>
      <c r="B1319" s="16">
        <v>45462</v>
      </c>
      <c r="C1319" s="2" t="s">
        <v>236</v>
      </c>
      <c r="D1319" s="2" t="s">
        <v>43</v>
      </c>
      <c r="E1319" s="2">
        <v>328</v>
      </c>
      <c r="F1319" s="2" t="s">
        <v>102</v>
      </c>
      <c r="H1319" s="2" t="s">
        <v>35</v>
      </c>
    </row>
    <row r="1320" spans="1:8" ht="13" hidden="1">
      <c r="A1320" s="15">
        <v>45464.467271504633</v>
      </c>
      <c r="B1320" s="16">
        <v>45462</v>
      </c>
      <c r="C1320" s="2" t="s">
        <v>629</v>
      </c>
      <c r="D1320" s="2" t="s">
        <v>5</v>
      </c>
      <c r="E1320" s="2">
        <v>5000</v>
      </c>
      <c r="F1320" s="2" t="s">
        <v>102</v>
      </c>
      <c r="H1320" s="2" t="s">
        <v>35</v>
      </c>
    </row>
    <row r="1321" spans="1:8" ht="13" hidden="1">
      <c r="A1321" s="15">
        <v>45464.467618912036</v>
      </c>
      <c r="B1321" s="16">
        <v>45462</v>
      </c>
      <c r="C1321" s="2" t="s">
        <v>121</v>
      </c>
      <c r="D1321" s="2" t="s">
        <v>38</v>
      </c>
      <c r="E1321" s="2">
        <v>145</v>
      </c>
      <c r="F1321" s="2" t="s">
        <v>102</v>
      </c>
      <c r="G1321" s="2" t="s">
        <v>103</v>
      </c>
      <c r="H1321" s="2" t="s">
        <v>35</v>
      </c>
    </row>
    <row r="1322" spans="1:8" ht="13" hidden="1">
      <c r="A1322" s="15">
        <v>45467.93975070602</v>
      </c>
      <c r="B1322" s="16">
        <v>45462</v>
      </c>
      <c r="C1322" s="2" t="s">
        <v>247</v>
      </c>
      <c r="D1322" s="2" t="s">
        <v>39</v>
      </c>
      <c r="E1322" s="2">
        <v>3600</v>
      </c>
      <c r="F1322" s="2" t="s">
        <v>100</v>
      </c>
      <c r="H1322" s="2" t="s">
        <v>35</v>
      </c>
    </row>
    <row r="1323" spans="1:8" ht="13" hidden="1">
      <c r="A1323" s="15">
        <v>45464.466300509259</v>
      </c>
      <c r="B1323" s="16">
        <v>45463</v>
      </c>
      <c r="C1323" s="2" t="s">
        <v>116</v>
      </c>
      <c r="D1323" s="2" t="s">
        <v>38</v>
      </c>
      <c r="E1323" s="2">
        <v>1437</v>
      </c>
      <c r="F1323" s="2" t="s">
        <v>102</v>
      </c>
      <c r="G1323" s="2" t="s">
        <v>145</v>
      </c>
      <c r="H1323" s="2" t="s">
        <v>35</v>
      </c>
    </row>
    <row r="1324" spans="1:8" ht="13" hidden="1">
      <c r="A1324" s="15">
        <v>45467.940191018519</v>
      </c>
      <c r="B1324" s="16">
        <v>45463</v>
      </c>
      <c r="C1324" s="2" t="s">
        <v>630</v>
      </c>
      <c r="D1324" s="2" t="s">
        <v>45</v>
      </c>
      <c r="E1324" s="2">
        <v>5900</v>
      </c>
      <c r="F1324" s="2" t="s">
        <v>100</v>
      </c>
      <c r="H1324" s="2" t="s">
        <v>35</v>
      </c>
    </row>
    <row r="1325" spans="1:8" ht="13" hidden="1">
      <c r="A1325" s="15">
        <v>45467.94052877315</v>
      </c>
      <c r="B1325" s="16">
        <v>45463</v>
      </c>
      <c r="C1325" s="2" t="s">
        <v>24</v>
      </c>
      <c r="D1325" s="2" t="s">
        <v>49</v>
      </c>
      <c r="E1325" s="2">
        <v>1100</v>
      </c>
      <c r="F1325" s="2" t="s">
        <v>100</v>
      </c>
      <c r="H1325" s="2" t="s">
        <v>35</v>
      </c>
    </row>
    <row r="1326" spans="1:8" ht="13" hidden="1">
      <c r="A1326" s="15">
        <v>45467.940783680555</v>
      </c>
      <c r="B1326" s="16">
        <v>45463</v>
      </c>
      <c r="C1326" s="2" t="s">
        <v>350</v>
      </c>
      <c r="D1326" s="2" t="s">
        <v>40</v>
      </c>
      <c r="E1326" s="2">
        <v>1000</v>
      </c>
      <c r="F1326" s="2" t="s">
        <v>100</v>
      </c>
      <c r="H1326" s="2" t="s">
        <v>35</v>
      </c>
    </row>
    <row r="1327" spans="1:8" ht="13" hidden="1">
      <c r="A1327" s="15">
        <v>45467.933904201389</v>
      </c>
      <c r="B1327" s="16">
        <v>45464</v>
      </c>
      <c r="C1327" s="2" t="s">
        <v>631</v>
      </c>
      <c r="D1327" s="2" t="s">
        <v>39</v>
      </c>
      <c r="E1327" s="2">
        <v>3000</v>
      </c>
      <c r="F1327" s="2" t="s">
        <v>102</v>
      </c>
      <c r="H1327" s="2" t="s">
        <v>35</v>
      </c>
    </row>
    <row r="1328" spans="1:8" ht="13" hidden="1">
      <c r="A1328" s="15">
        <v>45467.934172499998</v>
      </c>
      <c r="B1328" s="16">
        <v>45464</v>
      </c>
      <c r="C1328" s="2" t="s">
        <v>631</v>
      </c>
      <c r="D1328" s="2" t="s">
        <v>39</v>
      </c>
      <c r="E1328" s="2">
        <v>3200</v>
      </c>
      <c r="F1328" s="2" t="s">
        <v>102</v>
      </c>
      <c r="H1328" s="2" t="s">
        <v>35</v>
      </c>
    </row>
    <row r="1329" spans="1:8" ht="13" hidden="1">
      <c r="A1329" s="15">
        <v>45473.74459386574</v>
      </c>
      <c r="B1329" s="16">
        <v>45464</v>
      </c>
      <c r="C1329" s="2" t="s">
        <v>632</v>
      </c>
      <c r="D1329" s="2" t="s">
        <v>40</v>
      </c>
      <c r="E1329" s="2">
        <v>12070</v>
      </c>
      <c r="F1329" s="2" t="s">
        <v>100</v>
      </c>
      <c r="H1329" s="2" t="s">
        <v>35</v>
      </c>
    </row>
    <row r="1330" spans="1:8" ht="13" hidden="1">
      <c r="A1330" s="15">
        <v>45473.744939872689</v>
      </c>
      <c r="B1330" s="16">
        <v>45464</v>
      </c>
      <c r="C1330" s="2" t="s">
        <v>633</v>
      </c>
      <c r="D1330" s="2" t="s">
        <v>40</v>
      </c>
      <c r="E1330" s="2">
        <v>11970</v>
      </c>
      <c r="F1330" s="2" t="s">
        <v>100</v>
      </c>
      <c r="H1330" s="2" t="s">
        <v>35</v>
      </c>
    </row>
    <row r="1331" spans="1:8" ht="13" hidden="1">
      <c r="A1331" s="15">
        <v>45473.745262893513</v>
      </c>
      <c r="B1331" s="16">
        <v>45464</v>
      </c>
      <c r="C1331" s="2" t="s">
        <v>240</v>
      </c>
      <c r="D1331" s="2" t="s">
        <v>42</v>
      </c>
      <c r="E1331" s="2">
        <v>330</v>
      </c>
      <c r="F1331" s="2" t="s">
        <v>100</v>
      </c>
      <c r="H1331" s="2" t="s">
        <v>35</v>
      </c>
    </row>
    <row r="1332" spans="1:8" ht="13" hidden="1">
      <c r="A1332" s="15">
        <v>45467.934545949072</v>
      </c>
      <c r="B1332" s="16">
        <v>45465</v>
      </c>
      <c r="C1332" s="2" t="s">
        <v>116</v>
      </c>
      <c r="D1332" s="2" t="s">
        <v>38</v>
      </c>
      <c r="E1332" s="2">
        <v>1078</v>
      </c>
      <c r="F1332" s="2" t="s">
        <v>102</v>
      </c>
      <c r="G1332" s="2" t="s">
        <v>145</v>
      </c>
      <c r="H1332" s="2" t="s">
        <v>35</v>
      </c>
    </row>
    <row r="1333" spans="1:8" ht="13" hidden="1">
      <c r="A1333" s="15">
        <v>45467.934887812502</v>
      </c>
      <c r="B1333" s="16">
        <v>45465</v>
      </c>
      <c r="C1333" s="2" t="s">
        <v>634</v>
      </c>
      <c r="D1333" s="2" t="s">
        <v>45</v>
      </c>
      <c r="E1333" s="2">
        <v>2835</v>
      </c>
      <c r="F1333" s="2" t="s">
        <v>102</v>
      </c>
      <c r="G1333" s="2" t="s">
        <v>285</v>
      </c>
      <c r="H1333" s="2" t="s">
        <v>35</v>
      </c>
    </row>
    <row r="1334" spans="1:8" ht="13" hidden="1">
      <c r="A1334" s="15">
        <v>45467.935215682868</v>
      </c>
      <c r="B1334" s="16">
        <v>45465</v>
      </c>
      <c r="C1334" s="2" t="s">
        <v>114</v>
      </c>
      <c r="D1334" s="2" t="s">
        <v>38</v>
      </c>
      <c r="E1334" s="2">
        <v>599</v>
      </c>
      <c r="F1334" s="2" t="s">
        <v>102</v>
      </c>
      <c r="G1334" s="2" t="s">
        <v>269</v>
      </c>
      <c r="H1334" s="2" t="s">
        <v>35</v>
      </c>
    </row>
    <row r="1335" spans="1:8" ht="13" hidden="1">
      <c r="A1335" s="15">
        <v>45467.935565219908</v>
      </c>
      <c r="B1335" s="16">
        <v>45466</v>
      </c>
      <c r="C1335" s="2" t="s">
        <v>116</v>
      </c>
      <c r="D1335" s="2" t="s">
        <v>38</v>
      </c>
      <c r="E1335" s="2">
        <v>1101</v>
      </c>
      <c r="F1335" s="2" t="s">
        <v>102</v>
      </c>
      <c r="G1335" s="2" t="s">
        <v>145</v>
      </c>
      <c r="H1335" s="2" t="s">
        <v>35</v>
      </c>
    </row>
    <row r="1336" spans="1:8" ht="13" hidden="1">
      <c r="A1336" s="15">
        <v>45467.935838437501</v>
      </c>
      <c r="B1336" s="16">
        <v>45466</v>
      </c>
      <c r="C1336" s="2" t="s">
        <v>635</v>
      </c>
      <c r="D1336" s="2" t="s">
        <v>39</v>
      </c>
      <c r="E1336" s="2">
        <v>8880</v>
      </c>
      <c r="F1336" s="2" t="s">
        <v>102</v>
      </c>
      <c r="H1336" s="2" t="s">
        <v>35</v>
      </c>
    </row>
    <row r="1337" spans="1:8" ht="13" hidden="1">
      <c r="A1337" s="15">
        <v>45467.936093263888</v>
      </c>
      <c r="B1337" s="16">
        <v>45466</v>
      </c>
      <c r="C1337" s="2" t="s">
        <v>623</v>
      </c>
      <c r="D1337" s="2" t="s">
        <v>38</v>
      </c>
      <c r="E1337" s="2">
        <v>162</v>
      </c>
      <c r="F1337" s="2" t="s">
        <v>102</v>
      </c>
      <c r="H1337" s="2" t="s">
        <v>35</v>
      </c>
    </row>
    <row r="1338" spans="1:8" ht="13" hidden="1">
      <c r="A1338" s="15">
        <v>45473.745555590278</v>
      </c>
      <c r="B1338" s="16">
        <v>45466</v>
      </c>
      <c r="C1338" s="2" t="s">
        <v>240</v>
      </c>
      <c r="D1338" s="2" t="s">
        <v>42</v>
      </c>
      <c r="E1338" s="2">
        <v>330</v>
      </c>
      <c r="F1338" s="2" t="s">
        <v>100</v>
      </c>
      <c r="H1338" s="2" t="s">
        <v>35</v>
      </c>
    </row>
    <row r="1339" spans="1:8" ht="13" hidden="1">
      <c r="A1339" s="15">
        <v>45473.745939039349</v>
      </c>
      <c r="B1339" s="16">
        <v>45466</v>
      </c>
      <c r="C1339" s="2" t="s">
        <v>350</v>
      </c>
      <c r="D1339" s="2" t="s">
        <v>40</v>
      </c>
      <c r="E1339" s="2">
        <v>1000</v>
      </c>
      <c r="F1339" s="2" t="s">
        <v>100</v>
      </c>
      <c r="H1339" s="2" t="s">
        <v>35</v>
      </c>
    </row>
    <row r="1340" spans="1:8" ht="13" hidden="1">
      <c r="A1340" s="15">
        <v>45467.936487893516</v>
      </c>
      <c r="B1340" s="16">
        <v>45467</v>
      </c>
      <c r="C1340" s="2" t="s">
        <v>106</v>
      </c>
      <c r="D1340" s="2" t="s">
        <v>38</v>
      </c>
      <c r="E1340" s="2">
        <v>900</v>
      </c>
      <c r="F1340" s="2" t="s">
        <v>102</v>
      </c>
      <c r="G1340" s="2" t="s">
        <v>194</v>
      </c>
      <c r="H1340" s="2" t="s">
        <v>35</v>
      </c>
    </row>
    <row r="1341" spans="1:8" ht="13" hidden="1">
      <c r="A1341" s="15">
        <v>45467.93682427083</v>
      </c>
      <c r="B1341" s="16">
        <v>45467</v>
      </c>
      <c r="C1341" s="2" t="s">
        <v>243</v>
      </c>
      <c r="D1341" s="2" t="s">
        <v>45</v>
      </c>
      <c r="E1341" s="2">
        <v>437</v>
      </c>
      <c r="F1341" s="2" t="s">
        <v>102</v>
      </c>
      <c r="G1341" s="2" t="s">
        <v>285</v>
      </c>
      <c r="H1341" s="2" t="s">
        <v>35</v>
      </c>
    </row>
    <row r="1342" spans="1:8" ht="13" hidden="1">
      <c r="A1342" s="15">
        <v>45467.937145219912</v>
      </c>
      <c r="B1342" s="16">
        <v>45467</v>
      </c>
      <c r="C1342" s="2" t="s">
        <v>636</v>
      </c>
      <c r="D1342" s="2" t="s">
        <v>39</v>
      </c>
      <c r="E1342" s="2">
        <v>4300</v>
      </c>
      <c r="F1342" s="2" t="s">
        <v>102</v>
      </c>
      <c r="H1342" s="2" t="s">
        <v>35</v>
      </c>
    </row>
    <row r="1343" spans="1:8" ht="13" hidden="1">
      <c r="A1343" s="15">
        <v>45464.469240706021</v>
      </c>
      <c r="B1343" s="16">
        <v>45468</v>
      </c>
      <c r="C1343" s="2" t="s">
        <v>637</v>
      </c>
      <c r="E1343" s="2">
        <v>356320</v>
      </c>
      <c r="H1343" s="2" t="s">
        <v>34</v>
      </c>
    </row>
    <row r="1344" spans="1:8" ht="13" hidden="1">
      <c r="A1344" s="15">
        <v>45471.579338020834</v>
      </c>
      <c r="B1344" s="16">
        <v>45468</v>
      </c>
      <c r="C1344" s="2" t="s">
        <v>638</v>
      </c>
      <c r="D1344" s="2" t="s">
        <v>44</v>
      </c>
      <c r="E1344" s="2">
        <v>1990</v>
      </c>
      <c r="F1344" s="2" t="s">
        <v>102</v>
      </c>
      <c r="G1344" s="2" t="s">
        <v>132</v>
      </c>
      <c r="H1344" s="2" t="s">
        <v>35</v>
      </c>
    </row>
    <row r="1345" spans="1:8" ht="13" hidden="1">
      <c r="A1345" s="15">
        <v>45459.712653472219</v>
      </c>
      <c r="B1345" s="16">
        <v>45469</v>
      </c>
      <c r="C1345" s="2" t="s">
        <v>146</v>
      </c>
      <c r="D1345" s="2" t="s">
        <v>47</v>
      </c>
      <c r="E1345" s="2">
        <v>3400</v>
      </c>
      <c r="F1345" s="2" t="s">
        <v>102</v>
      </c>
      <c r="H1345" s="2" t="s">
        <v>35</v>
      </c>
    </row>
    <row r="1346" spans="1:8" ht="13" hidden="1">
      <c r="A1346" s="15">
        <v>45471.577382476855</v>
      </c>
      <c r="B1346" s="16">
        <v>45469</v>
      </c>
      <c r="C1346" s="2" t="s">
        <v>639</v>
      </c>
      <c r="D1346" s="2" t="s">
        <v>39</v>
      </c>
      <c r="E1346" s="2">
        <v>6336</v>
      </c>
      <c r="F1346" s="2" t="s">
        <v>102</v>
      </c>
      <c r="G1346" s="2" t="s">
        <v>640</v>
      </c>
      <c r="H1346" s="2" t="s">
        <v>35</v>
      </c>
    </row>
    <row r="1347" spans="1:8" ht="13" hidden="1">
      <c r="A1347" s="15">
        <v>45471.577593611109</v>
      </c>
      <c r="B1347" s="16">
        <v>45469</v>
      </c>
      <c r="C1347" s="2" t="s">
        <v>641</v>
      </c>
      <c r="E1347" s="2">
        <v>3000</v>
      </c>
      <c r="H1347" s="2" t="s">
        <v>34</v>
      </c>
    </row>
    <row r="1348" spans="1:8" ht="13" hidden="1">
      <c r="A1348" s="15">
        <v>45473.746385636579</v>
      </c>
      <c r="B1348" s="16">
        <v>45469</v>
      </c>
      <c r="C1348" s="2" t="s">
        <v>350</v>
      </c>
      <c r="D1348" s="2" t="s">
        <v>40</v>
      </c>
      <c r="E1348" s="2">
        <v>1000</v>
      </c>
      <c r="F1348" s="2" t="s">
        <v>100</v>
      </c>
      <c r="H1348" s="2" t="s">
        <v>35</v>
      </c>
    </row>
    <row r="1349" spans="1:8" ht="13" hidden="1">
      <c r="A1349" s="15">
        <v>45459.711737175923</v>
      </c>
      <c r="B1349" s="16">
        <v>45470</v>
      </c>
      <c r="C1349" s="2" t="s">
        <v>138</v>
      </c>
      <c r="D1349" s="2" t="s">
        <v>5</v>
      </c>
      <c r="E1349" s="2">
        <v>93000</v>
      </c>
      <c r="F1349" s="2" t="s">
        <v>102</v>
      </c>
      <c r="H1349" s="2" t="s">
        <v>35</v>
      </c>
    </row>
    <row r="1350" spans="1:8" ht="13" hidden="1">
      <c r="A1350" s="15">
        <v>45459.712260925924</v>
      </c>
      <c r="B1350" s="16">
        <v>45470</v>
      </c>
      <c r="C1350" s="2" t="s">
        <v>9</v>
      </c>
      <c r="D1350" s="2" t="s">
        <v>47</v>
      </c>
      <c r="E1350" s="2">
        <v>13600</v>
      </c>
      <c r="F1350" s="2" t="s">
        <v>102</v>
      </c>
      <c r="H1350" s="2" t="s">
        <v>35</v>
      </c>
    </row>
    <row r="1351" spans="1:8" ht="13" hidden="1">
      <c r="A1351" s="15">
        <v>45459.712935023148</v>
      </c>
      <c r="B1351" s="16">
        <v>45470</v>
      </c>
      <c r="C1351" s="2" t="s">
        <v>11</v>
      </c>
      <c r="D1351" s="2" t="s">
        <v>47</v>
      </c>
      <c r="E1351" s="2">
        <v>30000</v>
      </c>
      <c r="F1351" s="2" t="s">
        <v>102</v>
      </c>
      <c r="H1351" s="2" t="s">
        <v>35</v>
      </c>
    </row>
    <row r="1352" spans="1:8" ht="13" hidden="1">
      <c r="A1352" s="15">
        <v>45459.713242280093</v>
      </c>
      <c r="B1352" s="16">
        <v>45470</v>
      </c>
      <c r="C1352" s="2" t="s">
        <v>133</v>
      </c>
      <c r="D1352" s="2" t="s">
        <v>47</v>
      </c>
      <c r="E1352" s="2">
        <v>20000</v>
      </c>
      <c r="F1352" s="2" t="s">
        <v>102</v>
      </c>
      <c r="H1352" s="2" t="s">
        <v>35</v>
      </c>
    </row>
    <row r="1353" spans="1:8" ht="13" hidden="1">
      <c r="A1353" s="15">
        <v>45459.713456481477</v>
      </c>
      <c r="B1353" s="16">
        <v>45470</v>
      </c>
      <c r="C1353" s="2" t="s">
        <v>17</v>
      </c>
      <c r="D1353" s="2" t="s">
        <v>45</v>
      </c>
      <c r="E1353" s="2">
        <v>8470</v>
      </c>
      <c r="F1353" s="2" t="s">
        <v>102</v>
      </c>
      <c r="H1353" s="2" t="s">
        <v>35</v>
      </c>
    </row>
    <row r="1354" spans="1:8" ht="13" hidden="1">
      <c r="A1354" s="15">
        <v>45459.71369819445</v>
      </c>
      <c r="B1354" s="16">
        <v>45470</v>
      </c>
      <c r="C1354" s="2" t="s">
        <v>408</v>
      </c>
      <c r="D1354" s="2" t="s">
        <v>152</v>
      </c>
      <c r="E1354" s="2">
        <v>10000</v>
      </c>
      <c r="F1354" s="2" t="s">
        <v>102</v>
      </c>
      <c r="H1354" s="2" t="s">
        <v>35</v>
      </c>
    </row>
    <row r="1355" spans="1:8" ht="13" hidden="1">
      <c r="A1355" s="15">
        <v>45473.744229641205</v>
      </c>
      <c r="B1355" s="16">
        <v>45463</v>
      </c>
      <c r="C1355" s="2" t="s">
        <v>105</v>
      </c>
      <c r="D1355" s="2" t="s">
        <v>40</v>
      </c>
      <c r="E1355" s="2">
        <v>2200</v>
      </c>
      <c r="F1355" s="2" t="s">
        <v>100</v>
      </c>
      <c r="H1355" s="2" t="s">
        <v>35</v>
      </c>
    </row>
    <row r="1356" spans="1:8" ht="13" hidden="1">
      <c r="A1356" s="15">
        <v>45471.579599340279</v>
      </c>
      <c r="B1356" s="16">
        <v>45470</v>
      </c>
      <c r="C1356" s="2" t="s">
        <v>112</v>
      </c>
      <c r="D1356" s="2" t="s">
        <v>38</v>
      </c>
      <c r="E1356" s="2">
        <v>160</v>
      </c>
      <c r="F1356" s="2" t="s">
        <v>102</v>
      </c>
      <c r="G1356" s="2" t="s">
        <v>103</v>
      </c>
      <c r="H1356" s="2" t="s">
        <v>35</v>
      </c>
    </row>
    <row r="1357" spans="1:8" ht="13" hidden="1">
      <c r="A1357" s="15">
        <v>45473.746736180554</v>
      </c>
      <c r="B1357" s="16">
        <v>45470</v>
      </c>
      <c r="C1357" s="2" t="s">
        <v>368</v>
      </c>
      <c r="D1357" s="2" t="s">
        <v>39</v>
      </c>
      <c r="E1357" s="2">
        <v>1180</v>
      </c>
      <c r="F1357" s="2" t="s">
        <v>100</v>
      </c>
      <c r="H1357" s="2" t="s">
        <v>35</v>
      </c>
    </row>
    <row r="1358" spans="1:8" ht="13" hidden="1">
      <c r="A1358" s="15">
        <v>45473.741939826388</v>
      </c>
      <c r="B1358" s="16">
        <v>45471</v>
      </c>
      <c r="C1358" s="2" t="s">
        <v>642</v>
      </c>
      <c r="D1358" s="2" t="s">
        <v>39</v>
      </c>
      <c r="E1358" s="2">
        <v>7500</v>
      </c>
      <c r="F1358" s="2" t="s">
        <v>102</v>
      </c>
      <c r="H1358" s="2" t="s">
        <v>35</v>
      </c>
    </row>
    <row r="1359" spans="1:8" ht="13" hidden="1">
      <c r="A1359" s="15">
        <v>45473.742269618058</v>
      </c>
      <c r="B1359" s="16">
        <v>45471</v>
      </c>
      <c r="C1359" s="2" t="s">
        <v>643</v>
      </c>
      <c r="E1359" s="2">
        <v>3000</v>
      </c>
      <c r="H1359" s="2" t="s">
        <v>34</v>
      </c>
    </row>
    <row r="1360" spans="1:8" ht="13" hidden="1">
      <c r="A1360" s="15">
        <v>45473.742485960647</v>
      </c>
      <c r="B1360" s="16">
        <v>45471</v>
      </c>
      <c r="C1360" s="2" t="s">
        <v>642</v>
      </c>
      <c r="D1360" s="2" t="s">
        <v>39</v>
      </c>
      <c r="E1360" s="2">
        <v>1500</v>
      </c>
      <c r="F1360" s="2" t="s">
        <v>102</v>
      </c>
      <c r="H1360" s="2" t="s">
        <v>35</v>
      </c>
    </row>
    <row r="1361" spans="1:8" ht="13" hidden="1">
      <c r="A1361" s="15">
        <v>45481.849163726853</v>
      </c>
      <c r="B1361" s="16">
        <v>45471</v>
      </c>
      <c r="C1361" s="2" t="s">
        <v>105</v>
      </c>
      <c r="D1361" s="2" t="s">
        <v>40</v>
      </c>
      <c r="E1361" s="2">
        <v>1900</v>
      </c>
      <c r="F1361" s="2" t="s">
        <v>100</v>
      </c>
      <c r="H1361" s="2" t="s">
        <v>35</v>
      </c>
    </row>
    <row r="1362" spans="1:8" ht="13" hidden="1">
      <c r="A1362" s="15">
        <v>45481.849470983798</v>
      </c>
      <c r="B1362" s="16">
        <v>45471</v>
      </c>
      <c r="C1362" s="2" t="s">
        <v>350</v>
      </c>
      <c r="D1362" s="2" t="s">
        <v>40</v>
      </c>
      <c r="E1362" s="2">
        <v>1000</v>
      </c>
      <c r="F1362" s="2" t="s">
        <v>100</v>
      </c>
      <c r="H1362" s="2" t="s">
        <v>35</v>
      </c>
    </row>
    <row r="1363" spans="1:8" ht="13" hidden="1">
      <c r="A1363" s="15">
        <v>45481.850016516204</v>
      </c>
      <c r="B1363" s="16">
        <v>45471</v>
      </c>
      <c r="C1363" s="2" t="s">
        <v>158</v>
      </c>
      <c r="D1363" s="2" t="s">
        <v>49</v>
      </c>
      <c r="E1363" s="2">
        <v>4980</v>
      </c>
      <c r="F1363" s="2" t="s">
        <v>100</v>
      </c>
      <c r="H1363" s="2" t="s">
        <v>35</v>
      </c>
    </row>
    <row r="1364" spans="1:8" ht="13" hidden="1">
      <c r="A1364" s="15">
        <v>45481.850323217594</v>
      </c>
      <c r="B1364" s="16">
        <v>45471</v>
      </c>
      <c r="C1364" s="2" t="s">
        <v>240</v>
      </c>
      <c r="D1364" s="2" t="s">
        <v>42</v>
      </c>
      <c r="E1364" s="2">
        <v>990</v>
      </c>
      <c r="F1364" s="2" t="s">
        <v>100</v>
      </c>
      <c r="H1364" s="2" t="s">
        <v>35</v>
      </c>
    </row>
    <row r="1365" spans="1:8" ht="13" hidden="1">
      <c r="A1365" s="15">
        <v>45473.742913564813</v>
      </c>
      <c r="B1365" s="16">
        <v>45472</v>
      </c>
      <c r="C1365" s="2" t="s">
        <v>116</v>
      </c>
      <c r="D1365" s="2" t="s">
        <v>38</v>
      </c>
      <c r="E1365" s="2">
        <v>2628</v>
      </c>
      <c r="F1365" s="2" t="s">
        <v>102</v>
      </c>
      <c r="G1365" s="2" t="s">
        <v>145</v>
      </c>
      <c r="H1365" s="2" t="s">
        <v>35</v>
      </c>
    </row>
    <row r="1366" spans="1:8" ht="13" hidden="1">
      <c r="A1366" s="15">
        <v>45473.74322585648</v>
      </c>
      <c r="B1366" s="16">
        <v>45473</v>
      </c>
      <c r="C1366" s="2" t="s">
        <v>287</v>
      </c>
      <c r="D1366" s="2" t="s">
        <v>38</v>
      </c>
      <c r="E1366" s="2">
        <v>400</v>
      </c>
      <c r="F1366" s="2" t="s">
        <v>102</v>
      </c>
      <c r="G1366" s="2" t="s">
        <v>199</v>
      </c>
      <c r="H1366" s="2" t="s">
        <v>35</v>
      </c>
    </row>
    <row r="1367" spans="1:8" ht="13" hidden="1">
      <c r="A1367" s="15">
        <v>45481.850588333335</v>
      </c>
      <c r="B1367" s="16">
        <v>45473</v>
      </c>
      <c r="C1367" s="2" t="s">
        <v>204</v>
      </c>
      <c r="D1367" s="2" t="s">
        <v>45</v>
      </c>
      <c r="E1367" s="2">
        <v>5500</v>
      </c>
      <c r="F1367" s="2" t="s">
        <v>100</v>
      </c>
      <c r="H1367" s="2" t="s">
        <v>35</v>
      </c>
    </row>
    <row r="1368" spans="1:8" ht="13" hidden="1">
      <c r="A1368" s="15">
        <v>45481.851016620371</v>
      </c>
      <c r="B1368" s="16">
        <v>45473</v>
      </c>
      <c r="C1368" s="2" t="s">
        <v>644</v>
      </c>
      <c r="D1368" s="2" t="s">
        <v>39</v>
      </c>
      <c r="E1368" s="2">
        <v>407</v>
      </c>
      <c r="F1368" s="2" t="s">
        <v>100</v>
      </c>
      <c r="G1368" s="2" t="s">
        <v>129</v>
      </c>
      <c r="H1368" s="2" t="s">
        <v>35</v>
      </c>
    </row>
    <row r="1369" spans="1:8" ht="13" hidden="1">
      <c r="A1369" s="15">
        <v>45481.851417858794</v>
      </c>
      <c r="B1369" s="16">
        <v>45473</v>
      </c>
      <c r="C1369" s="2" t="s">
        <v>645</v>
      </c>
      <c r="D1369" s="2" t="s">
        <v>39</v>
      </c>
      <c r="E1369" s="2">
        <v>1100</v>
      </c>
      <c r="F1369" s="2" t="s">
        <v>100</v>
      </c>
      <c r="H1369" s="2" t="s">
        <v>35</v>
      </c>
    </row>
    <row r="1370" spans="1:8" ht="13" hidden="1">
      <c r="A1370" s="15">
        <v>45481.842877662042</v>
      </c>
      <c r="B1370" s="16">
        <v>45474</v>
      </c>
      <c r="C1370" s="2" t="s">
        <v>540</v>
      </c>
      <c r="D1370" s="2" t="s">
        <v>39</v>
      </c>
      <c r="E1370" s="2">
        <v>990</v>
      </c>
      <c r="F1370" s="2" t="s">
        <v>102</v>
      </c>
      <c r="G1370" s="2" t="s">
        <v>646</v>
      </c>
      <c r="H1370" s="2" t="s">
        <v>35</v>
      </c>
    </row>
    <row r="1371" spans="1:8" ht="13" hidden="1">
      <c r="A1371" s="15">
        <v>45481.845268900463</v>
      </c>
      <c r="B1371" s="16">
        <v>45474</v>
      </c>
      <c r="C1371" s="2" t="s">
        <v>647</v>
      </c>
      <c r="D1371" s="2" t="s">
        <v>152</v>
      </c>
      <c r="E1371" s="2">
        <v>6000</v>
      </c>
      <c r="F1371" s="2" t="s">
        <v>102</v>
      </c>
      <c r="H1371" s="2" t="s">
        <v>35</v>
      </c>
    </row>
    <row r="1372" spans="1:8" ht="13" hidden="1">
      <c r="A1372" s="15">
        <v>45481.85168206018</v>
      </c>
      <c r="B1372" s="16">
        <v>45474</v>
      </c>
      <c r="C1372" s="2" t="s">
        <v>248</v>
      </c>
      <c r="D1372" s="2" t="s">
        <v>49</v>
      </c>
      <c r="E1372" s="2">
        <v>700</v>
      </c>
      <c r="F1372" s="2" t="s">
        <v>100</v>
      </c>
      <c r="G1372" s="2" t="s">
        <v>179</v>
      </c>
      <c r="H1372" s="2" t="s">
        <v>35</v>
      </c>
    </row>
    <row r="1373" spans="1:8" ht="13" hidden="1">
      <c r="A1373" s="15">
        <v>45481.851978379629</v>
      </c>
      <c r="B1373" s="16">
        <v>45474</v>
      </c>
      <c r="C1373" s="2" t="s">
        <v>10</v>
      </c>
      <c r="D1373" s="2" t="s">
        <v>45</v>
      </c>
      <c r="E1373" s="2">
        <v>280</v>
      </c>
      <c r="F1373" s="2" t="s">
        <v>100</v>
      </c>
      <c r="H1373" s="2" t="s">
        <v>35</v>
      </c>
    </row>
    <row r="1374" spans="1:8" ht="13" hidden="1">
      <c r="A1374" s="15">
        <v>45481.843239293987</v>
      </c>
      <c r="B1374" s="16">
        <v>45475</v>
      </c>
      <c r="C1374" s="2" t="s">
        <v>112</v>
      </c>
      <c r="D1374" s="2" t="s">
        <v>38</v>
      </c>
      <c r="E1374" s="2">
        <v>160</v>
      </c>
      <c r="F1374" s="2" t="s">
        <v>102</v>
      </c>
      <c r="G1374" s="2" t="s">
        <v>103</v>
      </c>
      <c r="H1374" s="2" t="s">
        <v>35</v>
      </c>
    </row>
    <row r="1375" spans="1:8" ht="13" hidden="1">
      <c r="A1375" s="15">
        <v>45481.843645474539</v>
      </c>
      <c r="B1375" s="16">
        <v>45475</v>
      </c>
      <c r="C1375" s="2" t="s">
        <v>190</v>
      </c>
      <c r="D1375" s="2" t="s">
        <v>38</v>
      </c>
      <c r="E1375" s="2">
        <v>970</v>
      </c>
      <c r="F1375" s="2" t="s">
        <v>102</v>
      </c>
      <c r="G1375" s="2" t="s">
        <v>191</v>
      </c>
      <c r="H1375" s="2" t="s">
        <v>35</v>
      </c>
    </row>
    <row r="1376" spans="1:8" ht="13" hidden="1">
      <c r="A1376" s="15">
        <v>45481.844308472224</v>
      </c>
      <c r="B1376" s="16">
        <v>45475</v>
      </c>
      <c r="C1376" s="2" t="s">
        <v>648</v>
      </c>
      <c r="D1376" s="2" t="s">
        <v>45</v>
      </c>
      <c r="E1376" s="2">
        <v>865</v>
      </c>
      <c r="F1376" s="2" t="s">
        <v>102</v>
      </c>
      <c r="G1376" s="2" t="s">
        <v>285</v>
      </c>
      <c r="H1376" s="2" t="s">
        <v>35</v>
      </c>
    </row>
    <row r="1377" spans="1:8" ht="13" hidden="1">
      <c r="A1377" s="15">
        <v>45481.852287349539</v>
      </c>
      <c r="B1377" s="16">
        <v>45475</v>
      </c>
      <c r="C1377" s="2" t="s">
        <v>526</v>
      </c>
      <c r="D1377" s="2" t="s">
        <v>40</v>
      </c>
      <c r="E1377" s="2">
        <v>1000</v>
      </c>
      <c r="F1377" s="2" t="s">
        <v>100</v>
      </c>
      <c r="H1377" s="2" t="s">
        <v>35</v>
      </c>
    </row>
    <row r="1378" spans="1:8" ht="13" hidden="1">
      <c r="A1378" s="15">
        <v>45481.844678668982</v>
      </c>
      <c r="B1378" s="16">
        <v>45476</v>
      </c>
      <c r="C1378" s="2" t="s">
        <v>236</v>
      </c>
      <c r="D1378" s="2" t="s">
        <v>45</v>
      </c>
      <c r="E1378" s="2">
        <v>382</v>
      </c>
      <c r="F1378" s="2" t="s">
        <v>102</v>
      </c>
      <c r="G1378" s="2" t="s">
        <v>285</v>
      </c>
      <c r="H1378" s="2" t="s">
        <v>35</v>
      </c>
    </row>
    <row r="1379" spans="1:8" ht="13" hidden="1">
      <c r="A1379" s="15">
        <v>45481.844955381945</v>
      </c>
      <c r="B1379" s="16">
        <v>45477</v>
      </c>
      <c r="C1379" s="2" t="s">
        <v>112</v>
      </c>
      <c r="D1379" s="2" t="s">
        <v>38</v>
      </c>
      <c r="E1379" s="2">
        <v>160</v>
      </c>
      <c r="F1379" s="2" t="s">
        <v>102</v>
      </c>
      <c r="G1379" s="2" t="s">
        <v>103</v>
      </c>
      <c r="H1379" s="2" t="s">
        <v>35</v>
      </c>
    </row>
    <row r="1380" spans="1:8" ht="13" hidden="1">
      <c r="A1380" s="15">
        <v>45481.847147199078</v>
      </c>
      <c r="B1380" s="16">
        <v>45477</v>
      </c>
      <c r="C1380" s="2" t="s">
        <v>106</v>
      </c>
      <c r="D1380" s="2" t="s">
        <v>38</v>
      </c>
      <c r="E1380" s="2">
        <v>1100</v>
      </c>
      <c r="F1380" s="2" t="s">
        <v>102</v>
      </c>
      <c r="G1380" s="2" t="s">
        <v>256</v>
      </c>
      <c r="H1380" s="2" t="s">
        <v>35</v>
      </c>
    </row>
    <row r="1381" spans="1:8" ht="13" hidden="1">
      <c r="A1381" s="15">
        <v>45481.852724548611</v>
      </c>
      <c r="B1381" s="16">
        <v>45477</v>
      </c>
      <c r="C1381" s="2" t="s">
        <v>258</v>
      </c>
      <c r="E1381" s="2">
        <v>4980</v>
      </c>
      <c r="H1381" s="2" t="s">
        <v>34</v>
      </c>
    </row>
    <row r="1382" spans="1:8" ht="13" hidden="1">
      <c r="A1382" s="15">
        <v>45481.845510254629</v>
      </c>
      <c r="B1382" s="16">
        <v>45478</v>
      </c>
      <c r="C1382" s="2" t="s">
        <v>649</v>
      </c>
      <c r="D1382" s="2" t="s">
        <v>39</v>
      </c>
      <c r="E1382" s="2">
        <v>2700</v>
      </c>
      <c r="F1382" s="2" t="s">
        <v>102</v>
      </c>
      <c r="H1382" s="2" t="s">
        <v>35</v>
      </c>
    </row>
    <row r="1383" spans="1:8" ht="13" hidden="1">
      <c r="A1383" s="15">
        <v>45488.802723796296</v>
      </c>
      <c r="B1383" s="16">
        <v>45478</v>
      </c>
      <c r="C1383" s="2" t="s">
        <v>105</v>
      </c>
      <c r="D1383" s="2" t="s">
        <v>40</v>
      </c>
      <c r="E1383" s="2">
        <v>1800</v>
      </c>
      <c r="F1383" s="2" t="s">
        <v>100</v>
      </c>
      <c r="H1383" s="2" t="s">
        <v>35</v>
      </c>
    </row>
    <row r="1384" spans="1:8" ht="13" hidden="1">
      <c r="A1384" s="15">
        <v>45488.803097013893</v>
      </c>
      <c r="B1384" s="16">
        <v>45478</v>
      </c>
      <c r="C1384" s="2" t="s">
        <v>350</v>
      </c>
      <c r="D1384" s="2" t="s">
        <v>40</v>
      </c>
      <c r="E1384" s="2">
        <v>1000</v>
      </c>
      <c r="F1384" s="2" t="s">
        <v>100</v>
      </c>
      <c r="H1384" s="2" t="s">
        <v>35</v>
      </c>
    </row>
    <row r="1385" spans="1:8" ht="13" hidden="1">
      <c r="A1385" s="15">
        <v>45481.845823715281</v>
      </c>
      <c r="B1385" s="16">
        <v>45479</v>
      </c>
      <c r="C1385" s="2" t="s">
        <v>241</v>
      </c>
      <c r="D1385" s="2" t="s">
        <v>38</v>
      </c>
      <c r="E1385" s="2">
        <v>150</v>
      </c>
      <c r="F1385" s="2" t="s">
        <v>102</v>
      </c>
      <c r="G1385" s="2" t="s">
        <v>356</v>
      </c>
      <c r="H1385" s="2" t="s">
        <v>35</v>
      </c>
    </row>
    <row r="1386" spans="1:8" ht="13" hidden="1">
      <c r="A1386" s="15">
        <v>45481.846117395835</v>
      </c>
      <c r="B1386" s="16">
        <v>45479</v>
      </c>
      <c r="C1386" s="2" t="s">
        <v>650</v>
      </c>
      <c r="D1386" s="2" t="s">
        <v>38</v>
      </c>
      <c r="E1386" s="2">
        <v>1400</v>
      </c>
      <c r="F1386" s="2" t="s">
        <v>102</v>
      </c>
      <c r="H1386" s="2" t="s">
        <v>35</v>
      </c>
    </row>
    <row r="1387" spans="1:8" ht="13" hidden="1">
      <c r="A1387" s="15">
        <v>45481.846373020831</v>
      </c>
      <c r="B1387" s="16">
        <v>45479</v>
      </c>
      <c r="C1387" s="2" t="s">
        <v>287</v>
      </c>
      <c r="D1387" s="2" t="s">
        <v>38</v>
      </c>
      <c r="E1387" s="2">
        <v>630</v>
      </c>
      <c r="F1387" s="2" t="s">
        <v>102</v>
      </c>
      <c r="G1387" s="2" t="s">
        <v>199</v>
      </c>
      <c r="H1387" s="2" t="s">
        <v>35</v>
      </c>
    </row>
    <row r="1388" spans="1:8" ht="13" hidden="1">
      <c r="A1388" s="15">
        <v>45481.846685219905</v>
      </c>
      <c r="B1388" s="16">
        <v>45479</v>
      </c>
      <c r="C1388" s="2" t="s">
        <v>651</v>
      </c>
      <c r="D1388" s="2" t="s">
        <v>39</v>
      </c>
      <c r="E1388" s="2">
        <v>3000</v>
      </c>
      <c r="F1388" s="2" t="s">
        <v>102</v>
      </c>
      <c r="H1388" s="2" t="s">
        <v>35</v>
      </c>
    </row>
    <row r="1389" spans="1:8" ht="13" hidden="1">
      <c r="A1389" s="15">
        <v>45488.803934178242</v>
      </c>
      <c r="B1389" s="16">
        <v>45479</v>
      </c>
      <c r="C1389" s="2" t="s">
        <v>240</v>
      </c>
      <c r="D1389" s="2" t="s">
        <v>42</v>
      </c>
      <c r="E1389" s="2">
        <v>990</v>
      </c>
      <c r="F1389" s="2" t="s">
        <v>100</v>
      </c>
      <c r="H1389" s="2" t="s">
        <v>35</v>
      </c>
    </row>
    <row r="1390" spans="1:8" ht="13" hidden="1">
      <c r="A1390" s="15">
        <v>45488.804296898146</v>
      </c>
      <c r="B1390" s="16">
        <v>45479</v>
      </c>
      <c r="C1390" s="2" t="s">
        <v>116</v>
      </c>
      <c r="D1390" s="2" t="s">
        <v>38</v>
      </c>
      <c r="E1390" s="2">
        <v>893</v>
      </c>
      <c r="F1390" s="2" t="s">
        <v>100</v>
      </c>
      <c r="G1390" s="2" t="s">
        <v>652</v>
      </c>
      <c r="H1390" s="2" t="s">
        <v>35</v>
      </c>
    </row>
    <row r="1391" spans="1:8" ht="13" hidden="1">
      <c r="A1391" s="15">
        <v>45481.847652280092</v>
      </c>
      <c r="B1391" s="16">
        <v>45480</v>
      </c>
      <c r="C1391" s="2" t="s">
        <v>653</v>
      </c>
      <c r="D1391" s="2" t="s">
        <v>39</v>
      </c>
      <c r="E1391" s="2">
        <v>4300</v>
      </c>
      <c r="F1391" s="2" t="s">
        <v>102</v>
      </c>
      <c r="H1391" s="2" t="s">
        <v>35</v>
      </c>
    </row>
    <row r="1392" spans="1:8" ht="13" hidden="1">
      <c r="A1392" s="15">
        <v>45488.804760648149</v>
      </c>
      <c r="B1392" s="16">
        <v>45480</v>
      </c>
      <c r="C1392" s="2" t="s">
        <v>116</v>
      </c>
      <c r="D1392" s="2" t="s">
        <v>38</v>
      </c>
      <c r="E1392" s="2">
        <v>1025</v>
      </c>
      <c r="F1392" s="2" t="s">
        <v>100</v>
      </c>
      <c r="G1392" s="2" t="s">
        <v>652</v>
      </c>
      <c r="H1392" s="2" t="s">
        <v>35</v>
      </c>
    </row>
    <row r="1393" spans="1:8" ht="13" hidden="1">
      <c r="A1393" s="15">
        <v>45488.805241562499</v>
      </c>
      <c r="B1393" s="16">
        <v>45480</v>
      </c>
      <c r="C1393" s="2" t="s">
        <v>350</v>
      </c>
      <c r="D1393" s="2" t="s">
        <v>40</v>
      </c>
      <c r="E1393" s="2">
        <v>1000</v>
      </c>
      <c r="F1393" s="2" t="s">
        <v>100</v>
      </c>
      <c r="H1393" s="2" t="s">
        <v>35</v>
      </c>
    </row>
    <row r="1394" spans="1:8" ht="13" hidden="1">
      <c r="A1394" s="15">
        <v>45488.805638321763</v>
      </c>
      <c r="B1394" s="16">
        <v>45481</v>
      </c>
      <c r="C1394" s="2" t="s">
        <v>12</v>
      </c>
      <c r="D1394" s="2" t="s">
        <v>39</v>
      </c>
      <c r="E1394" s="2">
        <v>1320</v>
      </c>
      <c r="F1394" s="2" t="s">
        <v>100</v>
      </c>
      <c r="H1394" s="2" t="s">
        <v>35</v>
      </c>
    </row>
    <row r="1395" spans="1:8" ht="13" hidden="1">
      <c r="A1395" s="15">
        <v>45488.805906134265</v>
      </c>
      <c r="B1395" s="16">
        <v>45481</v>
      </c>
      <c r="C1395" s="2" t="s">
        <v>654</v>
      </c>
      <c r="D1395" s="2" t="s">
        <v>48</v>
      </c>
      <c r="E1395" s="2">
        <v>130</v>
      </c>
      <c r="F1395" s="2" t="s">
        <v>100</v>
      </c>
      <c r="H1395" s="2" t="s">
        <v>35</v>
      </c>
    </row>
    <row r="1396" spans="1:8" ht="13" hidden="1">
      <c r="A1396" s="15">
        <v>45488.795699097223</v>
      </c>
      <c r="B1396" s="16">
        <v>45482</v>
      </c>
      <c r="C1396" s="2" t="s">
        <v>205</v>
      </c>
      <c r="D1396" s="2" t="s">
        <v>45</v>
      </c>
      <c r="E1396" s="2">
        <v>220</v>
      </c>
      <c r="F1396" s="2" t="s">
        <v>102</v>
      </c>
      <c r="G1396" s="2" t="s">
        <v>136</v>
      </c>
      <c r="H1396" s="2" t="s">
        <v>35</v>
      </c>
    </row>
    <row r="1397" spans="1:8" ht="13" hidden="1">
      <c r="A1397" s="15">
        <v>45488.806283587968</v>
      </c>
      <c r="B1397" s="16">
        <v>45482</v>
      </c>
      <c r="C1397" s="2" t="s">
        <v>574</v>
      </c>
      <c r="D1397" s="2" t="s">
        <v>48</v>
      </c>
      <c r="E1397" s="2">
        <v>880</v>
      </c>
      <c r="F1397" s="2" t="s">
        <v>100</v>
      </c>
      <c r="H1397" s="2" t="s">
        <v>35</v>
      </c>
    </row>
    <row r="1398" spans="1:8" ht="13" hidden="1">
      <c r="A1398" s="15">
        <v>45488.806664317133</v>
      </c>
      <c r="B1398" s="16">
        <v>45482</v>
      </c>
      <c r="C1398" s="2" t="s">
        <v>116</v>
      </c>
      <c r="D1398" s="2" t="s">
        <v>38</v>
      </c>
      <c r="E1398" s="2">
        <v>565</v>
      </c>
      <c r="F1398" s="2" t="s">
        <v>100</v>
      </c>
      <c r="G1398" s="2" t="s">
        <v>652</v>
      </c>
      <c r="H1398" s="2" t="s">
        <v>35</v>
      </c>
    </row>
    <row r="1399" spans="1:8" ht="13" hidden="1">
      <c r="A1399" s="15">
        <v>45488.796261886571</v>
      </c>
      <c r="B1399" s="16">
        <v>45483</v>
      </c>
      <c r="C1399" s="2" t="s">
        <v>241</v>
      </c>
      <c r="D1399" s="2" t="s">
        <v>38</v>
      </c>
      <c r="E1399" s="2">
        <v>138</v>
      </c>
      <c r="F1399" s="2" t="s">
        <v>102</v>
      </c>
      <c r="G1399" s="2" t="s">
        <v>356</v>
      </c>
      <c r="H1399" s="2" t="s">
        <v>35</v>
      </c>
    </row>
    <row r="1400" spans="1:8" ht="13" hidden="1">
      <c r="A1400" s="15">
        <v>45488.807116875003</v>
      </c>
      <c r="B1400" s="16">
        <v>45483</v>
      </c>
      <c r="C1400" s="2" t="s">
        <v>350</v>
      </c>
      <c r="D1400" s="2" t="s">
        <v>40</v>
      </c>
      <c r="E1400" s="2">
        <v>1000</v>
      </c>
      <c r="F1400" s="2" t="s">
        <v>100</v>
      </c>
      <c r="H1400" s="2" t="s">
        <v>35</v>
      </c>
    </row>
    <row r="1401" spans="1:8" ht="13" hidden="1">
      <c r="A1401" s="15">
        <v>45488.807570277779</v>
      </c>
      <c r="B1401" s="16">
        <v>45483</v>
      </c>
      <c r="C1401" s="2" t="s">
        <v>240</v>
      </c>
      <c r="D1401" s="2" t="s">
        <v>42</v>
      </c>
      <c r="E1401" s="2">
        <v>242</v>
      </c>
      <c r="F1401" s="2" t="s">
        <v>100</v>
      </c>
      <c r="H1401" s="2" t="s">
        <v>35</v>
      </c>
    </row>
    <row r="1402" spans="1:8" ht="13" hidden="1">
      <c r="A1402" s="15">
        <v>45488.797104502315</v>
      </c>
      <c r="B1402" s="16">
        <v>45484</v>
      </c>
      <c r="C1402" s="2" t="s">
        <v>655</v>
      </c>
      <c r="D1402" s="2" t="s">
        <v>45</v>
      </c>
      <c r="E1402" s="2">
        <v>440</v>
      </c>
      <c r="F1402" s="2" t="s">
        <v>102</v>
      </c>
      <c r="G1402" s="2" t="s">
        <v>285</v>
      </c>
      <c r="H1402" s="2" t="s">
        <v>35</v>
      </c>
    </row>
    <row r="1403" spans="1:8" ht="13" hidden="1">
      <c r="A1403" s="15">
        <v>45488.807868032411</v>
      </c>
      <c r="B1403" s="16">
        <v>45484</v>
      </c>
      <c r="C1403" s="2" t="s">
        <v>18</v>
      </c>
      <c r="D1403" s="2" t="s">
        <v>41</v>
      </c>
      <c r="E1403" s="2">
        <v>5318</v>
      </c>
      <c r="F1403" s="2" t="s">
        <v>100</v>
      </c>
      <c r="H1403" s="2" t="s">
        <v>35</v>
      </c>
    </row>
    <row r="1404" spans="1:8" ht="13" hidden="1">
      <c r="A1404" s="15">
        <v>45494.647954837958</v>
      </c>
      <c r="B1404" s="16">
        <v>45485</v>
      </c>
      <c r="C1404" s="2" t="s">
        <v>240</v>
      </c>
      <c r="D1404" s="2" t="s">
        <v>42</v>
      </c>
      <c r="E1404" s="2">
        <v>990</v>
      </c>
      <c r="F1404" s="2" t="s">
        <v>100</v>
      </c>
      <c r="H1404" s="2" t="s">
        <v>35</v>
      </c>
    </row>
    <row r="1405" spans="1:8" ht="13" hidden="1">
      <c r="A1405" s="15">
        <v>45488.797478402776</v>
      </c>
      <c r="B1405" s="16">
        <v>45486</v>
      </c>
      <c r="C1405" s="2" t="s">
        <v>656</v>
      </c>
      <c r="D1405" s="2" t="s">
        <v>39</v>
      </c>
      <c r="E1405" s="2">
        <v>3700</v>
      </c>
      <c r="F1405" s="2" t="s">
        <v>102</v>
      </c>
      <c r="G1405" s="2" t="s">
        <v>657</v>
      </c>
      <c r="H1405" s="2" t="s">
        <v>35</v>
      </c>
    </row>
    <row r="1406" spans="1:8" ht="13" hidden="1">
      <c r="A1406" s="15">
        <v>45488.797889861111</v>
      </c>
      <c r="B1406" s="16">
        <v>45486</v>
      </c>
      <c r="C1406" s="2" t="s">
        <v>658</v>
      </c>
      <c r="E1406" s="2">
        <v>1000</v>
      </c>
      <c r="H1406" s="2" t="s">
        <v>34</v>
      </c>
    </row>
    <row r="1407" spans="1:8" ht="13" hidden="1">
      <c r="A1407" s="15">
        <v>45488.798874201384</v>
      </c>
      <c r="B1407" s="16">
        <v>45486</v>
      </c>
      <c r="C1407" s="2" t="s">
        <v>655</v>
      </c>
      <c r="D1407" s="2" t="s">
        <v>45</v>
      </c>
      <c r="E1407" s="2">
        <v>222</v>
      </c>
      <c r="F1407" s="2" t="s">
        <v>102</v>
      </c>
      <c r="G1407" s="2" t="s">
        <v>285</v>
      </c>
      <c r="H1407" s="2" t="s">
        <v>35</v>
      </c>
    </row>
    <row r="1408" spans="1:8" ht="13" hidden="1">
      <c r="A1408" s="15">
        <v>45488.799230069446</v>
      </c>
      <c r="B1408" s="16">
        <v>45486</v>
      </c>
      <c r="C1408" s="2" t="s">
        <v>659</v>
      </c>
      <c r="D1408" s="2" t="s">
        <v>39</v>
      </c>
      <c r="E1408" s="2">
        <v>5270</v>
      </c>
      <c r="F1408" s="2" t="s">
        <v>102</v>
      </c>
      <c r="H1408" s="2" t="s">
        <v>35</v>
      </c>
    </row>
    <row r="1409" spans="1:8" ht="13" hidden="1">
      <c r="A1409" s="15">
        <v>45488.799595347227</v>
      </c>
      <c r="B1409" s="16">
        <v>45486</v>
      </c>
      <c r="C1409" s="2" t="s">
        <v>659</v>
      </c>
      <c r="D1409" s="2" t="s">
        <v>39</v>
      </c>
      <c r="E1409" s="2">
        <v>2500</v>
      </c>
      <c r="F1409" s="2" t="s">
        <v>102</v>
      </c>
      <c r="H1409" s="2" t="s">
        <v>35</v>
      </c>
    </row>
    <row r="1410" spans="1:8" ht="13" hidden="1">
      <c r="A1410" s="15">
        <v>45494.648283773146</v>
      </c>
      <c r="B1410" s="16">
        <v>45486</v>
      </c>
      <c r="C1410" s="2" t="s">
        <v>350</v>
      </c>
      <c r="D1410" s="2" t="s">
        <v>40</v>
      </c>
      <c r="E1410" s="2">
        <v>1000</v>
      </c>
      <c r="F1410" s="2" t="s">
        <v>100</v>
      </c>
      <c r="H1410" s="2" t="s">
        <v>35</v>
      </c>
    </row>
    <row r="1411" spans="1:8" ht="13" hidden="1">
      <c r="A1411" s="15">
        <v>45494.648635243051</v>
      </c>
      <c r="B1411" s="16">
        <v>45486</v>
      </c>
      <c r="C1411" s="2" t="s">
        <v>533</v>
      </c>
      <c r="D1411" s="2" t="s">
        <v>46</v>
      </c>
      <c r="E1411" s="2">
        <v>3146</v>
      </c>
      <c r="F1411" s="2" t="s">
        <v>100</v>
      </c>
      <c r="G1411" s="2" t="s">
        <v>660</v>
      </c>
      <c r="H1411" s="2" t="s">
        <v>35</v>
      </c>
    </row>
    <row r="1412" spans="1:8" ht="13" hidden="1">
      <c r="A1412" s="15">
        <v>45488.800056273147</v>
      </c>
      <c r="B1412" s="16">
        <v>45487</v>
      </c>
      <c r="C1412" s="2" t="s">
        <v>116</v>
      </c>
      <c r="D1412" s="2" t="s">
        <v>38</v>
      </c>
      <c r="E1412" s="2">
        <v>876</v>
      </c>
      <c r="F1412" s="2" t="s">
        <v>102</v>
      </c>
      <c r="G1412" s="2" t="s">
        <v>661</v>
      </c>
      <c r="H1412" s="2" t="s">
        <v>35</v>
      </c>
    </row>
    <row r="1413" spans="1:8" ht="13" hidden="1">
      <c r="A1413" s="15">
        <v>45488.808115509259</v>
      </c>
      <c r="B1413" s="16">
        <v>45487</v>
      </c>
      <c r="C1413" s="2" t="s">
        <v>87</v>
      </c>
      <c r="E1413" s="2">
        <v>30000</v>
      </c>
      <c r="H1413" s="2" t="s">
        <v>34</v>
      </c>
    </row>
    <row r="1414" spans="1:8" ht="13" hidden="1">
      <c r="A1414" s="15">
        <v>45494.649072037035</v>
      </c>
      <c r="B1414" s="16">
        <v>45487</v>
      </c>
      <c r="C1414" s="2" t="s">
        <v>116</v>
      </c>
      <c r="D1414" s="2" t="s">
        <v>38</v>
      </c>
      <c r="E1414" s="2">
        <v>381</v>
      </c>
      <c r="F1414" s="2" t="s">
        <v>100</v>
      </c>
      <c r="G1414" s="2" t="s">
        <v>652</v>
      </c>
      <c r="H1414" s="2" t="s">
        <v>35</v>
      </c>
    </row>
    <row r="1415" spans="1:8" ht="13" hidden="1">
      <c r="A1415" s="15">
        <v>45494.649479699074</v>
      </c>
      <c r="B1415" s="16">
        <v>45487</v>
      </c>
      <c r="C1415" s="2" t="s">
        <v>644</v>
      </c>
      <c r="D1415" s="2" t="s">
        <v>39</v>
      </c>
      <c r="E1415" s="2">
        <v>509</v>
      </c>
      <c r="F1415" s="2" t="s">
        <v>100</v>
      </c>
      <c r="G1415" s="2" t="s">
        <v>129</v>
      </c>
      <c r="H1415" s="2" t="s">
        <v>35</v>
      </c>
    </row>
    <row r="1416" spans="1:8" ht="13" hidden="1">
      <c r="A1416" s="15">
        <v>45494.649740844907</v>
      </c>
      <c r="B1416" s="16">
        <v>45487</v>
      </c>
      <c r="C1416" s="2" t="s">
        <v>662</v>
      </c>
      <c r="D1416" s="2" t="s">
        <v>48</v>
      </c>
      <c r="E1416" s="2">
        <v>3259</v>
      </c>
      <c r="F1416" s="2" t="s">
        <v>100</v>
      </c>
      <c r="H1416" s="2" t="s">
        <v>35</v>
      </c>
    </row>
    <row r="1417" spans="1:8" ht="13" hidden="1">
      <c r="A1417" s="15">
        <v>45488.800409074072</v>
      </c>
      <c r="B1417" s="16">
        <v>45488</v>
      </c>
      <c r="C1417" s="2" t="s">
        <v>163</v>
      </c>
      <c r="D1417" s="2" t="s">
        <v>38</v>
      </c>
      <c r="E1417" s="2">
        <v>1880</v>
      </c>
      <c r="F1417" s="2" t="s">
        <v>102</v>
      </c>
      <c r="G1417" s="2" t="s">
        <v>164</v>
      </c>
      <c r="H1417" s="2" t="s">
        <v>35</v>
      </c>
    </row>
    <row r="1418" spans="1:8" ht="13" hidden="1">
      <c r="A1418" s="15">
        <v>45488.800895532404</v>
      </c>
      <c r="B1418" s="16">
        <v>45488</v>
      </c>
      <c r="C1418" s="2" t="s">
        <v>104</v>
      </c>
      <c r="D1418" s="2" t="s">
        <v>45</v>
      </c>
      <c r="E1418" s="2">
        <v>3808</v>
      </c>
      <c r="F1418" s="2" t="s">
        <v>102</v>
      </c>
      <c r="G1418" s="2" t="s">
        <v>285</v>
      </c>
      <c r="H1418" s="2" t="s">
        <v>35</v>
      </c>
    </row>
    <row r="1419" spans="1:8" ht="13" hidden="1">
      <c r="A1419" s="15">
        <v>45494.646054421297</v>
      </c>
      <c r="B1419" s="16">
        <v>45488</v>
      </c>
      <c r="C1419" s="2" t="s">
        <v>631</v>
      </c>
      <c r="D1419" s="2" t="s">
        <v>39</v>
      </c>
      <c r="E1419" s="2">
        <v>2000</v>
      </c>
      <c r="F1419" s="2" t="s">
        <v>102</v>
      </c>
      <c r="H1419" s="2" t="s">
        <v>35</v>
      </c>
    </row>
    <row r="1420" spans="1:8" ht="13" hidden="1">
      <c r="A1420" s="15">
        <v>45494.650059687498</v>
      </c>
      <c r="B1420" s="16">
        <v>45488</v>
      </c>
      <c r="C1420" s="2" t="s">
        <v>499</v>
      </c>
      <c r="D1420" s="2" t="s">
        <v>38</v>
      </c>
      <c r="E1420" s="2">
        <v>2999</v>
      </c>
      <c r="F1420" s="2" t="s">
        <v>100</v>
      </c>
      <c r="G1420" s="2" t="s">
        <v>129</v>
      </c>
      <c r="H1420" s="2" t="s">
        <v>35</v>
      </c>
    </row>
    <row r="1421" spans="1:8" ht="13" hidden="1">
      <c r="A1421" s="15">
        <v>45494.650320729168</v>
      </c>
      <c r="B1421" s="16">
        <v>45488</v>
      </c>
      <c r="C1421" s="2" t="s">
        <v>105</v>
      </c>
      <c r="D1421" s="2" t="s">
        <v>40</v>
      </c>
      <c r="E1421" s="2">
        <v>1600</v>
      </c>
      <c r="F1421" s="2" t="s">
        <v>100</v>
      </c>
      <c r="H1421" s="2" t="s">
        <v>35</v>
      </c>
    </row>
    <row r="1422" spans="1:8" ht="13" hidden="1">
      <c r="A1422" s="15">
        <v>45494.64211320602</v>
      </c>
      <c r="B1422" s="16">
        <v>45489</v>
      </c>
      <c r="C1422" s="2" t="s">
        <v>663</v>
      </c>
      <c r="D1422" s="2" t="s">
        <v>38</v>
      </c>
      <c r="E1422" s="2">
        <v>478</v>
      </c>
      <c r="F1422" s="2" t="s">
        <v>102</v>
      </c>
      <c r="G1422" s="2" t="s">
        <v>356</v>
      </c>
      <c r="H1422" s="2" t="s">
        <v>35</v>
      </c>
    </row>
    <row r="1423" spans="1:8" ht="13" hidden="1">
      <c r="A1423" s="15">
        <v>45494.650596817126</v>
      </c>
      <c r="B1423" s="16">
        <v>45489</v>
      </c>
      <c r="C1423" s="2" t="s">
        <v>20</v>
      </c>
      <c r="D1423" s="2" t="s">
        <v>39</v>
      </c>
      <c r="E1423" s="2">
        <v>1490</v>
      </c>
      <c r="F1423" s="2" t="s">
        <v>100</v>
      </c>
      <c r="H1423" s="2" t="s">
        <v>35</v>
      </c>
    </row>
    <row r="1424" spans="1:8" ht="13" hidden="1">
      <c r="A1424" s="15">
        <v>45494.650864884257</v>
      </c>
      <c r="B1424" s="16">
        <v>45489</v>
      </c>
      <c r="C1424" s="2" t="s">
        <v>350</v>
      </c>
      <c r="D1424" s="2" t="s">
        <v>40</v>
      </c>
      <c r="E1424" s="2">
        <v>1000</v>
      </c>
      <c r="F1424" s="2" t="s">
        <v>100</v>
      </c>
      <c r="H1424" s="2" t="s">
        <v>35</v>
      </c>
    </row>
    <row r="1425" spans="1:8" ht="13" hidden="1">
      <c r="A1425" s="15">
        <v>45494.642892708333</v>
      </c>
      <c r="B1425" s="16">
        <v>45490</v>
      </c>
      <c r="C1425" s="2" t="s">
        <v>655</v>
      </c>
      <c r="D1425" s="2" t="s">
        <v>45</v>
      </c>
      <c r="E1425" s="2">
        <v>498</v>
      </c>
      <c r="F1425" s="2" t="s">
        <v>102</v>
      </c>
      <c r="G1425" s="2" t="s">
        <v>285</v>
      </c>
      <c r="H1425" s="2" t="s">
        <v>35</v>
      </c>
    </row>
    <row r="1426" spans="1:8" ht="13" hidden="1">
      <c r="A1426" s="15">
        <v>45494.651248298615</v>
      </c>
      <c r="B1426" s="16">
        <v>45490</v>
      </c>
      <c r="C1426" s="2" t="s">
        <v>116</v>
      </c>
      <c r="D1426" s="2" t="s">
        <v>38</v>
      </c>
      <c r="E1426" s="2">
        <v>929</v>
      </c>
      <c r="F1426" s="2" t="s">
        <v>100</v>
      </c>
      <c r="G1426" s="2" t="s">
        <v>652</v>
      </c>
      <c r="H1426" s="2" t="s">
        <v>35</v>
      </c>
    </row>
    <row r="1427" spans="1:8" ht="13" hidden="1">
      <c r="A1427" s="15">
        <v>45494.651630185181</v>
      </c>
      <c r="B1427" s="16">
        <v>45490</v>
      </c>
      <c r="C1427" s="2" t="s">
        <v>22</v>
      </c>
      <c r="D1427" s="2" t="s">
        <v>39</v>
      </c>
      <c r="E1427" s="2">
        <v>2310</v>
      </c>
      <c r="F1427" s="2" t="s">
        <v>100</v>
      </c>
      <c r="H1427" s="2" t="s">
        <v>35</v>
      </c>
    </row>
    <row r="1428" spans="1:8" ht="13" hidden="1">
      <c r="A1428" s="15">
        <v>45494.652262812495</v>
      </c>
      <c r="B1428" s="16">
        <v>45490</v>
      </c>
      <c r="C1428" s="2" t="s">
        <v>350</v>
      </c>
      <c r="D1428" s="2" t="s">
        <v>40</v>
      </c>
      <c r="E1428" s="2">
        <v>1000</v>
      </c>
      <c r="F1428" s="2" t="s">
        <v>100</v>
      </c>
      <c r="H1428" s="2" t="s">
        <v>35</v>
      </c>
    </row>
    <row r="1429" spans="1:8" ht="13" hidden="1">
      <c r="A1429" s="15">
        <v>45494.652593379629</v>
      </c>
      <c r="B1429" s="16">
        <v>45491</v>
      </c>
      <c r="C1429" s="2" t="s">
        <v>452</v>
      </c>
      <c r="D1429" s="2" t="s">
        <v>39</v>
      </c>
      <c r="E1429" s="2">
        <v>12510</v>
      </c>
      <c r="F1429" s="2" t="s">
        <v>100</v>
      </c>
      <c r="H1429" s="2" t="s">
        <v>35</v>
      </c>
    </row>
    <row r="1430" spans="1:8" ht="13" hidden="1">
      <c r="A1430" s="15">
        <v>45501.853326203709</v>
      </c>
      <c r="B1430" s="16">
        <v>45491</v>
      </c>
      <c r="C1430" s="2" t="s">
        <v>323</v>
      </c>
      <c r="D1430" s="2" t="s">
        <v>38</v>
      </c>
      <c r="E1430" s="2">
        <v>1400</v>
      </c>
      <c r="F1430" s="2" t="s">
        <v>102</v>
      </c>
      <c r="G1430" s="2" t="s">
        <v>260</v>
      </c>
      <c r="H1430" s="2" t="s">
        <v>35</v>
      </c>
    </row>
    <row r="1431" spans="1:8" ht="13" hidden="1">
      <c r="A1431" s="15">
        <v>45501.857795937496</v>
      </c>
      <c r="B1431" s="16">
        <v>45491</v>
      </c>
      <c r="C1431" s="2" t="s">
        <v>240</v>
      </c>
      <c r="D1431" s="2" t="s">
        <v>42</v>
      </c>
      <c r="E1431" s="2">
        <v>990</v>
      </c>
      <c r="F1431" s="2" t="s">
        <v>100</v>
      </c>
      <c r="H1431" s="2" t="s">
        <v>35</v>
      </c>
    </row>
    <row r="1432" spans="1:8" ht="13" hidden="1">
      <c r="A1432" s="15">
        <v>45494.643482141204</v>
      </c>
      <c r="B1432" s="16">
        <v>45492</v>
      </c>
      <c r="C1432" s="2" t="s">
        <v>664</v>
      </c>
      <c r="D1432" s="2" t="s">
        <v>38</v>
      </c>
      <c r="E1432" s="2">
        <v>239</v>
      </c>
      <c r="F1432" s="2" t="s">
        <v>102</v>
      </c>
      <c r="G1432" s="2" t="s">
        <v>356</v>
      </c>
      <c r="H1432" s="2" t="s">
        <v>35</v>
      </c>
    </row>
    <row r="1433" spans="1:8" ht="13" hidden="1">
      <c r="A1433" s="15">
        <v>45494.646427939813</v>
      </c>
      <c r="B1433" s="16">
        <v>45492</v>
      </c>
      <c r="C1433" s="2" t="s">
        <v>665</v>
      </c>
      <c r="D1433" s="2" t="s">
        <v>47</v>
      </c>
      <c r="E1433" s="2">
        <v>1500</v>
      </c>
      <c r="F1433" s="2" t="s">
        <v>102</v>
      </c>
      <c r="H1433" s="2" t="s">
        <v>35</v>
      </c>
    </row>
    <row r="1434" spans="1:8" ht="13" hidden="1">
      <c r="A1434" s="15">
        <v>45501.858173576387</v>
      </c>
      <c r="B1434" s="16">
        <v>45492</v>
      </c>
      <c r="C1434" s="2" t="s">
        <v>116</v>
      </c>
      <c r="D1434" s="2" t="s">
        <v>38</v>
      </c>
      <c r="E1434" s="2">
        <v>1213</v>
      </c>
      <c r="F1434" s="2" t="s">
        <v>100</v>
      </c>
      <c r="G1434" s="2" t="s">
        <v>652</v>
      </c>
      <c r="H1434" s="2" t="s">
        <v>35</v>
      </c>
    </row>
    <row r="1435" spans="1:8" ht="13" hidden="1">
      <c r="A1435" s="15">
        <v>45494.643921539348</v>
      </c>
      <c r="B1435" s="16">
        <v>45493</v>
      </c>
      <c r="C1435" s="2" t="s">
        <v>666</v>
      </c>
      <c r="D1435" s="2" t="s">
        <v>38</v>
      </c>
      <c r="E1435" s="2">
        <v>1200</v>
      </c>
      <c r="F1435" s="2" t="s">
        <v>102</v>
      </c>
      <c r="G1435" s="2" t="s">
        <v>667</v>
      </c>
      <c r="H1435" s="2" t="s">
        <v>35</v>
      </c>
    </row>
    <row r="1436" spans="1:8" ht="13" hidden="1">
      <c r="A1436" s="15">
        <v>45494.644429745371</v>
      </c>
      <c r="B1436" s="16">
        <v>45493</v>
      </c>
      <c r="C1436" s="2" t="s">
        <v>533</v>
      </c>
      <c r="D1436" s="2" t="s">
        <v>46</v>
      </c>
      <c r="E1436" s="2">
        <v>968</v>
      </c>
      <c r="F1436" s="2" t="s">
        <v>102</v>
      </c>
      <c r="G1436" s="2" t="s">
        <v>667</v>
      </c>
      <c r="H1436" s="2" t="s">
        <v>35</v>
      </c>
    </row>
    <row r="1437" spans="1:8" ht="13" hidden="1">
      <c r="A1437" s="15">
        <v>45494.644890601849</v>
      </c>
      <c r="B1437" s="16">
        <v>45493</v>
      </c>
      <c r="C1437" s="2" t="s">
        <v>668</v>
      </c>
      <c r="D1437" s="2" t="s">
        <v>38</v>
      </c>
      <c r="E1437" s="2">
        <v>498</v>
      </c>
      <c r="F1437" s="2" t="s">
        <v>102</v>
      </c>
      <c r="G1437" s="2" t="s">
        <v>356</v>
      </c>
      <c r="H1437" s="2" t="s">
        <v>35</v>
      </c>
    </row>
    <row r="1438" spans="1:8" ht="13" hidden="1">
      <c r="A1438" s="15">
        <v>45494.647161400462</v>
      </c>
      <c r="B1438" s="16">
        <v>45493</v>
      </c>
      <c r="C1438" s="2" t="s">
        <v>669</v>
      </c>
      <c r="E1438" s="2">
        <v>7000</v>
      </c>
      <c r="H1438" s="2" t="s">
        <v>34</v>
      </c>
    </row>
    <row r="1439" spans="1:8" ht="13" hidden="1">
      <c r="A1439" s="15">
        <v>45501.858707326392</v>
      </c>
      <c r="B1439" s="16">
        <v>45493</v>
      </c>
      <c r="C1439" s="2" t="s">
        <v>24</v>
      </c>
      <c r="D1439" s="2" t="s">
        <v>49</v>
      </c>
      <c r="E1439" s="2">
        <v>1100</v>
      </c>
      <c r="F1439" s="2" t="s">
        <v>100</v>
      </c>
      <c r="H1439" s="2" t="s">
        <v>35</v>
      </c>
    </row>
    <row r="1440" spans="1:8" ht="13" hidden="1">
      <c r="A1440" s="15">
        <v>45501.859046481477</v>
      </c>
      <c r="B1440" s="16">
        <v>45493</v>
      </c>
      <c r="C1440" s="2" t="s">
        <v>240</v>
      </c>
      <c r="D1440" s="2" t="s">
        <v>42</v>
      </c>
      <c r="E1440" s="2">
        <v>330</v>
      </c>
      <c r="F1440" s="2" t="s">
        <v>100</v>
      </c>
      <c r="H1440" s="2" t="s">
        <v>35</v>
      </c>
    </row>
    <row r="1441" spans="1:8" ht="13" hidden="1">
      <c r="A1441" s="15">
        <v>45494.645362152776</v>
      </c>
      <c r="B1441" s="16">
        <v>45494</v>
      </c>
      <c r="C1441" s="2" t="s">
        <v>670</v>
      </c>
      <c r="D1441" s="2" t="s">
        <v>45</v>
      </c>
      <c r="E1441" s="2">
        <v>1951</v>
      </c>
      <c r="F1441" s="2" t="s">
        <v>102</v>
      </c>
      <c r="G1441" s="2" t="s">
        <v>285</v>
      </c>
      <c r="H1441" s="2" t="s">
        <v>35</v>
      </c>
    </row>
    <row r="1442" spans="1:8" ht="13" hidden="1">
      <c r="A1442" s="15">
        <v>45494.657028587964</v>
      </c>
      <c r="B1442" s="16">
        <v>45494</v>
      </c>
      <c r="C1442" s="2" t="s">
        <v>671</v>
      </c>
      <c r="D1442" s="2" t="s">
        <v>152</v>
      </c>
      <c r="E1442" s="2">
        <v>8917</v>
      </c>
      <c r="F1442" s="2" t="s">
        <v>102</v>
      </c>
      <c r="H1442" s="2" t="s">
        <v>35</v>
      </c>
    </row>
    <row r="1443" spans="1:8" ht="13" hidden="1">
      <c r="A1443" s="15">
        <v>45501.85019798611</v>
      </c>
      <c r="B1443" s="16">
        <v>45494</v>
      </c>
      <c r="C1443" s="2" t="s">
        <v>672</v>
      </c>
      <c r="D1443" s="2" t="s">
        <v>39</v>
      </c>
      <c r="E1443" s="2">
        <v>2700</v>
      </c>
      <c r="F1443" s="2" t="s">
        <v>102</v>
      </c>
      <c r="H1443" s="2" t="s">
        <v>35</v>
      </c>
    </row>
    <row r="1444" spans="1:8" ht="13" hidden="1">
      <c r="A1444" s="15">
        <v>45501.859582835648</v>
      </c>
      <c r="B1444" s="16">
        <v>45494</v>
      </c>
      <c r="C1444" s="2" t="s">
        <v>116</v>
      </c>
      <c r="D1444" s="2" t="s">
        <v>38</v>
      </c>
      <c r="E1444" s="2">
        <v>1460</v>
      </c>
      <c r="F1444" s="2" t="s">
        <v>100</v>
      </c>
      <c r="G1444" s="2" t="s">
        <v>652</v>
      </c>
      <c r="H1444" s="2" t="s">
        <v>35</v>
      </c>
    </row>
    <row r="1445" spans="1:8" ht="13" hidden="1">
      <c r="A1445" s="15">
        <v>45501.85073737269</v>
      </c>
      <c r="B1445" s="16">
        <v>45495</v>
      </c>
      <c r="C1445" s="2" t="s">
        <v>106</v>
      </c>
      <c r="D1445" s="2" t="s">
        <v>38</v>
      </c>
      <c r="E1445" s="2">
        <v>1100</v>
      </c>
      <c r="F1445" s="2" t="s">
        <v>102</v>
      </c>
      <c r="G1445" s="2" t="s">
        <v>256</v>
      </c>
      <c r="H1445" s="2" t="s">
        <v>35</v>
      </c>
    </row>
    <row r="1446" spans="1:8" ht="13" hidden="1">
      <c r="A1446" s="15">
        <v>45501.851051203703</v>
      </c>
      <c r="B1446" s="16">
        <v>45495</v>
      </c>
      <c r="C1446" s="2" t="s">
        <v>112</v>
      </c>
      <c r="D1446" s="2" t="s">
        <v>38</v>
      </c>
      <c r="E1446" s="2">
        <v>160</v>
      </c>
      <c r="F1446" s="2" t="s">
        <v>102</v>
      </c>
      <c r="G1446" s="2" t="s">
        <v>103</v>
      </c>
      <c r="H1446" s="2" t="s">
        <v>35</v>
      </c>
    </row>
    <row r="1447" spans="1:8" ht="13" hidden="1">
      <c r="A1447" s="15">
        <v>45501.851819409727</v>
      </c>
      <c r="B1447" s="16">
        <v>45495</v>
      </c>
      <c r="C1447" s="2" t="s">
        <v>655</v>
      </c>
      <c r="D1447" s="2" t="s">
        <v>45</v>
      </c>
      <c r="E1447" s="2">
        <v>308</v>
      </c>
      <c r="F1447" s="2" t="s">
        <v>102</v>
      </c>
      <c r="G1447" s="2" t="s">
        <v>655</v>
      </c>
      <c r="H1447" s="2" t="s">
        <v>35</v>
      </c>
    </row>
    <row r="1448" spans="1:8" ht="13" hidden="1">
      <c r="A1448" s="15">
        <v>45501.860376597222</v>
      </c>
      <c r="B1448" s="16">
        <v>45495</v>
      </c>
      <c r="C1448" s="2" t="s">
        <v>673</v>
      </c>
      <c r="D1448" s="2" t="s">
        <v>45</v>
      </c>
      <c r="E1448" s="2">
        <v>1380</v>
      </c>
      <c r="F1448" s="2" t="s">
        <v>100</v>
      </c>
      <c r="G1448" s="2" t="s">
        <v>129</v>
      </c>
      <c r="H1448" s="2" t="s">
        <v>35</v>
      </c>
    </row>
    <row r="1449" spans="1:8" ht="13" hidden="1">
      <c r="A1449" s="15">
        <v>45501.86073320602</v>
      </c>
      <c r="B1449" s="16">
        <v>45496</v>
      </c>
      <c r="C1449" s="2" t="s">
        <v>116</v>
      </c>
      <c r="D1449" s="2" t="s">
        <v>38</v>
      </c>
      <c r="E1449" s="2">
        <v>795</v>
      </c>
      <c r="F1449" s="2" t="s">
        <v>100</v>
      </c>
      <c r="G1449" s="2" t="s">
        <v>652</v>
      </c>
      <c r="H1449" s="2" t="s">
        <v>35</v>
      </c>
    </row>
    <row r="1450" spans="1:8" ht="13" hidden="1">
      <c r="A1450" s="15">
        <v>45501.85217515046</v>
      </c>
      <c r="B1450" s="16">
        <v>45497</v>
      </c>
      <c r="C1450" s="2" t="s">
        <v>674</v>
      </c>
      <c r="D1450" s="2" t="s">
        <v>39</v>
      </c>
      <c r="E1450" s="2">
        <v>3350</v>
      </c>
      <c r="F1450" s="2" t="s">
        <v>102</v>
      </c>
      <c r="H1450" s="2" t="s">
        <v>35</v>
      </c>
    </row>
    <row r="1451" spans="1:8" ht="13" hidden="1">
      <c r="A1451" s="15">
        <v>45501.853065034724</v>
      </c>
      <c r="B1451" s="16">
        <v>45497</v>
      </c>
      <c r="C1451" s="2" t="s">
        <v>675</v>
      </c>
      <c r="D1451" s="2" t="s">
        <v>38</v>
      </c>
      <c r="E1451" s="2">
        <v>330</v>
      </c>
      <c r="F1451" s="2" t="s">
        <v>102</v>
      </c>
      <c r="G1451" s="2" t="s">
        <v>356</v>
      </c>
      <c r="H1451" s="2" t="s">
        <v>35</v>
      </c>
    </row>
    <row r="1452" spans="1:8" ht="13" hidden="1">
      <c r="A1452" s="15">
        <v>45501.855494861113</v>
      </c>
      <c r="B1452" s="16">
        <v>45497</v>
      </c>
      <c r="C1452" s="2" t="s">
        <v>676</v>
      </c>
      <c r="D1452" s="2" t="s">
        <v>38</v>
      </c>
      <c r="E1452" s="2">
        <v>295</v>
      </c>
      <c r="F1452" s="2" t="s">
        <v>102</v>
      </c>
      <c r="G1452" s="2" t="s">
        <v>652</v>
      </c>
      <c r="H1452" s="2" t="s">
        <v>35</v>
      </c>
    </row>
    <row r="1453" spans="1:8" ht="13" hidden="1">
      <c r="A1453" s="15">
        <v>45501.861097951391</v>
      </c>
      <c r="B1453" s="16">
        <v>45497</v>
      </c>
      <c r="C1453" s="2" t="s">
        <v>677</v>
      </c>
      <c r="D1453" s="2" t="s">
        <v>45</v>
      </c>
      <c r="E1453" s="2">
        <v>3000</v>
      </c>
      <c r="F1453" s="2" t="s">
        <v>100</v>
      </c>
      <c r="G1453" s="2" t="s">
        <v>129</v>
      </c>
      <c r="H1453" s="2" t="s">
        <v>35</v>
      </c>
    </row>
    <row r="1454" spans="1:8" ht="13" hidden="1">
      <c r="A1454" s="15">
        <v>45501.86137460648</v>
      </c>
      <c r="B1454" s="16">
        <v>45497</v>
      </c>
      <c r="C1454" s="2" t="s">
        <v>350</v>
      </c>
      <c r="D1454" s="2" t="s">
        <v>40</v>
      </c>
      <c r="E1454" s="2">
        <v>1000</v>
      </c>
      <c r="F1454" s="2" t="s">
        <v>100</v>
      </c>
      <c r="H1454" s="2" t="s">
        <v>35</v>
      </c>
    </row>
    <row r="1455" spans="1:8" ht="13" hidden="1">
      <c r="A1455" s="15">
        <v>45501.853650821758</v>
      </c>
      <c r="B1455" s="16">
        <v>45498</v>
      </c>
      <c r="C1455" s="2" t="s">
        <v>286</v>
      </c>
      <c r="D1455" s="2" t="s">
        <v>38</v>
      </c>
      <c r="E1455" s="2">
        <v>306</v>
      </c>
      <c r="F1455" s="2" t="s">
        <v>102</v>
      </c>
      <c r="G1455" s="2" t="s">
        <v>103</v>
      </c>
      <c r="H1455" s="2" t="s">
        <v>35</v>
      </c>
    </row>
    <row r="1456" spans="1:8" ht="13" hidden="1">
      <c r="A1456" s="15">
        <v>45501.856300636573</v>
      </c>
      <c r="B1456" s="16">
        <v>45498</v>
      </c>
      <c r="C1456" s="2" t="s">
        <v>678</v>
      </c>
      <c r="E1456" s="2">
        <v>341520</v>
      </c>
      <c r="H1456" s="2" t="s">
        <v>34</v>
      </c>
    </row>
    <row r="1457" spans="1:8" ht="13" hidden="1">
      <c r="A1457" s="15">
        <v>45494.653502048612</v>
      </c>
      <c r="B1457" s="16">
        <v>45499</v>
      </c>
      <c r="C1457" s="2" t="s">
        <v>679</v>
      </c>
      <c r="D1457" s="2" t="s">
        <v>5</v>
      </c>
      <c r="E1457" s="2">
        <v>93000</v>
      </c>
      <c r="F1457" s="2" t="s">
        <v>102</v>
      </c>
      <c r="H1457" s="2" t="s">
        <v>35</v>
      </c>
    </row>
    <row r="1458" spans="1:8" ht="13" hidden="1">
      <c r="A1458" s="15">
        <v>45494.653775567131</v>
      </c>
      <c r="B1458" s="16">
        <v>45499</v>
      </c>
      <c r="C1458" s="2" t="s">
        <v>146</v>
      </c>
      <c r="D1458" s="2" t="s">
        <v>47</v>
      </c>
      <c r="E1458" s="2">
        <v>3400</v>
      </c>
      <c r="F1458" s="2" t="s">
        <v>102</v>
      </c>
      <c r="H1458" s="2" t="s">
        <v>35</v>
      </c>
    </row>
    <row r="1459" spans="1:8" ht="13" hidden="1">
      <c r="A1459" s="15">
        <v>45494.654109490744</v>
      </c>
      <c r="B1459" s="16">
        <v>45499</v>
      </c>
      <c r="C1459" s="2" t="s">
        <v>9</v>
      </c>
      <c r="D1459" s="2" t="s">
        <v>47</v>
      </c>
      <c r="E1459" s="2">
        <v>13600</v>
      </c>
      <c r="F1459" s="2" t="s">
        <v>102</v>
      </c>
      <c r="H1459" s="2" t="s">
        <v>35</v>
      </c>
    </row>
    <row r="1460" spans="1:8" ht="13" hidden="1">
      <c r="A1460" s="15">
        <v>45494.654373379628</v>
      </c>
      <c r="B1460" s="16">
        <v>45499</v>
      </c>
      <c r="C1460" s="2" t="s">
        <v>11</v>
      </c>
      <c r="D1460" s="2" t="s">
        <v>47</v>
      </c>
      <c r="E1460" s="2">
        <v>30000</v>
      </c>
      <c r="F1460" s="2" t="s">
        <v>102</v>
      </c>
      <c r="H1460" s="2" t="s">
        <v>35</v>
      </c>
    </row>
    <row r="1461" spans="1:8" ht="13" hidden="1">
      <c r="A1461" s="15">
        <v>45494.654708379632</v>
      </c>
      <c r="B1461" s="16">
        <v>45499</v>
      </c>
      <c r="C1461" s="2" t="s">
        <v>133</v>
      </c>
      <c r="D1461" s="2" t="s">
        <v>47</v>
      </c>
      <c r="E1461" s="2">
        <v>20000</v>
      </c>
      <c r="F1461" s="2" t="s">
        <v>102</v>
      </c>
      <c r="H1461" s="2" t="s">
        <v>35</v>
      </c>
    </row>
    <row r="1462" spans="1:8" ht="13" hidden="1">
      <c r="A1462" s="15">
        <v>45494.654981377316</v>
      </c>
      <c r="B1462" s="16">
        <v>45499</v>
      </c>
      <c r="C1462" s="2" t="s">
        <v>17</v>
      </c>
      <c r="D1462" s="2" t="s">
        <v>45</v>
      </c>
      <c r="E1462" s="2">
        <v>8470</v>
      </c>
      <c r="F1462" s="2" t="s">
        <v>102</v>
      </c>
      <c r="H1462" s="2" t="s">
        <v>35</v>
      </c>
    </row>
    <row r="1463" spans="1:8" ht="13" hidden="1">
      <c r="A1463" s="15">
        <v>45494.655235902777</v>
      </c>
      <c r="B1463" s="16">
        <v>45499</v>
      </c>
      <c r="C1463" s="2" t="s">
        <v>408</v>
      </c>
      <c r="D1463" s="2" t="s">
        <v>152</v>
      </c>
      <c r="E1463" s="2">
        <v>10000</v>
      </c>
      <c r="F1463" s="2" t="s">
        <v>102</v>
      </c>
      <c r="H1463" s="2" t="s">
        <v>35</v>
      </c>
    </row>
    <row r="1464" spans="1:8" ht="13" hidden="1">
      <c r="A1464" s="15">
        <v>45501.854020879633</v>
      </c>
      <c r="B1464" s="16">
        <v>45499</v>
      </c>
      <c r="C1464" s="2" t="s">
        <v>680</v>
      </c>
      <c r="D1464" s="2" t="s">
        <v>38</v>
      </c>
      <c r="E1464" s="2">
        <v>668</v>
      </c>
      <c r="F1464" s="2" t="s">
        <v>102</v>
      </c>
      <c r="G1464" s="2" t="s">
        <v>269</v>
      </c>
      <c r="H1464" s="2" t="s">
        <v>35</v>
      </c>
    </row>
    <row r="1465" spans="1:8" ht="13" hidden="1">
      <c r="A1465" s="15">
        <v>45508.765839548607</v>
      </c>
      <c r="B1465" s="16">
        <v>45499</v>
      </c>
      <c r="C1465" s="2" t="s">
        <v>350</v>
      </c>
      <c r="D1465" s="2" t="s">
        <v>40</v>
      </c>
      <c r="E1465" s="2">
        <v>1000</v>
      </c>
      <c r="F1465" s="2" t="s">
        <v>100</v>
      </c>
      <c r="H1465" s="2" t="s">
        <v>35</v>
      </c>
    </row>
    <row r="1466" spans="1:8" ht="13" hidden="1">
      <c r="A1466" s="15">
        <v>45501.854404814818</v>
      </c>
      <c r="B1466" s="16">
        <v>45500</v>
      </c>
      <c r="C1466" s="2" t="s">
        <v>681</v>
      </c>
      <c r="D1466" s="2" t="s">
        <v>39</v>
      </c>
      <c r="E1466" s="2">
        <v>1280</v>
      </c>
      <c r="F1466" s="2" t="s">
        <v>102</v>
      </c>
      <c r="G1466" s="2" t="s">
        <v>667</v>
      </c>
      <c r="H1466" s="2" t="s">
        <v>35</v>
      </c>
    </row>
    <row r="1467" spans="1:8" ht="13" hidden="1">
      <c r="A1467" s="15">
        <v>45501.854730208332</v>
      </c>
      <c r="B1467" s="16">
        <v>45500</v>
      </c>
      <c r="C1467" s="2" t="s">
        <v>682</v>
      </c>
      <c r="D1467" s="2" t="s">
        <v>45</v>
      </c>
      <c r="E1467" s="2">
        <v>1789</v>
      </c>
      <c r="F1467" s="2" t="s">
        <v>102</v>
      </c>
      <c r="G1467" s="2" t="s">
        <v>285</v>
      </c>
      <c r="H1467" s="2" t="s">
        <v>35</v>
      </c>
    </row>
    <row r="1468" spans="1:8" ht="13" hidden="1">
      <c r="A1468" s="15">
        <v>45508.766217303244</v>
      </c>
      <c r="B1468" s="16">
        <v>45500</v>
      </c>
      <c r="C1468" s="2" t="s">
        <v>368</v>
      </c>
      <c r="D1468" s="2" t="s">
        <v>39</v>
      </c>
      <c r="E1468" s="2">
        <v>1180</v>
      </c>
      <c r="F1468" s="2" t="s">
        <v>100</v>
      </c>
      <c r="H1468" s="2" t="s">
        <v>35</v>
      </c>
    </row>
    <row r="1469" spans="1:8" ht="13" hidden="1">
      <c r="A1469" s="15">
        <v>45508.766609444443</v>
      </c>
      <c r="B1469" s="16">
        <v>45500</v>
      </c>
      <c r="C1469" s="2" t="s">
        <v>683</v>
      </c>
      <c r="D1469" s="2" t="s">
        <v>46</v>
      </c>
      <c r="E1469" s="2">
        <v>6985</v>
      </c>
      <c r="F1469" s="2" t="s">
        <v>100</v>
      </c>
      <c r="G1469" s="2" t="s">
        <v>129</v>
      </c>
      <c r="H1469" s="2" t="s">
        <v>35</v>
      </c>
    </row>
    <row r="1470" spans="1:8" ht="13" hidden="1">
      <c r="A1470" s="15">
        <v>45508.766931585647</v>
      </c>
      <c r="B1470" s="16">
        <v>45500</v>
      </c>
      <c r="C1470" s="2" t="s">
        <v>116</v>
      </c>
      <c r="D1470" s="2" t="s">
        <v>38</v>
      </c>
      <c r="E1470" s="2">
        <v>1104</v>
      </c>
      <c r="F1470" s="2" t="s">
        <v>100</v>
      </c>
      <c r="G1470" s="2" t="s">
        <v>652</v>
      </c>
      <c r="H1470" s="2" t="s">
        <v>35</v>
      </c>
    </row>
    <row r="1471" spans="1:8" ht="13" hidden="1">
      <c r="A1471" s="15">
        <v>45508.767227615739</v>
      </c>
      <c r="B1471" s="16">
        <v>45500</v>
      </c>
      <c r="C1471" s="2" t="s">
        <v>240</v>
      </c>
      <c r="D1471" s="2" t="s">
        <v>42</v>
      </c>
      <c r="E1471" s="2">
        <v>990</v>
      </c>
      <c r="F1471" s="2" t="s">
        <v>100</v>
      </c>
      <c r="H1471" s="2" t="s">
        <v>35</v>
      </c>
    </row>
    <row r="1472" spans="1:8" ht="13" hidden="1">
      <c r="A1472" s="15">
        <v>45501.85507046296</v>
      </c>
      <c r="B1472" s="16">
        <v>45501</v>
      </c>
      <c r="C1472" s="2" t="s">
        <v>684</v>
      </c>
      <c r="D1472" s="2" t="s">
        <v>39</v>
      </c>
      <c r="E1472" s="2">
        <v>880</v>
      </c>
      <c r="F1472" s="2" t="s">
        <v>102</v>
      </c>
      <c r="G1472" s="2" t="s">
        <v>685</v>
      </c>
      <c r="H1472" s="2" t="s">
        <v>35</v>
      </c>
    </row>
    <row r="1473" spans="1:8" ht="13" hidden="1">
      <c r="A1473" s="15">
        <v>45501.855823715276</v>
      </c>
      <c r="B1473" s="16">
        <v>45501</v>
      </c>
      <c r="C1473" s="2" t="s">
        <v>686</v>
      </c>
      <c r="D1473" s="2" t="s">
        <v>39</v>
      </c>
      <c r="E1473" s="2">
        <v>920</v>
      </c>
      <c r="F1473" s="2" t="s">
        <v>102</v>
      </c>
      <c r="H1473" s="2" t="s">
        <v>35</v>
      </c>
    </row>
    <row r="1474" spans="1:8" ht="13" hidden="1">
      <c r="A1474" s="15">
        <v>45516.636685104168</v>
      </c>
      <c r="B1474" s="16">
        <v>45501</v>
      </c>
      <c r="C1474" s="2" t="s">
        <v>350</v>
      </c>
      <c r="D1474" s="2" t="s">
        <v>40</v>
      </c>
      <c r="E1474" s="2">
        <v>1000</v>
      </c>
      <c r="F1474" s="2" t="s">
        <v>100</v>
      </c>
      <c r="H1474" s="2" t="s">
        <v>35</v>
      </c>
    </row>
    <row r="1475" spans="1:8" ht="13" hidden="1">
      <c r="A1475" s="15">
        <v>45516.636989652776</v>
      </c>
      <c r="B1475" s="16">
        <v>45501</v>
      </c>
      <c r="C1475" s="2" t="s">
        <v>116</v>
      </c>
      <c r="D1475" s="2" t="s">
        <v>38</v>
      </c>
      <c r="E1475" s="2">
        <v>1655</v>
      </c>
      <c r="F1475" s="2" t="s">
        <v>100</v>
      </c>
      <c r="G1475" s="2" t="s">
        <v>652</v>
      </c>
      <c r="H1475" s="2" t="s">
        <v>35</v>
      </c>
    </row>
    <row r="1476" spans="1:8" ht="13" hidden="1">
      <c r="A1476" s="15">
        <v>45516.637335509258</v>
      </c>
      <c r="B1476" s="16">
        <v>45501</v>
      </c>
      <c r="C1476" s="2" t="s">
        <v>158</v>
      </c>
      <c r="D1476" s="2" t="s">
        <v>49</v>
      </c>
      <c r="E1476" s="2">
        <v>4980</v>
      </c>
      <c r="F1476" s="2" t="s">
        <v>100</v>
      </c>
      <c r="H1476" s="2" t="s">
        <v>35</v>
      </c>
    </row>
    <row r="1477" spans="1:8" ht="13" hidden="1">
      <c r="A1477" s="15">
        <v>45516.637616562497</v>
      </c>
      <c r="B1477" s="16">
        <v>45501</v>
      </c>
      <c r="C1477" s="2" t="s">
        <v>687</v>
      </c>
      <c r="D1477" s="2" t="s">
        <v>39</v>
      </c>
      <c r="E1477" s="2">
        <v>2700</v>
      </c>
      <c r="F1477" s="2" t="s">
        <v>100</v>
      </c>
      <c r="H1477" s="2" t="s">
        <v>35</v>
      </c>
    </row>
    <row r="1478" spans="1:8" ht="13" hidden="1">
      <c r="A1478" s="15">
        <v>45508.760428969908</v>
      </c>
      <c r="B1478" s="16">
        <v>45503</v>
      </c>
      <c r="C1478" s="2" t="s">
        <v>106</v>
      </c>
      <c r="D1478" s="2" t="s">
        <v>38</v>
      </c>
      <c r="E1478" s="2">
        <v>1300</v>
      </c>
      <c r="F1478" s="2" t="s">
        <v>102</v>
      </c>
      <c r="G1478" s="2" t="s">
        <v>599</v>
      </c>
      <c r="H1478" s="2" t="s">
        <v>35</v>
      </c>
    </row>
    <row r="1479" spans="1:8" ht="13" hidden="1">
      <c r="A1479" s="15">
        <v>45508.761129664352</v>
      </c>
      <c r="B1479" s="16">
        <v>45503</v>
      </c>
      <c r="C1479" s="2" t="s">
        <v>675</v>
      </c>
      <c r="D1479" s="2" t="s">
        <v>38</v>
      </c>
      <c r="E1479" s="2">
        <v>320</v>
      </c>
      <c r="F1479" s="2" t="s">
        <v>102</v>
      </c>
      <c r="G1479" s="2" t="s">
        <v>356</v>
      </c>
      <c r="H1479" s="2" t="s">
        <v>35</v>
      </c>
    </row>
    <row r="1480" spans="1:8" ht="13" hidden="1">
      <c r="A1480" s="15">
        <v>45516.637952962963</v>
      </c>
      <c r="B1480" s="16">
        <v>45503</v>
      </c>
      <c r="C1480" s="2" t="s">
        <v>371</v>
      </c>
      <c r="D1480" s="2" t="s">
        <v>39</v>
      </c>
      <c r="E1480" s="2">
        <v>880</v>
      </c>
      <c r="F1480" s="2" t="s">
        <v>100</v>
      </c>
      <c r="H1480" s="2" t="s">
        <v>35</v>
      </c>
    </row>
    <row r="1481" spans="1:8" ht="13" hidden="1">
      <c r="A1481" s="15">
        <v>45516.63827708333</v>
      </c>
      <c r="B1481" s="16">
        <v>45505</v>
      </c>
      <c r="C1481" s="2" t="s">
        <v>10</v>
      </c>
      <c r="D1481" s="2" t="s">
        <v>45</v>
      </c>
      <c r="E1481" s="2">
        <v>280</v>
      </c>
      <c r="F1481" s="2" t="s">
        <v>100</v>
      </c>
      <c r="H1481" s="2" t="s">
        <v>35</v>
      </c>
    </row>
    <row r="1482" spans="1:8" ht="13" hidden="1">
      <c r="A1482" s="15">
        <v>45516.638553657409</v>
      </c>
      <c r="B1482" s="16">
        <v>45505</v>
      </c>
      <c r="C1482" s="2" t="s">
        <v>105</v>
      </c>
      <c r="D1482" s="2" t="s">
        <v>40</v>
      </c>
      <c r="E1482" s="2">
        <v>6100</v>
      </c>
      <c r="F1482" s="2" t="s">
        <v>100</v>
      </c>
      <c r="H1482" s="2" t="s">
        <v>35</v>
      </c>
    </row>
    <row r="1483" spans="1:8" ht="13" hidden="1">
      <c r="A1483" s="15">
        <v>45516.638845567126</v>
      </c>
      <c r="B1483" s="16">
        <v>45505</v>
      </c>
      <c r="C1483" s="2" t="s">
        <v>116</v>
      </c>
      <c r="D1483" s="2" t="s">
        <v>38</v>
      </c>
      <c r="E1483" s="2">
        <v>933</v>
      </c>
      <c r="F1483" s="2" t="s">
        <v>100</v>
      </c>
      <c r="G1483" s="2" t="s">
        <v>652</v>
      </c>
      <c r="H1483" s="2" t="s">
        <v>35</v>
      </c>
    </row>
    <row r="1484" spans="1:8" ht="13" hidden="1">
      <c r="A1484" s="15">
        <v>45516.639108599542</v>
      </c>
      <c r="B1484" s="16">
        <v>45505</v>
      </c>
      <c r="C1484" s="2" t="s">
        <v>240</v>
      </c>
      <c r="D1484" s="2" t="s">
        <v>42</v>
      </c>
      <c r="E1484" s="2">
        <v>990</v>
      </c>
      <c r="F1484" s="2" t="s">
        <v>100</v>
      </c>
      <c r="H1484" s="2" t="s">
        <v>35</v>
      </c>
    </row>
    <row r="1485" spans="1:8" ht="13" hidden="1">
      <c r="A1485" s="15">
        <v>45516.63939009259</v>
      </c>
      <c r="B1485" s="16">
        <v>45505</v>
      </c>
      <c r="C1485" s="2" t="s">
        <v>248</v>
      </c>
      <c r="D1485" s="2" t="s">
        <v>49</v>
      </c>
      <c r="E1485" s="2">
        <v>700</v>
      </c>
      <c r="F1485" s="2" t="s">
        <v>100</v>
      </c>
      <c r="G1485" s="2" t="s">
        <v>179</v>
      </c>
      <c r="H1485" s="2" t="s">
        <v>35</v>
      </c>
    </row>
    <row r="1486" spans="1:8" ht="13" hidden="1">
      <c r="A1486" s="15">
        <v>45516.639654895829</v>
      </c>
      <c r="B1486" s="16">
        <v>45505</v>
      </c>
      <c r="C1486" s="2" t="s">
        <v>350</v>
      </c>
      <c r="D1486" s="2" t="s">
        <v>40</v>
      </c>
      <c r="E1486" s="2">
        <v>1000</v>
      </c>
      <c r="F1486" s="2" t="s">
        <v>100</v>
      </c>
      <c r="H1486" s="2" t="s">
        <v>35</v>
      </c>
    </row>
    <row r="1487" spans="1:8" ht="13" hidden="1">
      <c r="A1487" s="15">
        <v>45508.761403194439</v>
      </c>
      <c r="B1487" s="16">
        <v>45506</v>
      </c>
      <c r="C1487" s="2" t="s">
        <v>110</v>
      </c>
      <c r="D1487" s="2" t="s">
        <v>38</v>
      </c>
      <c r="E1487" s="2">
        <v>259</v>
      </c>
      <c r="F1487" s="2" t="s">
        <v>102</v>
      </c>
      <c r="G1487" s="2" t="s">
        <v>103</v>
      </c>
      <c r="H1487" s="2" t="s">
        <v>35</v>
      </c>
    </row>
    <row r="1488" spans="1:8" ht="13" hidden="1">
      <c r="A1488" s="15">
        <v>45508.76176465278</v>
      </c>
      <c r="B1488" s="16">
        <v>45506</v>
      </c>
      <c r="C1488" s="2" t="s">
        <v>106</v>
      </c>
      <c r="D1488" s="2" t="s">
        <v>38</v>
      </c>
      <c r="E1488" s="2">
        <v>1000</v>
      </c>
      <c r="F1488" s="2" t="s">
        <v>102</v>
      </c>
      <c r="G1488" s="2" t="s">
        <v>194</v>
      </c>
      <c r="H1488" s="2" t="s">
        <v>35</v>
      </c>
    </row>
    <row r="1489" spans="1:8" ht="13" hidden="1">
      <c r="A1489" s="15">
        <v>45516.639932546299</v>
      </c>
      <c r="B1489" s="16">
        <v>45506</v>
      </c>
      <c r="C1489" s="2" t="s">
        <v>240</v>
      </c>
      <c r="D1489" s="2" t="s">
        <v>42</v>
      </c>
      <c r="E1489" s="2">
        <v>330</v>
      </c>
      <c r="F1489" s="2" t="s">
        <v>100</v>
      </c>
      <c r="H1489" s="2" t="s">
        <v>35</v>
      </c>
    </row>
    <row r="1490" spans="1:8" ht="13" hidden="1">
      <c r="A1490" s="15">
        <v>45508.76204155093</v>
      </c>
      <c r="B1490" s="16">
        <v>45507</v>
      </c>
      <c r="C1490" s="2" t="s">
        <v>601</v>
      </c>
      <c r="D1490" s="2" t="s">
        <v>38</v>
      </c>
      <c r="E1490" s="2">
        <v>162</v>
      </c>
      <c r="F1490" s="2" t="s">
        <v>102</v>
      </c>
      <c r="G1490" s="2" t="s">
        <v>356</v>
      </c>
      <c r="H1490" s="2" t="s">
        <v>35</v>
      </c>
    </row>
    <row r="1491" spans="1:8" ht="13" hidden="1">
      <c r="A1491" s="15">
        <v>45508.762311516199</v>
      </c>
      <c r="B1491" s="16">
        <v>45507</v>
      </c>
      <c r="C1491" s="2" t="s">
        <v>688</v>
      </c>
      <c r="D1491" s="2" t="s">
        <v>39</v>
      </c>
      <c r="E1491" s="2">
        <v>3300</v>
      </c>
      <c r="F1491" s="2" t="s">
        <v>102</v>
      </c>
      <c r="G1491" s="2" t="s">
        <v>689</v>
      </c>
      <c r="H1491" s="2" t="s">
        <v>35</v>
      </c>
    </row>
    <row r="1492" spans="1:8" ht="13" hidden="1">
      <c r="A1492" s="15">
        <v>45508.762595243054</v>
      </c>
      <c r="B1492" s="16">
        <v>45507</v>
      </c>
      <c r="C1492" s="2" t="s">
        <v>690</v>
      </c>
      <c r="D1492" s="2" t="s">
        <v>38</v>
      </c>
      <c r="E1492" s="2">
        <v>560</v>
      </c>
      <c r="F1492" s="2" t="s">
        <v>102</v>
      </c>
      <c r="G1492" s="2" t="s">
        <v>356</v>
      </c>
      <c r="H1492" s="2" t="s">
        <v>35</v>
      </c>
    </row>
    <row r="1493" spans="1:8" ht="13" hidden="1">
      <c r="A1493" s="15">
        <v>45516.640368125001</v>
      </c>
      <c r="B1493" s="16">
        <v>45507</v>
      </c>
      <c r="C1493" s="2" t="s">
        <v>350</v>
      </c>
      <c r="D1493" s="2" t="s">
        <v>40</v>
      </c>
      <c r="E1493" s="2">
        <v>1000</v>
      </c>
      <c r="F1493" s="2" t="s">
        <v>100</v>
      </c>
      <c r="H1493" s="2" t="s">
        <v>35</v>
      </c>
    </row>
    <row r="1494" spans="1:8" ht="13" hidden="1">
      <c r="A1494" s="15">
        <v>45508.763003425927</v>
      </c>
      <c r="B1494" s="16">
        <v>45508</v>
      </c>
      <c r="C1494" s="2" t="s">
        <v>691</v>
      </c>
      <c r="D1494" s="2" t="s">
        <v>38</v>
      </c>
      <c r="E1494" s="2">
        <v>292</v>
      </c>
      <c r="F1494" s="2" t="s">
        <v>102</v>
      </c>
      <c r="G1494" s="2" t="s">
        <v>356</v>
      </c>
      <c r="H1494" s="2" t="s">
        <v>35</v>
      </c>
    </row>
    <row r="1495" spans="1:8" ht="13" hidden="1">
      <c r="A1495" s="15">
        <v>45508.763294814817</v>
      </c>
      <c r="B1495" s="16">
        <v>45508</v>
      </c>
      <c r="C1495" s="2" t="s">
        <v>204</v>
      </c>
      <c r="D1495" s="2" t="s">
        <v>45</v>
      </c>
      <c r="E1495" s="2">
        <v>3700</v>
      </c>
      <c r="F1495" s="2" t="s">
        <v>102</v>
      </c>
      <c r="G1495" s="2" t="s">
        <v>692</v>
      </c>
      <c r="H1495" s="2" t="s">
        <v>35</v>
      </c>
    </row>
    <row r="1496" spans="1:8" ht="13" hidden="1">
      <c r="A1496" s="15">
        <v>45508.763567314818</v>
      </c>
      <c r="B1496" s="16">
        <v>45508</v>
      </c>
      <c r="C1496" s="2" t="s">
        <v>693</v>
      </c>
      <c r="D1496" s="2" t="s">
        <v>45</v>
      </c>
      <c r="E1496" s="2">
        <v>220</v>
      </c>
      <c r="F1496" s="2" t="s">
        <v>102</v>
      </c>
      <c r="G1496" s="2" t="s">
        <v>136</v>
      </c>
      <c r="H1496" s="2" t="s">
        <v>35</v>
      </c>
    </row>
    <row r="1497" spans="1:8" ht="13" hidden="1">
      <c r="A1497" s="15">
        <v>45508.763916087963</v>
      </c>
      <c r="B1497" s="16">
        <v>45508</v>
      </c>
      <c r="C1497" s="2" t="s">
        <v>163</v>
      </c>
      <c r="D1497" s="2" t="s">
        <v>38</v>
      </c>
      <c r="E1497" s="2">
        <v>1620</v>
      </c>
      <c r="F1497" s="2" t="s">
        <v>102</v>
      </c>
      <c r="G1497" s="2" t="s">
        <v>164</v>
      </c>
      <c r="H1497" s="2" t="s">
        <v>35</v>
      </c>
    </row>
    <row r="1498" spans="1:8" ht="13" hidden="1">
      <c r="A1498" s="15">
        <v>45508.764334293985</v>
      </c>
      <c r="B1498" s="16">
        <v>45508</v>
      </c>
      <c r="C1498" s="2" t="s">
        <v>694</v>
      </c>
      <c r="D1498" s="2" t="s">
        <v>45</v>
      </c>
      <c r="E1498" s="2">
        <v>761</v>
      </c>
      <c r="F1498" s="2" t="s">
        <v>102</v>
      </c>
      <c r="G1498" s="2" t="s">
        <v>285</v>
      </c>
      <c r="H1498" s="2" t="s">
        <v>35</v>
      </c>
    </row>
    <row r="1499" spans="1:8" ht="13" hidden="1">
      <c r="A1499" s="15">
        <v>45516.640779270834</v>
      </c>
      <c r="B1499" s="16">
        <v>45508</v>
      </c>
      <c r="C1499" s="2" t="s">
        <v>695</v>
      </c>
      <c r="D1499" s="2" t="s">
        <v>45</v>
      </c>
      <c r="E1499" s="2">
        <v>980</v>
      </c>
      <c r="F1499" s="2" t="s">
        <v>100</v>
      </c>
      <c r="G1499" s="2" t="s">
        <v>696</v>
      </c>
      <c r="H1499" s="2" t="s">
        <v>35</v>
      </c>
    </row>
    <row r="1500" spans="1:8" ht="13" hidden="1">
      <c r="A1500" s="15">
        <v>45516.641129305557</v>
      </c>
      <c r="B1500" s="16">
        <v>45508</v>
      </c>
      <c r="C1500" s="2" t="s">
        <v>116</v>
      </c>
      <c r="D1500" s="2" t="s">
        <v>38</v>
      </c>
      <c r="E1500" s="2">
        <v>651</v>
      </c>
      <c r="F1500" s="2" t="s">
        <v>100</v>
      </c>
      <c r="G1500" s="2" t="s">
        <v>116</v>
      </c>
      <c r="H1500" s="2" t="s">
        <v>35</v>
      </c>
    </row>
    <row r="1501" spans="1:8" ht="13" hidden="1">
      <c r="A1501" s="15">
        <v>45516.62834628472</v>
      </c>
      <c r="B1501" s="16">
        <v>45509</v>
      </c>
      <c r="C1501" s="2" t="s">
        <v>236</v>
      </c>
      <c r="D1501" s="2" t="s">
        <v>45</v>
      </c>
      <c r="E1501" s="2">
        <v>322</v>
      </c>
      <c r="F1501" s="2" t="s">
        <v>102</v>
      </c>
      <c r="G1501" s="2" t="s">
        <v>285</v>
      </c>
      <c r="H1501" s="2" t="s">
        <v>35</v>
      </c>
    </row>
    <row r="1502" spans="1:8" ht="13" hidden="1">
      <c r="A1502" s="15">
        <v>45516.641474282413</v>
      </c>
      <c r="B1502" s="16">
        <v>45509</v>
      </c>
      <c r="C1502" s="2" t="s">
        <v>116</v>
      </c>
      <c r="D1502" s="2" t="s">
        <v>38</v>
      </c>
      <c r="E1502" s="2">
        <v>960</v>
      </c>
      <c r="F1502" s="2" t="s">
        <v>100</v>
      </c>
      <c r="G1502" s="2" t="s">
        <v>652</v>
      </c>
      <c r="H1502" s="2" t="s">
        <v>35</v>
      </c>
    </row>
    <row r="1503" spans="1:8" ht="13" hidden="1">
      <c r="A1503" s="15">
        <v>45516.630262418985</v>
      </c>
      <c r="B1503" s="16">
        <v>45510</v>
      </c>
      <c r="C1503" s="2" t="s">
        <v>114</v>
      </c>
      <c r="D1503" s="2" t="s">
        <v>38</v>
      </c>
      <c r="E1503" s="2">
        <v>138</v>
      </c>
      <c r="F1503" s="2" t="s">
        <v>102</v>
      </c>
      <c r="G1503" s="2" t="s">
        <v>356</v>
      </c>
      <c r="H1503" s="2" t="s">
        <v>35</v>
      </c>
    </row>
    <row r="1504" spans="1:8" ht="13" hidden="1">
      <c r="A1504" s="15">
        <v>45516.634450902777</v>
      </c>
      <c r="B1504" s="16">
        <v>45510</v>
      </c>
      <c r="C1504" s="2" t="s">
        <v>258</v>
      </c>
      <c r="E1504" s="2">
        <v>17965</v>
      </c>
      <c r="H1504" s="2" t="s">
        <v>34</v>
      </c>
    </row>
    <row r="1505" spans="1:8" ht="13" hidden="1">
      <c r="A1505" s="15">
        <v>45516.630622094905</v>
      </c>
      <c r="B1505" s="16">
        <v>45512</v>
      </c>
      <c r="C1505" s="2" t="s">
        <v>106</v>
      </c>
      <c r="D1505" s="2" t="s">
        <v>38</v>
      </c>
      <c r="E1505" s="2">
        <v>1300</v>
      </c>
      <c r="F1505" s="2" t="s">
        <v>102</v>
      </c>
      <c r="G1505" s="2" t="s">
        <v>227</v>
      </c>
      <c r="H1505" s="2" t="s">
        <v>35</v>
      </c>
    </row>
    <row r="1506" spans="1:8" ht="13" hidden="1">
      <c r="A1506" s="15">
        <v>45516.631023321759</v>
      </c>
      <c r="B1506" s="16">
        <v>45512</v>
      </c>
      <c r="C1506" s="2" t="s">
        <v>112</v>
      </c>
      <c r="D1506" s="2" t="s">
        <v>38</v>
      </c>
      <c r="E1506" s="2">
        <v>120</v>
      </c>
      <c r="F1506" s="2" t="s">
        <v>102</v>
      </c>
      <c r="G1506" s="2" t="s">
        <v>103</v>
      </c>
      <c r="H1506" s="2" t="s">
        <v>35</v>
      </c>
    </row>
    <row r="1507" spans="1:8" ht="13" hidden="1">
      <c r="A1507" s="15">
        <v>45516.631555011569</v>
      </c>
      <c r="B1507" s="16">
        <v>45512</v>
      </c>
      <c r="C1507" s="2" t="s">
        <v>697</v>
      </c>
      <c r="D1507" s="2" t="s">
        <v>38</v>
      </c>
      <c r="E1507" s="2">
        <v>330</v>
      </c>
      <c r="F1507" s="2" t="s">
        <v>102</v>
      </c>
      <c r="G1507" s="2" t="s">
        <v>356</v>
      </c>
      <c r="H1507" s="2" t="s">
        <v>35</v>
      </c>
    </row>
    <row r="1508" spans="1:8" ht="13" hidden="1">
      <c r="A1508" s="15">
        <v>45516.641786099535</v>
      </c>
      <c r="B1508" s="16">
        <v>45512</v>
      </c>
      <c r="C1508" s="2" t="s">
        <v>654</v>
      </c>
      <c r="D1508" s="2" t="s">
        <v>45</v>
      </c>
      <c r="E1508" s="2">
        <v>130</v>
      </c>
      <c r="F1508" s="2" t="s">
        <v>100</v>
      </c>
      <c r="H1508" s="2" t="s">
        <v>35</v>
      </c>
    </row>
    <row r="1509" spans="1:8" ht="13" hidden="1">
      <c r="A1509" s="15">
        <v>45516.642073379626</v>
      </c>
      <c r="B1509" s="16">
        <v>45512</v>
      </c>
      <c r="C1509" s="2" t="s">
        <v>176</v>
      </c>
      <c r="D1509" s="2" t="s">
        <v>41</v>
      </c>
      <c r="E1509" s="2">
        <v>3172</v>
      </c>
      <c r="F1509" s="2" t="s">
        <v>100</v>
      </c>
      <c r="H1509" s="2" t="s">
        <v>35</v>
      </c>
    </row>
    <row r="1510" spans="1:8" ht="13" hidden="1">
      <c r="A1510" s="15">
        <v>45516.631969282404</v>
      </c>
      <c r="B1510" s="16">
        <v>45513</v>
      </c>
      <c r="C1510" s="2" t="s">
        <v>698</v>
      </c>
      <c r="D1510" s="2" t="s">
        <v>38</v>
      </c>
      <c r="E1510" s="2">
        <v>540</v>
      </c>
      <c r="F1510" s="2" t="s">
        <v>102</v>
      </c>
      <c r="G1510" s="2" t="s">
        <v>103</v>
      </c>
      <c r="H1510" s="2" t="s">
        <v>35</v>
      </c>
    </row>
    <row r="1511" spans="1:8" ht="13" hidden="1">
      <c r="A1511" s="15">
        <v>45516.634810520831</v>
      </c>
      <c r="B1511" s="16">
        <v>45513</v>
      </c>
      <c r="C1511" s="2" t="s">
        <v>631</v>
      </c>
      <c r="D1511" s="2" t="s">
        <v>39</v>
      </c>
      <c r="E1511" s="2">
        <v>4400</v>
      </c>
      <c r="F1511" s="2" t="s">
        <v>102</v>
      </c>
      <c r="H1511" s="2" t="s">
        <v>35</v>
      </c>
    </row>
    <row r="1512" spans="1:8" ht="13" hidden="1">
      <c r="A1512" s="15">
        <v>45516.642321238425</v>
      </c>
      <c r="B1512" s="16">
        <v>45513</v>
      </c>
      <c r="C1512" s="2" t="s">
        <v>574</v>
      </c>
      <c r="D1512" s="2" t="s">
        <v>48</v>
      </c>
      <c r="E1512" s="2">
        <v>880</v>
      </c>
      <c r="F1512" s="2" t="s">
        <v>100</v>
      </c>
      <c r="H1512" s="2" t="s">
        <v>35</v>
      </c>
    </row>
    <row r="1513" spans="1:8" ht="13" hidden="1">
      <c r="A1513" s="15">
        <v>45516.632328263891</v>
      </c>
      <c r="B1513" s="16">
        <v>45514</v>
      </c>
      <c r="C1513" s="2" t="s">
        <v>398</v>
      </c>
      <c r="D1513" s="2" t="s">
        <v>38</v>
      </c>
      <c r="E1513" s="2">
        <v>108</v>
      </c>
      <c r="F1513" s="2" t="s">
        <v>102</v>
      </c>
      <c r="G1513" s="2" t="s">
        <v>356</v>
      </c>
      <c r="H1513" s="2" t="s">
        <v>35</v>
      </c>
    </row>
    <row r="1514" spans="1:8" ht="13" hidden="1">
      <c r="A1514" s="15">
        <v>45516.632659027775</v>
      </c>
      <c r="B1514" s="16">
        <v>45514</v>
      </c>
      <c r="C1514" s="2" t="s">
        <v>567</v>
      </c>
      <c r="D1514" s="2" t="s">
        <v>39</v>
      </c>
      <c r="E1514" s="2">
        <v>1400</v>
      </c>
      <c r="F1514" s="2" t="s">
        <v>102</v>
      </c>
      <c r="G1514" s="2" t="s">
        <v>699</v>
      </c>
      <c r="H1514" s="2" t="s">
        <v>35</v>
      </c>
    </row>
    <row r="1515" spans="1:8" ht="13" hidden="1">
      <c r="A1515" s="15">
        <v>45516.633168275468</v>
      </c>
      <c r="B1515" s="16">
        <v>45514</v>
      </c>
      <c r="C1515" s="2" t="s">
        <v>700</v>
      </c>
      <c r="D1515" s="2" t="s">
        <v>38</v>
      </c>
      <c r="E1515" s="2">
        <v>600</v>
      </c>
      <c r="F1515" s="2" t="s">
        <v>102</v>
      </c>
      <c r="G1515" s="2" t="s">
        <v>661</v>
      </c>
      <c r="H1515" s="2" t="s">
        <v>35</v>
      </c>
    </row>
    <row r="1516" spans="1:8" ht="13" hidden="1">
      <c r="A1516" s="15">
        <v>45516.635515879629</v>
      </c>
      <c r="B1516" s="16">
        <v>45514</v>
      </c>
      <c r="C1516" s="2" t="s">
        <v>701</v>
      </c>
      <c r="D1516" s="2" t="s">
        <v>39</v>
      </c>
      <c r="E1516" s="2">
        <v>2200</v>
      </c>
      <c r="F1516" s="2" t="s">
        <v>102</v>
      </c>
      <c r="H1516" s="2" t="s">
        <v>35</v>
      </c>
    </row>
    <row r="1517" spans="1:8" ht="13" hidden="1">
      <c r="A1517" s="15">
        <v>45522.604209340279</v>
      </c>
      <c r="B1517" s="16">
        <v>45514</v>
      </c>
      <c r="C1517" s="2" t="s">
        <v>240</v>
      </c>
      <c r="D1517" s="2" t="s">
        <v>42</v>
      </c>
      <c r="E1517" s="2">
        <v>330</v>
      </c>
      <c r="F1517" s="2" t="s">
        <v>100</v>
      </c>
      <c r="H1517" s="2" t="s">
        <v>35</v>
      </c>
    </row>
    <row r="1518" spans="1:8" ht="13" hidden="1">
      <c r="A1518" s="15">
        <v>45522.604444502314</v>
      </c>
      <c r="B1518" s="16">
        <v>45514</v>
      </c>
      <c r="C1518" s="2" t="s">
        <v>240</v>
      </c>
      <c r="D1518" s="2" t="s">
        <v>42</v>
      </c>
      <c r="E1518" s="2">
        <v>88</v>
      </c>
      <c r="F1518" s="2" t="s">
        <v>100</v>
      </c>
      <c r="H1518" s="2" t="s">
        <v>35</v>
      </c>
    </row>
    <row r="1519" spans="1:8" ht="13" hidden="1">
      <c r="A1519" s="15">
        <v>45522.604768518519</v>
      </c>
      <c r="B1519" s="16">
        <v>45514</v>
      </c>
      <c r="C1519" s="2" t="s">
        <v>350</v>
      </c>
      <c r="D1519" s="2" t="s">
        <v>40</v>
      </c>
      <c r="E1519" s="2">
        <v>1000</v>
      </c>
      <c r="F1519" s="2" t="s">
        <v>100</v>
      </c>
      <c r="H1519" s="2" t="s">
        <v>35</v>
      </c>
    </row>
    <row r="1520" spans="1:8" ht="13" hidden="1">
      <c r="A1520" s="15">
        <v>45516.635846377314</v>
      </c>
      <c r="B1520" s="16">
        <v>45515</v>
      </c>
      <c r="C1520" s="2" t="s">
        <v>702</v>
      </c>
      <c r="D1520" s="2" t="s">
        <v>39</v>
      </c>
      <c r="E1520" s="2">
        <v>2500</v>
      </c>
      <c r="F1520" s="2" t="s">
        <v>102</v>
      </c>
      <c r="H1520" s="2" t="s">
        <v>35</v>
      </c>
    </row>
    <row r="1521" spans="1:8" ht="13" hidden="1">
      <c r="A1521" s="15">
        <v>45522.605047280093</v>
      </c>
      <c r="B1521" s="16">
        <v>45515</v>
      </c>
      <c r="C1521" s="2" t="s">
        <v>308</v>
      </c>
      <c r="D1521" s="2" t="s">
        <v>40</v>
      </c>
      <c r="E1521" s="2">
        <v>34580</v>
      </c>
      <c r="F1521" s="2" t="s">
        <v>100</v>
      </c>
      <c r="H1521" s="2" t="s">
        <v>35</v>
      </c>
    </row>
    <row r="1522" spans="1:8" ht="13" hidden="1">
      <c r="A1522" s="15">
        <v>45522.605437847218</v>
      </c>
      <c r="B1522" s="16">
        <v>45515</v>
      </c>
      <c r="C1522" s="2" t="s">
        <v>18</v>
      </c>
      <c r="D1522" s="2" t="s">
        <v>41</v>
      </c>
      <c r="E1522" s="2">
        <v>5318</v>
      </c>
      <c r="F1522" s="2" t="s">
        <v>100</v>
      </c>
      <c r="H1522" s="2" t="s">
        <v>35</v>
      </c>
    </row>
    <row r="1523" spans="1:8" ht="13" hidden="1">
      <c r="A1523" s="15">
        <v>45522.605720891203</v>
      </c>
      <c r="B1523" s="16">
        <v>45515</v>
      </c>
      <c r="C1523" s="2" t="s">
        <v>116</v>
      </c>
      <c r="D1523" s="2" t="s">
        <v>38</v>
      </c>
      <c r="E1523" s="2">
        <v>572</v>
      </c>
      <c r="F1523" s="2" t="s">
        <v>100</v>
      </c>
      <c r="G1523" s="2" t="s">
        <v>652</v>
      </c>
      <c r="H1523" s="2" t="s">
        <v>35</v>
      </c>
    </row>
    <row r="1524" spans="1:8" ht="13" hidden="1">
      <c r="A1524" s="15">
        <v>45516.633541365736</v>
      </c>
      <c r="B1524" s="16">
        <v>45516</v>
      </c>
      <c r="C1524" s="2" t="s">
        <v>703</v>
      </c>
      <c r="D1524" s="2" t="s">
        <v>45</v>
      </c>
      <c r="E1524" s="2">
        <v>924</v>
      </c>
      <c r="F1524" s="2" t="s">
        <v>102</v>
      </c>
      <c r="G1524" s="2" t="s">
        <v>285</v>
      </c>
      <c r="H1524" s="2" t="s">
        <v>35</v>
      </c>
    </row>
    <row r="1525" spans="1:8" ht="13" hidden="1">
      <c r="A1525" s="15">
        <v>45522.60598818287</v>
      </c>
      <c r="B1525" s="16">
        <v>45516</v>
      </c>
      <c r="C1525" s="2" t="s">
        <v>116</v>
      </c>
      <c r="D1525" s="2" t="s">
        <v>38</v>
      </c>
      <c r="E1525" s="2">
        <v>1990</v>
      </c>
      <c r="F1525" s="2" t="s">
        <v>100</v>
      </c>
      <c r="G1525" s="2" t="s">
        <v>652</v>
      </c>
      <c r="H1525" s="2" t="s">
        <v>35</v>
      </c>
    </row>
    <row r="1526" spans="1:8" ht="13" hidden="1">
      <c r="A1526" s="15">
        <v>45522.600399641204</v>
      </c>
      <c r="B1526" s="16">
        <v>45517</v>
      </c>
      <c r="C1526" s="2" t="s">
        <v>478</v>
      </c>
      <c r="D1526" s="2" t="s">
        <v>38</v>
      </c>
      <c r="E1526" s="2">
        <v>162</v>
      </c>
      <c r="F1526" s="2" t="s">
        <v>102</v>
      </c>
      <c r="G1526" s="2" t="s">
        <v>356</v>
      </c>
      <c r="H1526" s="2" t="s">
        <v>35</v>
      </c>
    </row>
    <row r="1527" spans="1:8" ht="13" hidden="1">
      <c r="A1527" s="15">
        <v>45522.603475115742</v>
      </c>
      <c r="B1527" s="16">
        <v>45517</v>
      </c>
      <c r="C1527" s="2" t="s">
        <v>704</v>
      </c>
      <c r="D1527" s="2" t="s">
        <v>39</v>
      </c>
      <c r="E1527" s="2">
        <v>6000</v>
      </c>
      <c r="F1527" s="2" t="s">
        <v>102</v>
      </c>
      <c r="H1527" s="2" t="s">
        <v>35</v>
      </c>
    </row>
    <row r="1528" spans="1:8" ht="13" hidden="1">
      <c r="A1528" s="15">
        <v>45522.600903333332</v>
      </c>
      <c r="B1528" s="16">
        <v>45518</v>
      </c>
      <c r="C1528" s="2" t="s">
        <v>428</v>
      </c>
      <c r="D1528" s="2" t="s">
        <v>45</v>
      </c>
      <c r="E1528" s="2">
        <v>702</v>
      </c>
      <c r="F1528" s="2" t="s">
        <v>102</v>
      </c>
      <c r="G1528" s="2" t="s">
        <v>285</v>
      </c>
      <c r="H1528" s="2" t="s">
        <v>35</v>
      </c>
    </row>
    <row r="1529" spans="1:8" ht="13" hidden="1">
      <c r="A1529" s="15">
        <v>45522.606295405094</v>
      </c>
      <c r="B1529" s="16">
        <v>45518</v>
      </c>
      <c r="C1529" s="2" t="s">
        <v>116</v>
      </c>
      <c r="D1529" s="2" t="s">
        <v>38</v>
      </c>
      <c r="E1529" s="2">
        <v>1083</v>
      </c>
      <c r="F1529" s="2" t="s">
        <v>100</v>
      </c>
      <c r="G1529" s="2" t="s">
        <v>652</v>
      </c>
      <c r="H1529" s="2" t="s">
        <v>35</v>
      </c>
    </row>
    <row r="1530" spans="1:8" ht="13" hidden="1">
      <c r="A1530" s="15">
        <v>45522.606640937505</v>
      </c>
      <c r="B1530" s="16">
        <v>45518</v>
      </c>
      <c r="C1530" s="2" t="s">
        <v>581</v>
      </c>
      <c r="D1530" s="2" t="s">
        <v>48</v>
      </c>
      <c r="E1530" s="2">
        <v>3025</v>
      </c>
      <c r="F1530" s="2" t="s">
        <v>100</v>
      </c>
      <c r="H1530" s="2" t="s">
        <v>35</v>
      </c>
    </row>
    <row r="1531" spans="1:8" ht="13" hidden="1">
      <c r="A1531" s="15">
        <v>45522.606856041668</v>
      </c>
      <c r="B1531" s="16">
        <v>45518</v>
      </c>
      <c r="C1531" s="2" t="s">
        <v>705</v>
      </c>
      <c r="D1531" s="2" t="s">
        <v>39</v>
      </c>
      <c r="E1531" s="2">
        <v>550</v>
      </c>
      <c r="F1531" s="2" t="s">
        <v>100</v>
      </c>
      <c r="H1531" s="2" t="s">
        <v>35</v>
      </c>
    </row>
    <row r="1532" spans="1:8" ht="13" hidden="1">
      <c r="A1532" s="15">
        <v>45522.601298981477</v>
      </c>
      <c r="B1532" s="16">
        <v>45519</v>
      </c>
      <c r="C1532" s="2" t="s">
        <v>706</v>
      </c>
      <c r="D1532" s="2" t="s">
        <v>39</v>
      </c>
      <c r="E1532" s="2">
        <v>5500</v>
      </c>
      <c r="F1532" s="2" t="s">
        <v>102</v>
      </c>
      <c r="H1532" s="2" t="s">
        <v>35</v>
      </c>
    </row>
    <row r="1533" spans="1:8" ht="13" hidden="1">
      <c r="A1533" s="15">
        <v>45522.607058773152</v>
      </c>
      <c r="B1533" s="16">
        <v>45520</v>
      </c>
      <c r="C1533" s="2" t="s">
        <v>247</v>
      </c>
      <c r="D1533" s="2" t="s">
        <v>39</v>
      </c>
      <c r="E1533" s="2">
        <v>3600</v>
      </c>
      <c r="F1533" s="2" t="s">
        <v>100</v>
      </c>
      <c r="H1533" s="2" t="s">
        <v>35</v>
      </c>
    </row>
    <row r="1534" spans="1:8" ht="13" hidden="1">
      <c r="A1534" s="15">
        <v>45522.607337627313</v>
      </c>
      <c r="B1534" s="16">
        <v>45520</v>
      </c>
      <c r="C1534" s="2" t="s">
        <v>20</v>
      </c>
      <c r="D1534" s="2" t="s">
        <v>39</v>
      </c>
      <c r="E1534" s="2">
        <v>1490</v>
      </c>
      <c r="F1534" s="2" t="s">
        <v>100</v>
      </c>
      <c r="H1534" s="2" t="s">
        <v>35</v>
      </c>
    </row>
    <row r="1535" spans="1:8" ht="13" hidden="1">
      <c r="A1535" s="15">
        <v>45522.601621145834</v>
      </c>
      <c r="B1535" s="16">
        <v>45521</v>
      </c>
      <c r="C1535" s="2" t="s">
        <v>707</v>
      </c>
      <c r="D1535" s="2" t="s">
        <v>39</v>
      </c>
      <c r="E1535" s="2">
        <v>1200</v>
      </c>
      <c r="F1535" s="2" t="s">
        <v>102</v>
      </c>
      <c r="G1535" s="2" t="s">
        <v>667</v>
      </c>
      <c r="H1535" s="2" t="s">
        <v>35</v>
      </c>
    </row>
    <row r="1536" spans="1:8" ht="13" hidden="1">
      <c r="A1536" s="15">
        <v>45522.602035150463</v>
      </c>
      <c r="B1536" s="16">
        <v>45521</v>
      </c>
      <c r="C1536" s="2" t="s">
        <v>708</v>
      </c>
      <c r="D1536" s="2" t="s">
        <v>38</v>
      </c>
      <c r="E1536" s="2">
        <v>403</v>
      </c>
      <c r="F1536" s="2" t="s">
        <v>102</v>
      </c>
      <c r="G1536" s="2" t="s">
        <v>356</v>
      </c>
      <c r="H1536" s="2" t="s">
        <v>35</v>
      </c>
    </row>
    <row r="1537" spans="1:8" ht="13" hidden="1">
      <c r="A1537" s="15">
        <v>45529.696118229171</v>
      </c>
      <c r="B1537" s="16">
        <v>45521</v>
      </c>
      <c r="C1537" s="2" t="s">
        <v>240</v>
      </c>
      <c r="D1537" s="2" t="s">
        <v>42</v>
      </c>
      <c r="E1537" s="2">
        <v>330</v>
      </c>
      <c r="F1537" s="2" t="s">
        <v>100</v>
      </c>
      <c r="H1537" s="2" t="s">
        <v>35</v>
      </c>
    </row>
    <row r="1538" spans="1:8" ht="13" hidden="1">
      <c r="A1538" s="15">
        <v>45522.602360902776</v>
      </c>
      <c r="B1538" s="16">
        <v>45522</v>
      </c>
      <c r="C1538" s="2" t="s">
        <v>163</v>
      </c>
      <c r="D1538" s="2" t="s">
        <v>38</v>
      </c>
      <c r="E1538" s="2">
        <v>1900</v>
      </c>
      <c r="F1538" s="2" t="s">
        <v>102</v>
      </c>
      <c r="G1538" s="2" t="s">
        <v>164</v>
      </c>
      <c r="H1538" s="2" t="s">
        <v>35</v>
      </c>
    </row>
    <row r="1539" spans="1:8" ht="13" hidden="1">
      <c r="A1539" s="15">
        <v>45522.60263115741</v>
      </c>
      <c r="B1539" s="16">
        <v>45522</v>
      </c>
      <c r="C1539" s="2" t="s">
        <v>708</v>
      </c>
      <c r="D1539" s="2" t="s">
        <v>38</v>
      </c>
      <c r="E1539" s="2">
        <v>240</v>
      </c>
      <c r="F1539" s="2" t="s">
        <v>102</v>
      </c>
      <c r="G1539" s="2" t="s">
        <v>103</v>
      </c>
      <c r="H1539" s="2" t="s">
        <v>35</v>
      </c>
    </row>
    <row r="1540" spans="1:8" ht="13" hidden="1">
      <c r="A1540" s="15">
        <v>45522.603017615736</v>
      </c>
      <c r="B1540" s="16">
        <v>45522</v>
      </c>
      <c r="C1540" s="2" t="s">
        <v>682</v>
      </c>
      <c r="D1540" s="2" t="s">
        <v>45</v>
      </c>
      <c r="E1540" s="2">
        <v>1306</v>
      </c>
      <c r="F1540" s="2" t="s">
        <v>102</v>
      </c>
      <c r="G1540" s="2" t="s">
        <v>285</v>
      </c>
      <c r="H1540" s="2" t="s">
        <v>35</v>
      </c>
    </row>
    <row r="1541" spans="1:8" ht="13" hidden="1">
      <c r="A1541" s="15">
        <v>45529.696458449078</v>
      </c>
      <c r="B1541" s="16">
        <v>45522</v>
      </c>
      <c r="C1541" s="2" t="s">
        <v>116</v>
      </c>
      <c r="D1541" s="2" t="s">
        <v>38</v>
      </c>
      <c r="E1541" s="2">
        <v>1709</v>
      </c>
      <c r="F1541" s="2" t="s">
        <v>100</v>
      </c>
      <c r="G1541" s="2" t="s">
        <v>652</v>
      </c>
      <c r="H1541" s="2" t="s">
        <v>35</v>
      </c>
    </row>
    <row r="1542" spans="1:8" ht="13" hidden="1">
      <c r="A1542" s="15">
        <v>45529.689504965281</v>
      </c>
      <c r="B1542" s="16">
        <v>45523</v>
      </c>
      <c r="C1542" s="2" t="s">
        <v>106</v>
      </c>
      <c r="D1542" s="2" t="s">
        <v>38</v>
      </c>
      <c r="E1542" s="2">
        <v>1200</v>
      </c>
      <c r="F1542" s="2" t="s">
        <v>102</v>
      </c>
      <c r="H1542" s="2" t="s">
        <v>35</v>
      </c>
    </row>
    <row r="1543" spans="1:8" ht="13" hidden="1">
      <c r="A1543" s="15">
        <v>45529.689777141204</v>
      </c>
      <c r="B1543" s="16">
        <v>45523</v>
      </c>
      <c r="C1543" s="2" t="s">
        <v>112</v>
      </c>
      <c r="D1543" s="2" t="s">
        <v>38</v>
      </c>
      <c r="E1543" s="2">
        <v>120</v>
      </c>
      <c r="F1543" s="2" t="s">
        <v>102</v>
      </c>
      <c r="G1543" s="2" t="s">
        <v>103</v>
      </c>
      <c r="H1543" s="2" t="s">
        <v>35</v>
      </c>
    </row>
    <row r="1544" spans="1:8" ht="13" hidden="1">
      <c r="A1544" s="15">
        <v>45529.690277500005</v>
      </c>
      <c r="B1544" s="16">
        <v>45523</v>
      </c>
      <c r="C1544" s="2" t="s">
        <v>709</v>
      </c>
      <c r="D1544" s="2" t="s">
        <v>45</v>
      </c>
      <c r="E1544" s="2">
        <v>1070</v>
      </c>
      <c r="F1544" s="2" t="s">
        <v>102</v>
      </c>
      <c r="G1544" s="2" t="s">
        <v>356</v>
      </c>
      <c r="H1544" s="2" t="s">
        <v>35</v>
      </c>
    </row>
    <row r="1545" spans="1:8" ht="13" hidden="1">
      <c r="A1545" s="15">
        <v>45529.696817175922</v>
      </c>
      <c r="B1545" s="16">
        <v>45524</v>
      </c>
      <c r="C1545" s="2" t="s">
        <v>116</v>
      </c>
      <c r="D1545" s="2" t="s">
        <v>38</v>
      </c>
      <c r="E1545" s="2">
        <v>1200</v>
      </c>
      <c r="F1545" s="2" t="s">
        <v>100</v>
      </c>
      <c r="G1545" s="2" t="s">
        <v>652</v>
      </c>
      <c r="H1545" s="2" t="s">
        <v>35</v>
      </c>
    </row>
    <row r="1546" spans="1:8" ht="13" hidden="1">
      <c r="A1546" s="15">
        <v>45529.697169513893</v>
      </c>
      <c r="B1546" s="16">
        <v>45524</v>
      </c>
      <c r="C1546" s="2" t="s">
        <v>24</v>
      </c>
      <c r="D1546" s="2" t="s">
        <v>45</v>
      </c>
      <c r="E1546" s="2">
        <v>1100</v>
      </c>
      <c r="F1546" s="2" t="s">
        <v>100</v>
      </c>
      <c r="H1546" s="2" t="s">
        <v>35</v>
      </c>
    </row>
    <row r="1547" spans="1:8" ht="13" hidden="1">
      <c r="A1547" s="15">
        <v>45529.697573391204</v>
      </c>
      <c r="B1547" s="16">
        <v>45524</v>
      </c>
      <c r="C1547" s="2" t="s">
        <v>533</v>
      </c>
      <c r="D1547" s="2" t="s">
        <v>46</v>
      </c>
      <c r="E1547" s="2">
        <v>2400</v>
      </c>
      <c r="F1547" s="2" t="s">
        <v>100</v>
      </c>
      <c r="G1547" s="2" t="s">
        <v>129</v>
      </c>
      <c r="H1547" s="2" t="s">
        <v>35</v>
      </c>
    </row>
    <row r="1548" spans="1:8" ht="13" hidden="1">
      <c r="A1548" s="15">
        <v>45529.690520601856</v>
      </c>
      <c r="B1548" s="16">
        <v>45525</v>
      </c>
      <c r="C1548" s="2" t="s">
        <v>106</v>
      </c>
      <c r="D1548" s="2" t="s">
        <v>38</v>
      </c>
      <c r="E1548" s="2">
        <v>990</v>
      </c>
      <c r="F1548" s="2" t="s">
        <v>102</v>
      </c>
      <c r="H1548" s="2" t="s">
        <v>35</v>
      </c>
    </row>
    <row r="1549" spans="1:8" ht="13" hidden="1">
      <c r="A1549" s="15">
        <v>45529.690966319446</v>
      </c>
      <c r="B1549" s="16">
        <v>45525</v>
      </c>
      <c r="C1549" s="2" t="s">
        <v>682</v>
      </c>
      <c r="D1549" s="2" t="s">
        <v>45</v>
      </c>
      <c r="E1549" s="2">
        <v>537</v>
      </c>
      <c r="F1549" s="2" t="s">
        <v>102</v>
      </c>
      <c r="G1549" s="2" t="s">
        <v>285</v>
      </c>
      <c r="H1549" s="2" t="s">
        <v>35</v>
      </c>
    </row>
    <row r="1550" spans="1:8" ht="13" hidden="1">
      <c r="A1550" s="15">
        <v>45529.6912390625</v>
      </c>
      <c r="B1550" s="16">
        <v>45525</v>
      </c>
      <c r="C1550" s="2" t="s">
        <v>674</v>
      </c>
      <c r="D1550" s="2" t="s">
        <v>39</v>
      </c>
      <c r="E1550" s="2">
        <v>2800</v>
      </c>
      <c r="F1550" s="2" t="s">
        <v>102</v>
      </c>
      <c r="H1550" s="2" t="s">
        <v>35</v>
      </c>
    </row>
    <row r="1551" spans="1:8" ht="13" hidden="1">
      <c r="A1551" s="15">
        <v>45529.698067731486</v>
      </c>
      <c r="B1551" s="16">
        <v>45525</v>
      </c>
      <c r="C1551" s="2" t="s">
        <v>350</v>
      </c>
      <c r="D1551" s="2" t="s">
        <v>40</v>
      </c>
      <c r="E1551" s="2">
        <v>1000</v>
      </c>
      <c r="F1551" s="2" t="s">
        <v>100</v>
      </c>
      <c r="H1551" s="2" t="s">
        <v>35</v>
      </c>
    </row>
    <row r="1552" spans="1:8" ht="13" hidden="1">
      <c r="A1552" s="15">
        <v>45529.691529849537</v>
      </c>
      <c r="B1552" s="16">
        <v>45526</v>
      </c>
      <c r="C1552" s="2" t="s">
        <v>106</v>
      </c>
      <c r="D1552" s="2" t="s">
        <v>38</v>
      </c>
      <c r="E1552" s="2">
        <v>1400</v>
      </c>
      <c r="F1552" s="2" t="s">
        <v>102</v>
      </c>
      <c r="H1552" s="2" t="s">
        <v>35</v>
      </c>
    </row>
    <row r="1553" spans="1:8" ht="13" hidden="1">
      <c r="A1553" s="15">
        <v>45529.69178543982</v>
      </c>
      <c r="B1553" s="16">
        <v>45526</v>
      </c>
      <c r="C1553" s="2" t="s">
        <v>112</v>
      </c>
      <c r="D1553" s="2" t="s">
        <v>38</v>
      </c>
      <c r="E1553" s="2">
        <v>120</v>
      </c>
      <c r="F1553" s="2" t="s">
        <v>102</v>
      </c>
      <c r="G1553" s="2" t="s">
        <v>103</v>
      </c>
      <c r="H1553" s="2" t="s">
        <v>35</v>
      </c>
    </row>
    <row r="1554" spans="1:8" ht="13" hidden="1">
      <c r="A1554" s="15">
        <v>45529.698288993051</v>
      </c>
      <c r="B1554" s="16">
        <v>45526</v>
      </c>
      <c r="C1554" s="2" t="s">
        <v>247</v>
      </c>
      <c r="D1554" s="2" t="s">
        <v>39</v>
      </c>
      <c r="E1554" s="2">
        <v>1100</v>
      </c>
      <c r="F1554" s="2" t="s">
        <v>100</v>
      </c>
      <c r="H1554" s="2" t="s">
        <v>35</v>
      </c>
    </row>
    <row r="1555" spans="1:8" ht="13" hidden="1">
      <c r="A1555" s="15">
        <v>45529.692182870371</v>
      </c>
      <c r="B1555" s="16">
        <v>45527</v>
      </c>
      <c r="C1555" s="2" t="s">
        <v>710</v>
      </c>
      <c r="D1555" s="2" t="s">
        <v>45</v>
      </c>
      <c r="E1555" s="2">
        <v>613</v>
      </c>
      <c r="F1555" s="2" t="s">
        <v>102</v>
      </c>
      <c r="G1555" s="2" t="s">
        <v>285</v>
      </c>
      <c r="H1555" s="2" t="s">
        <v>35</v>
      </c>
    </row>
    <row r="1556" spans="1:8" ht="13" hidden="1">
      <c r="A1556" s="15">
        <v>45529.692462916668</v>
      </c>
      <c r="B1556" s="16">
        <v>45527</v>
      </c>
      <c r="C1556" s="2" t="s">
        <v>106</v>
      </c>
      <c r="D1556" s="2" t="s">
        <v>38</v>
      </c>
      <c r="E1556" s="2">
        <v>650</v>
      </c>
      <c r="F1556" s="2" t="s">
        <v>102</v>
      </c>
      <c r="G1556" s="2" t="s">
        <v>593</v>
      </c>
      <c r="H1556" s="2" t="s">
        <v>35</v>
      </c>
    </row>
    <row r="1557" spans="1:8" ht="13" hidden="1">
      <c r="A1557" s="15">
        <v>45529.692744942135</v>
      </c>
      <c r="B1557" s="16">
        <v>45527</v>
      </c>
      <c r="C1557" s="2" t="s">
        <v>114</v>
      </c>
      <c r="D1557" s="2" t="s">
        <v>38</v>
      </c>
      <c r="E1557" s="2">
        <v>138</v>
      </c>
      <c r="F1557" s="2" t="s">
        <v>102</v>
      </c>
      <c r="G1557" s="2" t="s">
        <v>356</v>
      </c>
      <c r="H1557" s="2" t="s">
        <v>35</v>
      </c>
    </row>
    <row r="1558" spans="1:8" ht="13" hidden="1">
      <c r="A1558" s="15">
        <v>45529.69513368055</v>
      </c>
      <c r="B1558" s="16">
        <v>45527</v>
      </c>
      <c r="C1558" s="2" t="s">
        <v>711</v>
      </c>
      <c r="E1558" s="2">
        <v>344837</v>
      </c>
      <c r="H1558" s="2" t="s">
        <v>34</v>
      </c>
    </row>
    <row r="1559" spans="1:8" ht="13" hidden="1">
      <c r="A1559" s="15">
        <v>45529.693076145835</v>
      </c>
      <c r="B1559" s="16">
        <v>45528</v>
      </c>
      <c r="C1559" s="2" t="s">
        <v>712</v>
      </c>
      <c r="D1559" s="2" t="s">
        <v>39</v>
      </c>
      <c r="E1559" s="2">
        <v>3500</v>
      </c>
      <c r="F1559" s="2" t="s">
        <v>102</v>
      </c>
      <c r="H1559" s="2" t="s">
        <v>35</v>
      </c>
    </row>
    <row r="1560" spans="1:8" ht="13" hidden="1">
      <c r="A1560" s="15">
        <v>45531.797625787032</v>
      </c>
      <c r="B1560" s="16">
        <v>45528</v>
      </c>
      <c r="C1560" s="2" t="s">
        <v>398</v>
      </c>
      <c r="D1560" s="2" t="s">
        <v>38</v>
      </c>
      <c r="E1560" s="2">
        <v>181</v>
      </c>
      <c r="F1560" s="2" t="s">
        <v>102</v>
      </c>
      <c r="G1560" s="2" t="s">
        <v>107</v>
      </c>
      <c r="H1560" s="2" t="s">
        <v>35</v>
      </c>
    </row>
    <row r="1561" spans="1:8" ht="13" hidden="1">
      <c r="A1561" s="15">
        <v>45531.797886400462</v>
      </c>
      <c r="B1561" s="16">
        <v>45528</v>
      </c>
      <c r="C1561" s="2" t="s">
        <v>421</v>
      </c>
      <c r="D1561" s="2" t="s">
        <v>152</v>
      </c>
      <c r="E1561" s="2">
        <v>400</v>
      </c>
      <c r="F1561" s="2" t="s">
        <v>102</v>
      </c>
      <c r="H1561" s="2" t="s">
        <v>35</v>
      </c>
    </row>
    <row r="1562" spans="1:8" ht="13" hidden="1">
      <c r="A1562" s="15">
        <v>45522.608980324076</v>
      </c>
      <c r="B1562" s="16">
        <v>45529</v>
      </c>
      <c r="C1562" s="2" t="s">
        <v>11</v>
      </c>
      <c r="D1562" s="2" t="s">
        <v>47</v>
      </c>
      <c r="E1562" s="2">
        <v>30000</v>
      </c>
      <c r="F1562" s="2" t="s">
        <v>102</v>
      </c>
      <c r="H1562" s="2" t="s">
        <v>35</v>
      </c>
    </row>
    <row r="1563" spans="1:8" ht="13" hidden="1">
      <c r="A1563" s="15">
        <v>45529.693439826384</v>
      </c>
      <c r="B1563" s="16">
        <v>45529</v>
      </c>
      <c r="C1563" s="2" t="s">
        <v>44</v>
      </c>
      <c r="D1563" s="2" t="s">
        <v>44</v>
      </c>
      <c r="E1563" s="2">
        <v>2380</v>
      </c>
      <c r="F1563" s="2" t="s">
        <v>102</v>
      </c>
      <c r="G1563" s="2" t="s">
        <v>132</v>
      </c>
      <c r="H1563" s="2" t="s">
        <v>35</v>
      </c>
    </row>
    <row r="1564" spans="1:8" ht="13" hidden="1">
      <c r="A1564" s="15">
        <v>45536.657335555559</v>
      </c>
      <c r="B1564" s="16">
        <v>45529</v>
      </c>
      <c r="C1564" s="2" t="s">
        <v>240</v>
      </c>
      <c r="D1564" s="2" t="s">
        <v>42</v>
      </c>
      <c r="E1564" s="2">
        <v>330</v>
      </c>
      <c r="F1564" s="2" t="s">
        <v>100</v>
      </c>
      <c r="H1564" s="2" t="s">
        <v>35</v>
      </c>
    </row>
    <row r="1565" spans="1:8" ht="13" hidden="1">
      <c r="A1565" s="15">
        <v>45522.608343796295</v>
      </c>
      <c r="B1565" s="16">
        <v>45530</v>
      </c>
      <c r="C1565" s="2" t="s">
        <v>146</v>
      </c>
      <c r="D1565" s="2" t="s">
        <v>47</v>
      </c>
      <c r="E1565" s="2">
        <v>3400</v>
      </c>
      <c r="F1565" s="2" t="s">
        <v>102</v>
      </c>
      <c r="H1565" s="2" t="s">
        <v>35</v>
      </c>
    </row>
    <row r="1566" spans="1:8" ht="13" hidden="1">
      <c r="A1566" s="15">
        <v>45536.652190601853</v>
      </c>
      <c r="B1566" s="16">
        <v>45530</v>
      </c>
      <c r="C1566" s="2" t="s">
        <v>713</v>
      </c>
      <c r="D1566" s="2" t="s">
        <v>38</v>
      </c>
      <c r="E1566" s="2">
        <v>386</v>
      </c>
      <c r="F1566" s="2" t="s">
        <v>102</v>
      </c>
      <c r="G1566" s="2" t="s">
        <v>356</v>
      </c>
      <c r="H1566" s="2" t="s">
        <v>35</v>
      </c>
    </row>
    <row r="1567" spans="1:8" ht="13" hidden="1">
      <c r="A1567" s="15">
        <v>45536.657640879625</v>
      </c>
      <c r="B1567" s="16">
        <v>45530</v>
      </c>
      <c r="C1567" s="2" t="s">
        <v>116</v>
      </c>
      <c r="D1567" s="2" t="s">
        <v>38</v>
      </c>
      <c r="E1567" s="2">
        <v>1704</v>
      </c>
      <c r="F1567" s="2" t="s">
        <v>100</v>
      </c>
      <c r="G1567" s="2" t="s">
        <v>652</v>
      </c>
      <c r="H1567" s="2" t="s">
        <v>35</v>
      </c>
    </row>
    <row r="1568" spans="1:8" ht="13" hidden="1">
      <c r="A1568" s="15">
        <v>45522.607955891202</v>
      </c>
      <c r="B1568" s="16">
        <v>45531</v>
      </c>
      <c r="C1568" s="2" t="s">
        <v>714</v>
      </c>
      <c r="D1568" s="2" t="s">
        <v>5</v>
      </c>
      <c r="E1568" s="2">
        <v>93000</v>
      </c>
      <c r="F1568" s="2" t="s">
        <v>102</v>
      </c>
      <c r="H1568" s="2" t="s">
        <v>35</v>
      </c>
    </row>
    <row r="1569" spans="1:8" ht="13" hidden="1">
      <c r="A1569" s="15">
        <v>45522.608632083335</v>
      </c>
      <c r="B1569" s="16">
        <v>45531</v>
      </c>
      <c r="C1569" s="2" t="s">
        <v>9</v>
      </c>
      <c r="D1569" s="2" t="s">
        <v>47</v>
      </c>
      <c r="E1569" s="2">
        <v>13600</v>
      </c>
      <c r="F1569" s="2" t="s">
        <v>102</v>
      </c>
      <c r="H1569" s="2" t="s">
        <v>35</v>
      </c>
    </row>
    <row r="1570" spans="1:8" ht="13" hidden="1">
      <c r="A1570" s="15">
        <v>45522.609366226854</v>
      </c>
      <c r="B1570" s="16">
        <v>45531</v>
      </c>
      <c r="C1570" s="2" t="s">
        <v>133</v>
      </c>
      <c r="D1570" s="2" t="s">
        <v>47</v>
      </c>
      <c r="E1570" s="2">
        <v>20000</v>
      </c>
      <c r="F1570" s="2" t="s">
        <v>102</v>
      </c>
      <c r="H1570" s="2" t="s">
        <v>35</v>
      </c>
    </row>
    <row r="1571" spans="1:8" ht="13" hidden="1">
      <c r="A1571" s="15">
        <v>45522.609704594906</v>
      </c>
      <c r="B1571" s="16">
        <v>45531</v>
      </c>
      <c r="C1571" s="2" t="s">
        <v>17</v>
      </c>
      <c r="D1571" s="2" t="s">
        <v>45</v>
      </c>
      <c r="E1571" s="2">
        <v>8470</v>
      </c>
      <c r="F1571" s="2" t="s">
        <v>102</v>
      </c>
      <c r="H1571" s="2" t="s">
        <v>35</v>
      </c>
    </row>
    <row r="1572" spans="1:8" ht="13" hidden="1">
      <c r="A1572" s="15">
        <v>45522.609991192134</v>
      </c>
      <c r="B1572" s="16">
        <v>45531</v>
      </c>
      <c r="C1572" s="2" t="s">
        <v>408</v>
      </c>
      <c r="D1572" s="2" t="s">
        <v>152</v>
      </c>
      <c r="E1572" s="2">
        <v>10000</v>
      </c>
      <c r="F1572" s="2" t="s">
        <v>102</v>
      </c>
      <c r="H1572" s="2" t="s">
        <v>35</v>
      </c>
    </row>
    <row r="1573" spans="1:8" ht="13" hidden="1">
      <c r="A1573" s="15">
        <v>45536.658431284726</v>
      </c>
      <c r="B1573" s="16">
        <v>45531</v>
      </c>
      <c r="C1573" s="2" t="s">
        <v>368</v>
      </c>
      <c r="D1573" s="2" t="s">
        <v>39</v>
      </c>
      <c r="E1573" s="2">
        <v>1180</v>
      </c>
      <c r="F1573" s="2" t="s">
        <v>100</v>
      </c>
      <c r="H1573" s="2" t="s">
        <v>35</v>
      </c>
    </row>
    <row r="1574" spans="1:8" ht="13" hidden="1">
      <c r="A1574" s="15">
        <v>45536.652855462962</v>
      </c>
      <c r="B1574" s="16">
        <v>45532</v>
      </c>
      <c r="C1574" s="2" t="s">
        <v>715</v>
      </c>
      <c r="D1574" s="2" t="s">
        <v>45</v>
      </c>
      <c r="E1574" s="2">
        <v>1679</v>
      </c>
      <c r="F1574" s="2" t="s">
        <v>102</v>
      </c>
      <c r="G1574" s="2" t="s">
        <v>285</v>
      </c>
      <c r="H1574" s="2" t="s">
        <v>35</v>
      </c>
    </row>
    <row r="1575" spans="1:8" ht="13" hidden="1">
      <c r="A1575" s="15">
        <v>45536.65312289352</v>
      </c>
      <c r="B1575" s="16">
        <v>45532</v>
      </c>
      <c r="C1575" s="2" t="s">
        <v>601</v>
      </c>
      <c r="D1575" s="2" t="s">
        <v>38</v>
      </c>
      <c r="E1575" s="2">
        <v>213</v>
      </c>
      <c r="F1575" s="2" t="s">
        <v>102</v>
      </c>
      <c r="G1575" s="2" t="s">
        <v>145</v>
      </c>
      <c r="H1575" s="2" t="s">
        <v>35</v>
      </c>
    </row>
    <row r="1576" spans="1:8" ht="13" hidden="1">
      <c r="A1576" s="15">
        <v>45543.704162152775</v>
      </c>
      <c r="B1576" s="16">
        <v>45532</v>
      </c>
      <c r="C1576" s="2" t="s">
        <v>158</v>
      </c>
      <c r="D1576" s="2" t="s">
        <v>49</v>
      </c>
      <c r="E1576" s="2">
        <v>4980</v>
      </c>
      <c r="F1576" s="2" t="s">
        <v>100</v>
      </c>
      <c r="H1576" s="2" t="s">
        <v>35</v>
      </c>
    </row>
    <row r="1577" spans="1:8" ht="13" hidden="1">
      <c r="A1577" s="15">
        <v>45536.653420983799</v>
      </c>
      <c r="B1577" s="16">
        <v>45533</v>
      </c>
      <c r="C1577" s="2" t="s">
        <v>114</v>
      </c>
      <c r="D1577" s="2" t="s">
        <v>38</v>
      </c>
      <c r="E1577" s="2">
        <v>341</v>
      </c>
      <c r="F1577" s="2" t="s">
        <v>102</v>
      </c>
      <c r="G1577" s="2" t="s">
        <v>103</v>
      </c>
      <c r="H1577" s="2" t="s">
        <v>35</v>
      </c>
    </row>
    <row r="1578" spans="1:8" ht="13" hidden="1">
      <c r="A1578" s="15">
        <v>45536.653756423606</v>
      </c>
      <c r="B1578" s="16">
        <v>45533</v>
      </c>
      <c r="C1578" s="2" t="s">
        <v>542</v>
      </c>
      <c r="D1578" s="2" t="s">
        <v>39</v>
      </c>
      <c r="E1578" s="2">
        <v>500</v>
      </c>
      <c r="F1578" s="2" t="s">
        <v>102</v>
      </c>
      <c r="H1578" s="2" t="s">
        <v>35</v>
      </c>
    </row>
    <row r="1579" spans="1:8" ht="13" hidden="1">
      <c r="A1579" s="15">
        <v>45536.654018113426</v>
      </c>
      <c r="B1579" s="16">
        <v>45533</v>
      </c>
      <c r="C1579" s="2" t="s">
        <v>601</v>
      </c>
      <c r="D1579" s="2" t="s">
        <v>38</v>
      </c>
      <c r="E1579" s="2">
        <v>172</v>
      </c>
      <c r="F1579" s="2" t="s">
        <v>102</v>
      </c>
      <c r="G1579" s="2" t="s">
        <v>103</v>
      </c>
      <c r="H1579" s="2" t="s">
        <v>35</v>
      </c>
    </row>
    <row r="1580" spans="1:8" ht="13" hidden="1">
      <c r="A1580" s="15">
        <v>45536.654357071762</v>
      </c>
      <c r="B1580" s="16">
        <v>45533</v>
      </c>
      <c r="C1580" s="2" t="s">
        <v>106</v>
      </c>
      <c r="D1580" s="2" t="s">
        <v>38</v>
      </c>
      <c r="E1580" s="2">
        <v>1400</v>
      </c>
      <c r="F1580" s="2" t="s">
        <v>102</v>
      </c>
      <c r="G1580" s="2" t="s">
        <v>260</v>
      </c>
      <c r="H1580" s="2" t="s">
        <v>35</v>
      </c>
    </row>
    <row r="1581" spans="1:8" ht="13" hidden="1">
      <c r="A1581" s="15">
        <v>45536.654687731483</v>
      </c>
      <c r="B1581" s="16">
        <v>45533</v>
      </c>
      <c r="C1581" s="2" t="s">
        <v>716</v>
      </c>
      <c r="D1581" s="2" t="s">
        <v>38</v>
      </c>
      <c r="E1581" s="2">
        <v>216</v>
      </c>
      <c r="F1581" s="2" t="s">
        <v>102</v>
      </c>
      <c r="G1581" s="2" t="s">
        <v>103</v>
      </c>
      <c r="H1581" s="2" t="s">
        <v>35</v>
      </c>
    </row>
    <row r="1582" spans="1:8" ht="13" hidden="1">
      <c r="A1582" s="15">
        <v>45536.65507040509</v>
      </c>
      <c r="B1582" s="16">
        <v>45533</v>
      </c>
      <c r="C1582" s="2" t="s">
        <v>717</v>
      </c>
      <c r="D1582" s="2" t="s">
        <v>38</v>
      </c>
      <c r="E1582" s="2">
        <v>721</v>
      </c>
      <c r="F1582" s="2" t="s">
        <v>102</v>
      </c>
      <c r="G1582" s="2" t="s">
        <v>285</v>
      </c>
      <c r="H1582" s="2" t="s">
        <v>35</v>
      </c>
    </row>
    <row r="1583" spans="1:8" ht="13" hidden="1">
      <c r="A1583" s="15">
        <v>45543.704699942129</v>
      </c>
      <c r="B1583" s="16">
        <v>45534</v>
      </c>
      <c r="C1583" s="2" t="s">
        <v>718</v>
      </c>
      <c r="D1583" s="2" t="s">
        <v>45</v>
      </c>
      <c r="E1583" s="2">
        <v>7000</v>
      </c>
      <c r="F1583" s="2" t="s">
        <v>100</v>
      </c>
      <c r="G1583" s="2" t="s">
        <v>129</v>
      </c>
      <c r="H1583" s="2" t="s">
        <v>35</v>
      </c>
    </row>
    <row r="1584" spans="1:8" ht="13" hidden="1">
      <c r="A1584" s="15">
        <v>45543.704988854166</v>
      </c>
      <c r="B1584" s="16">
        <v>45535</v>
      </c>
      <c r="C1584" s="2" t="s">
        <v>240</v>
      </c>
      <c r="D1584" s="2" t="s">
        <v>42</v>
      </c>
      <c r="E1584" s="2">
        <v>990</v>
      </c>
      <c r="F1584" s="2" t="s">
        <v>100</v>
      </c>
      <c r="H1584" s="2" t="s">
        <v>35</v>
      </c>
    </row>
    <row r="1585" spans="1:8" ht="13" hidden="1">
      <c r="A1585" s="15">
        <v>45543.705374849538</v>
      </c>
      <c r="B1585" s="16">
        <v>45535</v>
      </c>
      <c r="C1585" s="2" t="s">
        <v>116</v>
      </c>
      <c r="D1585" s="2" t="s">
        <v>38</v>
      </c>
      <c r="E1585" s="2">
        <v>2586</v>
      </c>
      <c r="F1585" s="2" t="s">
        <v>100</v>
      </c>
      <c r="G1585" s="2" t="s">
        <v>652</v>
      </c>
      <c r="H1585" s="2" t="s">
        <v>35</v>
      </c>
    </row>
    <row r="1586" spans="1:8" ht="13" hidden="1">
      <c r="A1586" s="15">
        <v>45536.655375798611</v>
      </c>
      <c r="B1586" s="16">
        <v>45536</v>
      </c>
      <c r="C1586" s="2" t="s">
        <v>719</v>
      </c>
      <c r="D1586" s="2" t="s">
        <v>45</v>
      </c>
      <c r="E1586" s="2">
        <v>1668</v>
      </c>
      <c r="F1586" s="2" t="s">
        <v>102</v>
      </c>
      <c r="G1586" s="2" t="s">
        <v>285</v>
      </c>
      <c r="H1586" s="2" t="s">
        <v>35</v>
      </c>
    </row>
    <row r="1587" spans="1:8" ht="13" hidden="1">
      <c r="A1587" s="15">
        <v>45543.697758541668</v>
      </c>
      <c r="B1587" s="16">
        <v>45536</v>
      </c>
      <c r="C1587" s="2" t="s">
        <v>720</v>
      </c>
      <c r="D1587" s="2" t="s">
        <v>39</v>
      </c>
      <c r="E1587" s="2">
        <v>5000</v>
      </c>
      <c r="F1587" s="2" t="s">
        <v>102</v>
      </c>
      <c r="H1587" s="2" t="s">
        <v>35</v>
      </c>
    </row>
    <row r="1588" spans="1:8" ht="13" hidden="1">
      <c r="A1588" s="15">
        <v>45543.70568082176</v>
      </c>
      <c r="B1588" s="16">
        <v>45536</v>
      </c>
      <c r="C1588" s="2" t="s">
        <v>350</v>
      </c>
      <c r="D1588" s="2" t="s">
        <v>40</v>
      </c>
      <c r="E1588" s="2">
        <v>1000</v>
      </c>
      <c r="F1588" s="2" t="s">
        <v>100</v>
      </c>
      <c r="H1588" s="2" t="s">
        <v>35</v>
      </c>
    </row>
    <row r="1589" spans="1:8" ht="13" hidden="1">
      <c r="A1589" s="15">
        <v>45543.705931238423</v>
      </c>
      <c r="B1589" s="16">
        <v>45536</v>
      </c>
      <c r="C1589" s="2" t="s">
        <v>721</v>
      </c>
      <c r="D1589" s="2" t="s">
        <v>49</v>
      </c>
      <c r="E1589" s="2">
        <v>2500</v>
      </c>
      <c r="F1589" s="2" t="s">
        <v>100</v>
      </c>
      <c r="H1589" s="2" t="s">
        <v>35</v>
      </c>
    </row>
    <row r="1590" spans="1:8" ht="13" hidden="1">
      <c r="A1590" s="15">
        <v>45543.706208460644</v>
      </c>
      <c r="B1590" s="16">
        <v>45536</v>
      </c>
      <c r="C1590" s="2" t="s">
        <v>248</v>
      </c>
      <c r="D1590" s="2" t="s">
        <v>49</v>
      </c>
      <c r="E1590" s="2">
        <v>700</v>
      </c>
      <c r="F1590" s="2" t="s">
        <v>100</v>
      </c>
      <c r="G1590" s="2" t="s">
        <v>179</v>
      </c>
      <c r="H1590" s="2" t="s">
        <v>35</v>
      </c>
    </row>
    <row r="1591" spans="1:8" ht="13" hidden="1">
      <c r="A1591" s="15">
        <v>45543.706606747684</v>
      </c>
      <c r="B1591" s="16">
        <v>45536</v>
      </c>
      <c r="C1591" s="2" t="s">
        <v>10</v>
      </c>
      <c r="D1591" s="2" t="s">
        <v>45</v>
      </c>
      <c r="E1591" s="2">
        <v>280</v>
      </c>
      <c r="F1591" s="2" t="s">
        <v>100</v>
      </c>
      <c r="H1591" s="2" t="s">
        <v>35</v>
      </c>
    </row>
    <row r="1592" spans="1:8" ht="13" hidden="1">
      <c r="A1592" s="15">
        <v>45543.698045636571</v>
      </c>
      <c r="B1592" s="16">
        <v>45537</v>
      </c>
      <c r="C1592" s="2" t="s">
        <v>106</v>
      </c>
      <c r="D1592" s="2" t="s">
        <v>38</v>
      </c>
      <c r="E1592" s="2">
        <v>1500</v>
      </c>
      <c r="F1592" s="2" t="s">
        <v>102</v>
      </c>
      <c r="G1592" s="2" t="s">
        <v>200</v>
      </c>
      <c r="H1592" s="2" t="s">
        <v>35</v>
      </c>
    </row>
    <row r="1593" spans="1:8" ht="13" hidden="1">
      <c r="A1593" s="15">
        <v>45543.69834560185</v>
      </c>
      <c r="B1593" s="16">
        <v>45537</v>
      </c>
      <c r="C1593" s="2" t="s">
        <v>112</v>
      </c>
      <c r="D1593" s="2" t="s">
        <v>38</v>
      </c>
      <c r="E1593" s="2">
        <v>120</v>
      </c>
      <c r="F1593" s="2" t="s">
        <v>102</v>
      </c>
      <c r="G1593" s="2" t="s">
        <v>103</v>
      </c>
      <c r="H1593" s="2" t="s">
        <v>35</v>
      </c>
    </row>
    <row r="1594" spans="1:8" ht="13" hidden="1">
      <c r="A1594" s="15">
        <v>45543.706875578704</v>
      </c>
      <c r="B1594" s="16">
        <v>45537</v>
      </c>
      <c r="C1594" s="2" t="s">
        <v>722</v>
      </c>
      <c r="D1594" s="2" t="s">
        <v>39</v>
      </c>
      <c r="E1594" s="2">
        <v>3300</v>
      </c>
      <c r="F1594" s="2" t="s">
        <v>100</v>
      </c>
      <c r="H1594" s="2" t="s">
        <v>35</v>
      </c>
    </row>
    <row r="1595" spans="1:8" ht="13" hidden="1">
      <c r="A1595" s="15">
        <v>45543.707420949075</v>
      </c>
      <c r="B1595" s="16">
        <v>45538</v>
      </c>
      <c r="C1595" s="2" t="s">
        <v>454</v>
      </c>
      <c r="D1595" s="2" t="s">
        <v>45</v>
      </c>
      <c r="E1595" s="2">
        <v>1099</v>
      </c>
      <c r="F1595" s="2" t="s">
        <v>100</v>
      </c>
      <c r="G1595" s="2" t="s">
        <v>129</v>
      </c>
      <c r="H1595" s="2" t="s">
        <v>35</v>
      </c>
    </row>
    <row r="1596" spans="1:8" ht="13" hidden="1">
      <c r="A1596" s="15">
        <v>45543.707790821762</v>
      </c>
      <c r="B1596" s="16">
        <v>45538</v>
      </c>
      <c r="C1596" s="2" t="s">
        <v>397</v>
      </c>
      <c r="D1596" s="2" t="s">
        <v>45</v>
      </c>
      <c r="E1596" s="2">
        <v>4290</v>
      </c>
      <c r="F1596" s="2" t="s">
        <v>100</v>
      </c>
      <c r="G1596" s="2" t="s">
        <v>129</v>
      </c>
      <c r="H1596" s="2" t="s">
        <v>35</v>
      </c>
    </row>
    <row r="1597" spans="1:8" ht="13" hidden="1">
      <c r="A1597" s="15">
        <v>45543.698591423614</v>
      </c>
      <c r="B1597" s="16">
        <v>45539</v>
      </c>
      <c r="C1597" s="2" t="s">
        <v>351</v>
      </c>
      <c r="D1597" s="2" t="s">
        <v>38</v>
      </c>
      <c r="E1597" s="2">
        <v>1100</v>
      </c>
      <c r="F1597" s="2" t="s">
        <v>102</v>
      </c>
      <c r="H1597" s="2" t="s">
        <v>35</v>
      </c>
    </row>
    <row r="1598" spans="1:8" ht="13" hidden="1">
      <c r="A1598" s="15">
        <v>45543.698871689819</v>
      </c>
      <c r="B1598" s="16">
        <v>45539</v>
      </c>
      <c r="C1598" s="2" t="s">
        <v>112</v>
      </c>
      <c r="D1598" s="2" t="s">
        <v>38</v>
      </c>
      <c r="E1598" s="2">
        <v>140</v>
      </c>
      <c r="F1598" s="2" t="s">
        <v>102</v>
      </c>
      <c r="G1598" s="2" t="s">
        <v>103</v>
      </c>
      <c r="H1598" s="2" t="s">
        <v>35</v>
      </c>
    </row>
    <row r="1599" spans="1:8" ht="13" hidden="1">
      <c r="A1599" s="15">
        <v>45543.699123136576</v>
      </c>
      <c r="B1599" s="16">
        <v>45539</v>
      </c>
      <c r="C1599" s="2" t="s">
        <v>674</v>
      </c>
      <c r="D1599" s="2" t="s">
        <v>39</v>
      </c>
      <c r="E1599" s="2">
        <v>2250</v>
      </c>
      <c r="F1599" s="2" t="s">
        <v>102</v>
      </c>
      <c r="H1599" s="2" t="s">
        <v>35</v>
      </c>
    </row>
    <row r="1600" spans="1:8" ht="13" hidden="1">
      <c r="A1600" s="15">
        <v>45543.703879027773</v>
      </c>
      <c r="B1600" s="16">
        <v>45501</v>
      </c>
      <c r="C1600" s="2" t="s">
        <v>116</v>
      </c>
      <c r="D1600" s="2" t="s">
        <v>38</v>
      </c>
      <c r="E1600" s="2">
        <v>2216</v>
      </c>
      <c r="F1600" s="2" t="s">
        <v>100</v>
      </c>
      <c r="G1600" s="2" t="s">
        <v>652</v>
      </c>
      <c r="H1600" s="2" t="s">
        <v>35</v>
      </c>
    </row>
    <row r="1601" spans="1:8" ht="13" hidden="1">
      <c r="A1601" s="15">
        <v>45543.69942986111</v>
      </c>
      <c r="B1601" s="16">
        <v>45539</v>
      </c>
      <c r="C1601" s="2" t="s">
        <v>114</v>
      </c>
      <c r="D1601" s="2" t="s">
        <v>38</v>
      </c>
      <c r="E1601" s="2">
        <v>168</v>
      </c>
      <c r="F1601" s="2" t="s">
        <v>102</v>
      </c>
      <c r="G1601" s="2" t="s">
        <v>356</v>
      </c>
      <c r="H1601" s="2" t="s">
        <v>35</v>
      </c>
    </row>
    <row r="1602" spans="1:8" ht="13" hidden="1">
      <c r="A1602" s="15">
        <v>45543.708964675927</v>
      </c>
      <c r="B1602" s="16">
        <v>45539</v>
      </c>
      <c r="C1602" s="2" t="s">
        <v>258</v>
      </c>
      <c r="E1602" s="2">
        <v>11080</v>
      </c>
      <c r="H1602" s="2" t="s">
        <v>34</v>
      </c>
    </row>
    <row r="1603" spans="1:8" ht="13" hidden="1">
      <c r="A1603" s="15">
        <v>45543.699807581019</v>
      </c>
      <c r="B1603" s="16">
        <v>45540</v>
      </c>
      <c r="C1603" s="2" t="s">
        <v>723</v>
      </c>
      <c r="D1603" s="2" t="s">
        <v>39</v>
      </c>
      <c r="E1603" s="2">
        <v>370</v>
      </c>
      <c r="F1603" s="2" t="s">
        <v>102</v>
      </c>
      <c r="H1603" s="2" t="s">
        <v>35</v>
      </c>
    </row>
    <row r="1604" spans="1:8" ht="13" hidden="1">
      <c r="A1604" s="15">
        <v>45543.708080324075</v>
      </c>
      <c r="B1604" s="16">
        <v>45540</v>
      </c>
      <c r="C1604" s="2" t="s">
        <v>116</v>
      </c>
      <c r="D1604" s="2" t="s">
        <v>38</v>
      </c>
      <c r="E1604" s="2">
        <v>1131</v>
      </c>
      <c r="F1604" s="2" t="s">
        <v>100</v>
      </c>
      <c r="G1604" s="2" t="s">
        <v>652</v>
      </c>
      <c r="H1604" s="2" t="s">
        <v>35</v>
      </c>
    </row>
    <row r="1605" spans="1:8" ht="13" hidden="1">
      <c r="A1605" s="15">
        <v>45543.708393136578</v>
      </c>
      <c r="B1605" s="16">
        <v>45540</v>
      </c>
      <c r="C1605" s="2" t="s">
        <v>724</v>
      </c>
      <c r="D1605" s="2" t="s">
        <v>45</v>
      </c>
      <c r="E1605" s="2">
        <v>1280</v>
      </c>
      <c r="F1605" s="2" t="s">
        <v>100</v>
      </c>
      <c r="G1605" s="2" t="s">
        <v>129</v>
      </c>
      <c r="H1605" s="2" t="s">
        <v>35</v>
      </c>
    </row>
    <row r="1606" spans="1:8" ht="13" hidden="1">
      <c r="A1606" s="15">
        <v>45543.700107129625</v>
      </c>
      <c r="B1606" s="16">
        <v>45541</v>
      </c>
      <c r="C1606" s="2" t="s">
        <v>725</v>
      </c>
      <c r="D1606" s="2" t="s">
        <v>39</v>
      </c>
      <c r="E1606" s="2">
        <v>6000</v>
      </c>
      <c r="F1606" s="2" t="s">
        <v>102</v>
      </c>
      <c r="H1606" s="2" t="s">
        <v>35</v>
      </c>
    </row>
    <row r="1607" spans="1:8" ht="13" hidden="1">
      <c r="A1607" s="15">
        <v>45543.700360763891</v>
      </c>
      <c r="B1607" s="16">
        <v>45541</v>
      </c>
      <c r="C1607" s="2" t="s">
        <v>112</v>
      </c>
      <c r="D1607" s="2" t="s">
        <v>38</v>
      </c>
      <c r="E1607" s="2">
        <v>120</v>
      </c>
      <c r="F1607" s="2" t="s">
        <v>102</v>
      </c>
      <c r="G1607" s="2" t="s">
        <v>103</v>
      </c>
      <c r="H1607" s="2" t="s">
        <v>35</v>
      </c>
    </row>
    <row r="1608" spans="1:8" ht="13" hidden="1">
      <c r="A1608" s="15">
        <v>45543.700699629626</v>
      </c>
      <c r="B1608" s="16">
        <v>45541</v>
      </c>
      <c r="C1608" s="2" t="s">
        <v>106</v>
      </c>
      <c r="D1608" s="2" t="s">
        <v>38</v>
      </c>
      <c r="E1608" s="2">
        <v>1500</v>
      </c>
      <c r="F1608" s="2" t="s">
        <v>102</v>
      </c>
      <c r="G1608" s="2" t="s">
        <v>726</v>
      </c>
      <c r="H1608" s="2" t="s">
        <v>35</v>
      </c>
    </row>
    <row r="1609" spans="1:8" ht="13" hidden="1">
      <c r="A1609" s="15">
        <v>45543.701032905097</v>
      </c>
      <c r="B1609" s="16">
        <v>45542</v>
      </c>
      <c r="C1609" s="2" t="s">
        <v>204</v>
      </c>
      <c r="D1609" s="2" t="s">
        <v>45</v>
      </c>
      <c r="E1609" s="2">
        <v>3700</v>
      </c>
      <c r="F1609" s="2" t="s">
        <v>102</v>
      </c>
      <c r="G1609" s="2" t="s">
        <v>692</v>
      </c>
      <c r="H1609" s="2" t="s">
        <v>35</v>
      </c>
    </row>
    <row r="1610" spans="1:8" ht="13" hidden="1">
      <c r="A1610" s="15">
        <v>45543.701293761573</v>
      </c>
      <c r="B1610" s="16">
        <v>45542</v>
      </c>
      <c r="C1610" s="2" t="s">
        <v>485</v>
      </c>
      <c r="D1610" s="2" t="s">
        <v>46</v>
      </c>
      <c r="E1610" s="2">
        <v>1320</v>
      </c>
      <c r="F1610" s="2" t="s">
        <v>102</v>
      </c>
      <c r="G1610" s="2" t="s">
        <v>306</v>
      </c>
      <c r="H1610" s="2" t="s">
        <v>35</v>
      </c>
    </row>
    <row r="1611" spans="1:8" ht="13" hidden="1">
      <c r="A1611" s="15">
        <v>45543.701615821759</v>
      </c>
      <c r="B1611" s="16">
        <v>45542</v>
      </c>
      <c r="C1611" s="2" t="s">
        <v>727</v>
      </c>
      <c r="D1611" s="2" t="s">
        <v>45</v>
      </c>
      <c r="E1611" s="2">
        <v>607</v>
      </c>
      <c r="F1611" s="2" t="s">
        <v>102</v>
      </c>
      <c r="G1611" s="2" t="s">
        <v>285</v>
      </c>
      <c r="H1611" s="2" t="s">
        <v>35</v>
      </c>
    </row>
    <row r="1612" spans="1:8" ht="13" hidden="1">
      <c r="A1612" s="15">
        <v>45543.701896782411</v>
      </c>
      <c r="B1612" s="16">
        <v>45542</v>
      </c>
      <c r="C1612" s="2" t="s">
        <v>400</v>
      </c>
      <c r="D1612" s="2" t="s">
        <v>38</v>
      </c>
      <c r="E1612" s="2">
        <v>1050</v>
      </c>
      <c r="F1612" s="2" t="s">
        <v>102</v>
      </c>
      <c r="G1612" s="2" t="s">
        <v>401</v>
      </c>
      <c r="H1612" s="2" t="s">
        <v>35</v>
      </c>
    </row>
    <row r="1613" spans="1:8" ht="13" hidden="1">
      <c r="A1613" s="15">
        <v>45550.743288530095</v>
      </c>
      <c r="B1613" s="16">
        <v>45542</v>
      </c>
      <c r="C1613" s="2" t="s">
        <v>105</v>
      </c>
      <c r="D1613" s="2" t="s">
        <v>40</v>
      </c>
      <c r="E1613" s="2">
        <v>1200</v>
      </c>
      <c r="F1613" s="2" t="s">
        <v>100</v>
      </c>
      <c r="H1613" s="2" t="s">
        <v>35</v>
      </c>
    </row>
    <row r="1614" spans="1:8" ht="13" hidden="1">
      <c r="A1614" s="15">
        <v>45550.743663125002</v>
      </c>
      <c r="B1614" s="16">
        <v>45542</v>
      </c>
      <c r="C1614" s="2" t="s">
        <v>116</v>
      </c>
      <c r="D1614" s="2" t="s">
        <v>38</v>
      </c>
      <c r="E1614" s="2">
        <v>1150</v>
      </c>
      <c r="F1614" s="2" t="s">
        <v>100</v>
      </c>
      <c r="G1614" s="2" t="s">
        <v>652</v>
      </c>
      <c r="H1614" s="2" t="s">
        <v>35</v>
      </c>
    </row>
    <row r="1615" spans="1:8" ht="13" hidden="1">
      <c r="A1615" s="15">
        <v>45543.702196863422</v>
      </c>
      <c r="B1615" s="16">
        <v>45543</v>
      </c>
      <c r="C1615" s="2" t="s">
        <v>112</v>
      </c>
      <c r="D1615" s="2" t="s">
        <v>38</v>
      </c>
      <c r="E1615" s="2">
        <v>700</v>
      </c>
      <c r="F1615" s="2" t="s">
        <v>102</v>
      </c>
      <c r="G1615" s="2" t="s">
        <v>186</v>
      </c>
      <c r="H1615" s="2" t="s">
        <v>35</v>
      </c>
    </row>
    <row r="1616" spans="1:8" ht="13" hidden="1">
      <c r="A1616" s="15">
        <v>45543.702543425927</v>
      </c>
      <c r="B1616" s="16">
        <v>45543</v>
      </c>
      <c r="C1616" s="2" t="s">
        <v>728</v>
      </c>
      <c r="D1616" s="2" t="s">
        <v>45</v>
      </c>
      <c r="E1616" s="2">
        <v>440</v>
      </c>
      <c r="F1616" s="2" t="s">
        <v>102</v>
      </c>
      <c r="G1616" s="2" t="s">
        <v>136</v>
      </c>
      <c r="H1616" s="2" t="s">
        <v>35</v>
      </c>
    </row>
    <row r="1617" spans="1:8" ht="13" hidden="1">
      <c r="A1617" s="15">
        <v>45550.744014421296</v>
      </c>
      <c r="B1617" s="16">
        <v>45543</v>
      </c>
      <c r="C1617" s="2" t="s">
        <v>445</v>
      </c>
      <c r="D1617" s="2" t="s">
        <v>39</v>
      </c>
      <c r="E1617" s="2">
        <v>1320</v>
      </c>
      <c r="F1617" s="2" t="s">
        <v>100</v>
      </c>
      <c r="H1617" s="2" t="s">
        <v>35</v>
      </c>
    </row>
    <row r="1618" spans="1:8" ht="13" hidden="1">
      <c r="A1618" s="15">
        <v>45550.744336458331</v>
      </c>
      <c r="B1618" s="16">
        <v>45543</v>
      </c>
      <c r="C1618" s="2" t="s">
        <v>116</v>
      </c>
      <c r="D1618" s="2" t="s">
        <v>38</v>
      </c>
      <c r="E1618" s="2">
        <v>913</v>
      </c>
      <c r="F1618" s="2" t="s">
        <v>100</v>
      </c>
      <c r="G1618" s="2" t="s">
        <v>652</v>
      </c>
      <c r="H1618" s="2" t="s">
        <v>35</v>
      </c>
    </row>
    <row r="1619" spans="1:8" ht="13" hidden="1">
      <c r="A1619" s="15">
        <v>45550.744586296292</v>
      </c>
      <c r="B1619" s="16">
        <v>45543</v>
      </c>
      <c r="C1619" s="2" t="s">
        <v>654</v>
      </c>
      <c r="D1619" s="2" t="s">
        <v>42</v>
      </c>
      <c r="E1619" s="2">
        <v>130</v>
      </c>
      <c r="F1619" s="2" t="s">
        <v>100</v>
      </c>
      <c r="H1619" s="2" t="s">
        <v>35</v>
      </c>
    </row>
    <row r="1620" spans="1:8" ht="13" hidden="1">
      <c r="A1620" s="15">
        <v>45550.744923946761</v>
      </c>
      <c r="B1620" s="16">
        <v>45543</v>
      </c>
      <c r="C1620" s="2" t="s">
        <v>350</v>
      </c>
      <c r="D1620" s="2" t="s">
        <v>40</v>
      </c>
      <c r="E1620" s="2">
        <v>1000</v>
      </c>
      <c r="F1620" s="2" t="s">
        <v>100</v>
      </c>
      <c r="H1620" s="2" t="s">
        <v>35</v>
      </c>
    </row>
    <row r="1621" spans="1:8" ht="13" hidden="1">
      <c r="A1621" s="15">
        <v>45550.735650497685</v>
      </c>
      <c r="B1621" s="16">
        <v>45544</v>
      </c>
      <c r="C1621" s="2" t="s">
        <v>540</v>
      </c>
      <c r="D1621" s="2" t="s">
        <v>38</v>
      </c>
      <c r="E1621" s="2">
        <v>1000</v>
      </c>
      <c r="F1621" s="2" t="s">
        <v>102</v>
      </c>
      <c r="G1621" s="2" t="s">
        <v>729</v>
      </c>
      <c r="H1621" s="2" t="s">
        <v>35</v>
      </c>
    </row>
    <row r="1622" spans="1:8" ht="13" hidden="1">
      <c r="A1622" s="15">
        <v>45550.745319201393</v>
      </c>
      <c r="B1622" s="16">
        <v>45544</v>
      </c>
      <c r="C1622" s="2" t="s">
        <v>15</v>
      </c>
      <c r="D1622" s="2" t="s">
        <v>48</v>
      </c>
      <c r="E1622" s="2">
        <v>880</v>
      </c>
      <c r="F1622" s="2" t="s">
        <v>100</v>
      </c>
      <c r="H1622" s="2" t="s">
        <v>35</v>
      </c>
    </row>
    <row r="1623" spans="1:8" ht="13" hidden="1">
      <c r="A1623" s="15">
        <v>45550.74558130787</v>
      </c>
      <c r="B1623" s="16">
        <v>45545</v>
      </c>
      <c r="C1623" s="2" t="s">
        <v>240</v>
      </c>
      <c r="D1623" s="2" t="s">
        <v>42</v>
      </c>
      <c r="E1623" s="2">
        <v>220</v>
      </c>
      <c r="F1623" s="2" t="s">
        <v>100</v>
      </c>
      <c r="H1623" s="2" t="s">
        <v>35</v>
      </c>
    </row>
    <row r="1624" spans="1:8" ht="13" hidden="1">
      <c r="A1624" s="15">
        <v>45550.745892013889</v>
      </c>
      <c r="B1624" s="16">
        <v>45546</v>
      </c>
      <c r="C1624" s="2" t="s">
        <v>116</v>
      </c>
      <c r="D1624" s="2" t="s">
        <v>38</v>
      </c>
      <c r="E1624" s="2">
        <v>414</v>
      </c>
      <c r="F1624" s="2" t="s">
        <v>100</v>
      </c>
      <c r="G1624" s="2" t="s">
        <v>652</v>
      </c>
      <c r="H1624" s="2" t="s">
        <v>35</v>
      </c>
    </row>
    <row r="1625" spans="1:8" ht="13" hidden="1">
      <c r="A1625" s="15">
        <v>45550.746206828699</v>
      </c>
      <c r="B1625" s="16">
        <v>45546</v>
      </c>
      <c r="C1625" s="2" t="s">
        <v>18</v>
      </c>
      <c r="D1625" s="2" t="s">
        <v>41</v>
      </c>
      <c r="E1625" s="2">
        <v>5318</v>
      </c>
      <c r="F1625" s="2" t="s">
        <v>100</v>
      </c>
      <c r="H1625" s="2" t="s">
        <v>35</v>
      </c>
    </row>
    <row r="1626" spans="1:8" ht="13" hidden="1">
      <c r="A1626" s="15">
        <v>45550.746498587963</v>
      </c>
      <c r="B1626" s="16">
        <v>45546</v>
      </c>
      <c r="C1626" s="2" t="s">
        <v>730</v>
      </c>
      <c r="D1626" s="2" t="s">
        <v>45</v>
      </c>
      <c r="E1626" s="2">
        <v>3899</v>
      </c>
      <c r="F1626" s="2" t="s">
        <v>100</v>
      </c>
      <c r="G1626" s="2" t="s">
        <v>129</v>
      </c>
      <c r="H1626" s="2" t="s">
        <v>35</v>
      </c>
    </row>
    <row r="1627" spans="1:8" ht="13" hidden="1">
      <c r="A1627" s="15">
        <v>45550.737341909728</v>
      </c>
      <c r="B1627" s="16">
        <v>45547</v>
      </c>
      <c r="C1627" s="2" t="s">
        <v>731</v>
      </c>
      <c r="D1627" s="2" t="s">
        <v>38</v>
      </c>
      <c r="E1627" s="2">
        <v>1300</v>
      </c>
      <c r="F1627" s="2" t="s">
        <v>102</v>
      </c>
      <c r="G1627" s="2" t="s">
        <v>732</v>
      </c>
      <c r="H1627" s="2" t="s">
        <v>35</v>
      </c>
    </row>
    <row r="1628" spans="1:8" ht="13" hidden="1">
      <c r="A1628" s="15">
        <v>45550.737635891201</v>
      </c>
      <c r="B1628" s="16">
        <v>45547</v>
      </c>
      <c r="C1628" s="2" t="s">
        <v>112</v>
      </c>
      <c r="D1628" s="2" t="s">
        <v>38</v>
      </c>
      <c r="E1628" s="2">
        <v>130</v>
      </c>
      <c r="F1628" s="2" t="s">
        <v>102</v>
      </c>
      <c r="G1628" s="2" t="s">
        <v>103</v>
      </c>
      <c r="H1628" s="2" t="s">
        <v>35</v>
      </c>
    </row>
    <row r="1629" spans="1:8" ht="13" hidden="1">
      <c r="A1629" s="15">
        <v>45550.73801325231</v>
      </c>
      <c r="B1629" s="16">
        <v>45547</v>
      </c>
      <c r="C1629" s="2" t="s">
        <v>236</v>
      </c>
      <c r="D1629" s="2" t="s">
        <v>43</v>
      </c>
      <c r="E1629" s="2">
        <v>658</v>
      </c>
      <c r="F1629" s="2" t="s">
        <v>102</v>
      </c>
      <c r="G1629" s="2" t="s">
        <v>285</v>
      </c>
      <c r="H1629" s="2" t="s">
        <v>35</v>
      </c>
    </row>
    <row r="1630" spans="1:8" ht="13" hidden="1">
      <c r="A1630" s="15">
        <v>45550.738291134257</v>
      </c>
      <c r="B1630" s="16">
        <v>45548</v>
      </c>
      <c r="C1630" s="2" t="s">
        <v>106</v>
      </c>
      <c r="D1630" s="2" t="s">
        <v>38</v>
      </c>
      <c r="E1630" s="2">
        <v>1100</v>
      </c>
      <c r="F1630" s="2" t="s">
        <v>102</v>
      </c>
      <c r="G1630" s="2" t="s">
        <v>256</v>
      </c>
      <c r="H1630" s="2" t="s">
        <v>35</v>
      </c>
    </row>
    <row r="1631" spans="1:8" ht="13" hidden="1">
      <c r="A1631" s="15">
        <v>45550.738572372684</v>
      </c>
      <c r="B1631" s="16">
        <v>45548</v>
      </c>
      <c r="C1631" s="2" t="s">
        <v>112</v>
      </c>
      <c r="D1631" s="2" t="s">
        <v>38</v>
      </c>
      <c r="E1631" s="2">
        <v>120</v>
      </c>
      <c r="F1631" s="2" t="s">
        <v>102</v>
      </c>
      <c r="G1631" s="2" t="s">
        <v>103</v>
      </c>
      <c r="H1631" s="2" t="s">
        <v>35</v>
      </c>
    </row>
    <row r="1632" spans="1:8" ht="13" hidden="1">
      <c r="A1632" s="15">
        <v>45550.738836145829</v>
      </c>
      <c r="B1632" s="16">
        <v>45548</v>
      </c>
      <c r="C1632" s="2" t="s">
        <v>733</v>
      </c>
      <c r="D1632" s="2" t="s">
        <v>39</v>
      </c>
      <c r="E1632" s="2">
        <v>7500</v>
      </c>
      <c r="F1632" s="2" t="s">
        <v>102</v>
      </c>
      <c r="H1632" s="2" t="s">
        <v>35</v>
      </c>
    </row>
    <row r="1633" spans="1:8" ht="13" hidden="1">
      <c r="A1633" s="15">
        <v>45550.739149444446</v>
      </c>
      <c r="B1633" s="16">
        <v>45548</v>
      </c>
      <c r="C1633" s="2" t="s">
        <v>734</v>
      </c>
      <c r="D1633" s="2" t="s">
        <v>38</v>
      </c>
      <c r="E1633" s="2">
        <v>450</v>
      </c>
      <c r="F1633" s="2" t="s">
        <v>102</v>
      </c>
      <c r="G1633" s="2" t="s">
        <v>593</v>
      </c>
      <c r="H1633" s="2" t="s">
        <v>35</v>
      </c>
    </row>
    <row r="1634" spans="1:8" ht="13" hidden="1">
      <c r="A1634" s="15">
        <v>45557.717046296297</v>
      </c>
      <c r="B1634" s="16">
        <v>45548</v>
      </c>
      <c r="C1634" s="2" t="s">
        <v>240</v>
      </c>
      <c r="D1634" s="2" t="s">
        <v>42</v>
      </c>
      <c r="E1634" s="2">
        <v>990</v>
      </c>
      <c r="F1634" s="2" t="s">
        <v>100</v>
      </c>
      <c r="H1634" s="2" t="s">
        <v>35</v>
      </c>
    </row>
    <row r="1635" spans="1:8" ht="13" hidden="1">
      <c r="A1635" s="15">
        <v>45557.717369606486</v>
      </c>
      <c r="B1635" s="16">
        <v>45548</v>
      </c>
      <c r="C1635" s="2" t="s">
        <v>631</v>
      </c>
      <c r="D1635" s="2" t="s">
        <v>39</v>
      </c>
      <c r="E1635" s="2">
        <v>3300</v>
      </c>
      <c r="F1635" s="2" t="s">
        <v>100</v>
      </c>
      <c r="G1635" s="2" t="s">
        <v>735</v>
      </c>
      <c r="H1635" s="2" t="s">
        <v>35</v>
      </c>
    </row>
    <row r="1636" spans="1:8" ht="13" hidden="1">
      <c r="A1636" s="15">
        <v>45557.717666087963</v>
      </c>
      <c r="B1636" s="16">
        <v>45548</v>
      </c>
      <c r="C1636" s="2" t="s">
        <v>736</v>
      </c>
      <c r="D1636" s="2" t="s">
        <v>39</v>
      </c>
      <c r="E1636" s="2">
        <v>2310</v>
      </c>
      <c r="F1636" s="2" t="s">
        <v>100</v>
      </c>
      <c r="H1636" s="2" t="s">
        <v>35</v>
      </c>
    </row>
    <row r="1637" spans="1:8" ht="13" hidden="1">
      <c r="A1637" s="15">
        <v>45550.739475069444</v>
      </c>
      <c r="B1637" s="16">
        <v>45549</v>
      </c>
      <c r="C1637" s="2" t="s">
        <v>112</v>
      </c>
      <c r="D1637" s="2" t="s">
        <v>38</v>
      </c>
      <c r="E1637" s="2">
        <v>700</v>
      </c>
      <c r="F1637" s="2" t="s">
        <v>102</v>
      </c>
      <c r="G1637" s="2" t="s">
        <v>737</v>
      </c>
      <c r="H1637" s="2" t="s">
        <v>35</v>
      </c>
    </row>
    <row r="1638" spans="1:8" ht="13" hidden="1">
      <c r="A1638" s="15">
        <v>45550.739789803236</v>
      </c>
      <c r="B1638" s="16">
        <v>45549</v>
      </c>
      <c r="C1638" s="2" t="s">
        <v>738</v>
      </c>
      <c r="D1638" s="2" t="s">
        <v>39</v>
      </c>
      <c r="E1638" s="2">
        <v>1500</v>
      </c>
      <c r="F1638" s="2" t="s">
        <v>102</v>
      </c>
      <c r="H1638" s="2" t="s">
        <v>35</v>
      </c>
    </row>
    <row r="1639" spans="1:8" ht="13" hidden="1">
      <c r="A1639" s="15">
        <v>45550.740207986106</v>
      </c>
      <c r="B1639" s="16">
        <v>45549</v>
      </c>
      <c r="C1639" s="2" t="s">
        <v>106</v>
      </c>
      <c r="D1639" s="2" t="s">
        <v>38</v>
      </c>
      <c r="E1639" s="2">
        <v>878</v>
      </c>
      <c r="F1639" s="2" t="s">
        <v>102</v>
      </c>
      <c r="G1639" s="2" t="s">
        <v>739</v>
      </c>
      <c r="H1639" s="2" t="s">
        <v>35</v>
      </c>
    </row>
    <row r="1640" spans="1:8" ht="13" hidden="1">
      <c r="A1640" s="15">
        <v>45557.718091064817</v>
      </c>
      <c r="B1640" s="16">
        <v>45549</v>
      </c>
      <c r="C1640" s="2" t="s">
        <v>116</v>
      </c>
      <c r="D1640" s="2" t="s">
        <v>38</v>
      </c>
      <c r="E1640" s="2">
        <v>2450</v>
      </c>
      <c r="F1640" s="2" t="s">
        <v>100</v>
      </c>
      <c r="G1640" s="2" t="s">
        <v>652</v>
      </c>
      <c r="H1640" s="2" t="s">
        <v>35</v>
      </c>
    </row>
    <row r="1641" spans="1:8" ht="13" hidden="1">
      <c r="A1641" s="15">
        <v>45557.718388159723</v>
      </c>
      <c r="B1641" s="16">
        <v>45549</v>
      </c>
      <c r="C1641" s="2" t="s">
        <v>740</v>
      </c>
      <c r="D1641" s="2" t="s">
        <v>39</v>
      </c>
      <c r="E1641" s="2">
        <v>1100</v>
      </c>
      <c r="F1641" s="2" t="s">
        <v>100</v>
      </c>
      <c r="H1641" s="2" t="s">
        <v>35</v>
      </c>
    </row>
    <row r="1642" spans="1:8" ht="13" hidden="1">
      <c r="A1642" s="15">
        <v>45557.718642511572</v>
      </c>
      <c r="B1642" s="16">
        <v>45549</v>
      </c>
      <c r="C1642" s="2" t="s">
        <v>705</v>
      </c>
      <c r="D1642" s="2" t="s">
        <v>48</v>
      </c>
      <c r="E1642" s="2">
        <v>550</v>
      </c>
      <c r="F1642" s="2" t="s">
        <v>100</v>
      </c>
      <c r="H1642" s="2" t="s">
        <v>35</v>
      </c>
    </row>
    <row r="1643" spans="1:8" ht="13" hidden="1">
      <c r="A1643" s="15">
        <v>45557.719052939814</v>
      </c>
      <c r="B1643" s="16">
        <v>45549</v>
      </c>
      <c r="C1643" s="2" t="s">
        <v>741</v>
      </c>
      <c r="D1643" s="2" t="s">
        <v>40</v>
      </c>
      <c r="E1643" s="2">
        <v>11100</v>
      </c>
      <c r="F1643" s="2" t="s">
        <v>100</v>
      </c>
      <c r="H1643" s="2" t="s">
        <v>35</v>
      </c>
    </row>
    <row r="1644" spans="1:8" ht="13" hidden="1">
      <c r="A1644" s="15">
        <v>45557.71929241898</v>
      </c>
      <c r="B1644" s="16">
        <v>45549</v>
      </c>
      <c r="C1644" s="2" t="s">
        <v>742</v>
      </c>
      <c r="D1644" s="2" t="s">
        <v>48</v>
      </c>
      <c r="E1644" s="2">
        <v>2900</v>
      </c>
      <c r="F1644" s="2" t="s">
        <v>100</v>
      </c>
      <c r="H1644" s="2" t="s">
        <v>35</v>
      </c>
    </row>
    <row r="1645" spans="1:8" ht="13" hidden="1">
      <c r="A1645" s="15">
        <v>45550.740550567134</v>
      </c>
      <c r="B1645" s="16">
        <v>45550</v>
      </c>
      <c r="C1645" s="2" t="s">
        <v>436</v>
      </c>
      <c r="D1645" s="2" t="s">
        <v>38</v>
      </c>
      <c r="E1645" s="2">
        <v>213</v>
      </c>
      <c r="F1645" s="2" t="s">
        <v>102</v>
      </c>
      <c r="G1645" s="2" t="s">
        <v>103</v>
      </c>
      <c r="H1645" s="2" t="s">
        <v>35</v>
      </c>
    </row>
    <row r="1646" spans="1:8" ht="13" hidden="1">
      <c r="A1646" s="15">
        <v>45557.719602627316</v>
      </c>
      <c r="B1646" s="16">
        <v>45550</v>
      </c>
      <c r="C1646" s="2" t="s">
        <v>112</v>
      </c>
      <c r="D1646" s="2" t="s">
        <v>38</v>
      </c>
      <c r="E1646" s="2">
        <v>2910</v>
      </c>
      <c r="F1646" s="2" t="s">
        <v>100</v>
      </c>
      <c r="G1646" s="2" t="s">
        <v>164</v>
      </c>
      <c r="H1646" s="2" t="s">
        <v>35</v>
      </c>
    </row>
    <row r="1647" spans="1:8" ht="13" hidden="1">
      <c r="A1647" s="15">
        <v>45557.719938090275</v>
      </c>
      <c r="B1647" s="16">
        <v>45550</v>
      </c>
      <c r="C1647" s="2" t="s">
        <v>743</v>
      </c>
      <c r="D1647" s="2" t="s">
        <v>48</v>
      </c>
      <c r="E1647" s="2">
        <v>6100</v>
      </c>
      <c r="F1647" s="2" t="s">
        <v>100</v>
      </c>
      <c r="H1647" s="2" t="s">
        <v>35</v>
      </c>
    </row>
    <row r="1648" spans="1:8" ht="13" hidden="1">
      <c r="A1648" s="15">
        <v>45557.720158379627</v>
      </c>
      <c r="B1648" s="16">
        <v>45550</v>
      </c>
      <c r="C1648" s="2" t="s">
        <v>247</v>
      </c>
      <c r="D1648" s="2" t="s">
        <v>39</v>
      </c>
      <c r="E1648" s="2">
        <v>3600</v>
      </c>
      <c r="F1648" s="2" t="s">
        <v>100</v>
      </c>
      <c r="H1648" s="2" t="s">
        <v>35</v>
      </c>
    </row>
    <row r="1649" spans="1:8" ht="13" hidden="1">
      <c r="A1649" s="15">
        <v>45557.720468645828</v>
      </c>
      <c r="B1649" s="16">
        <v>45550</v>
      </c>
      <c r="C1649" s="2" t="s">
        <v>116</v>
      </c>
      <c r="D1649" s="2" t="s">
        <v>38</v>
      </c>
      <c r="E1649" s="2">
        <v>560</v>
      </c>
      <c r="F1649" s="2" t="s">
        <v>100</v>
      </c>
      <c r="G1649" s="2" t="s">
        <v>652</v>
      </c>
      <c r="H1649" s="2" t="s">
        <v>35</v>
      </c>
    </row>
    <row r="1650" spans="1:8" ht="13" hidden="1">
      <c r="A1650" s="15">
        <v>45557.721075671296</v>
      </c>
      <c r="B1650" s="16">
        <v>45550</v>
      </c>
      <c r="C1650" s="2" t="s">
        <v>499</v>
      </c>
      <c r="D1650" s="2" t="s">
        <v>38</v>
      </c>
      <c r="E1650" s="2">
        <v>3480</v>
      </c>
      <c r="F1650" s="2" t="s">
        <v>100</v>
      </c>
      <c r="G1650" s="2" t="s">
        <v>129</v>
      </c>
      <c r="H1650" s="2" t="s">
        <v>35</v>
      </c>
    </row>
    <row r="1651" spans="1:8" ht="13" hidden="1">
      <c r="A1651" s="15">
        <v>45557.714231215279</v>
      </c>
      <c r="B1651" s="16">
        <v>45551</v>
      </c>
      <c r="C1651" s="2" t="s">
        <v>727</v>
      </c>
      <c r="D1651" s="2" t="s">
        <v>45</v>
      </c>
      <c r="E1651" s="2">
        <v>819</v>
      </c>
      <c r="F1651" s="2" t="s">
        <v>102</v>
      </c>
      <c r="G1651" s="2" t="s">
        <v>285</v>
      </c>
      <c r="H1651" s="2" t="s">
        <v>35</v>
      </c>
    </row>
    <row r="1652" spans="1:8" ht="13" hidden="1">
      <c r="A1652" s="15">
        <v>45557.714517314816</v>
      </c>
      <c r="B1652" s="16">
        <v>45551</v>
      </c>
      <c r="C1652" s="2" t="s">
        <v>478</v>
      </c>
      <c r="D1652" s="2" t="s">
        <v>38</v>
      </c>
      <c r="E1652" s="2">
        <v>162</v>
      </c>
      <c r="F1652" s="2" t="s">
        <v>102</v>
      </c>
      <c r="G1652" s="2" t="s">
        <v>356</v>
      </c>
      <c r="H1652" s="2" t="s">
        <v>35</v>
      </c>
    </row>
    <row r="1653" spans="1:8" ht="13" hidden="1">
      <c r="A1653" s="15">
        <v>45557.72133054398</v>
      </c>
      <c r="B1653" s="16">
        <v>45551</v>
      </c>
      <c r="C1653" s="2" t="s">
        <v>20</v>
      </c>
      <c r="D1653" s="2" t="s">
        <v>39</v>
      </c>
      <c r="E1653" s="2">
        <v>1490</v>
      </c>
      <c r="F1653" s="2" t="s">
        <v>100</v>
      </c>
      <c r="H1653" s="2" t="s">
        <v>35</v>
      </c>
    </row>
    <row r="1654" spans="1:8" ht="13" hidden="1">
      <c r="A1654" s="15">
        <v>45557.721580486112</v>
      </c>
      <c r="B1654" s="16">
        <v>45551</v>
      </c>
      <c r="C1654" s="2" t="s">
        <v>674</v>
      </c>
      <c r="D1654" s="2" t="s">
        <v>39</v>
      </c>
      <c r="E1654" s="2">
        <v>2750</v>
      </c>
      <c r="F1654" s="2" t="s">
        <v>100</v>
      </c>
      <c r="H1654" s="2" t="s">
        <v>35</v>
      </c>
    </row>
    <row r="1655" spans="1:8" ht="13" hidden="1">
      <c r="A1655" s="15">
        <v>45557.721818900463</v>
      </c>
      <c r="B1655" s="16">
        <v>45551</v>
      </c>
      <c r="C1655" s="2" t="s">
        <v>240</v>
      </c>
      <c r="D1655" s="2" t="s">
        <v>42</v>
      </c>
      <c r="E1655" s="2">
        <v>330</v>
      </c>
      <c r="F1655" s="2" t="s">
        <v>100</v>
      </c>
      <c r="H1655" s="2" t="s">
        <v>35</v>
      </c>
    </row>
    <row r="1656" spans="1:8" ht="13" hidden="1">
      <c r="A1656" s="15">
        <v>45557.722082766202</v>
      </c>
      <c r="B1656" s="16">
        <v>45551</v>
      </c>
      <c r="C1656" s="2" t="s">
        <v>350</v>
      </c>
      <c r="D1656" s="2" t="s">
        <v>40</v>
      </c>
      <c r="E1656" s="2">
        <v>1000</v>
      </c>
      <c r="F1656" s="2" t="s">
        <v>100</v>
      </c>
      <c r="H1656" s="2" t="s">
        <v>35</v>
      </c>
    </row>
    <row r="1657" spans="1:8" ht="13" hidden="1">
      <c r="A1657" s="15">
        <v>45557.722403622683</v>
      </c>
      <c r="B1657" s="16">
        <v>45552</v>
      </c>
      <c r="C1657" s="2" t="s">
        <v>368</v>
      </c>
      <c r="D1657" s="2" t="s">
        <v>39</v>
      </c>
      <c r="E1657" s="2">
        <v>1180</v>
      </c>
      <c r="F1657" s="2" t="s">
        <v>100</v>
      </c>
      <c r="H1657" s="2" t="s">
        <v>35</v>
      </c>
    </row>
    <row r="1658" spans="1:8" ht="13" hidden="1">
      <c r="A1658" s="15">
        <v>45557.722719965277</v>
      </c>
      <c r="B1658" s="16">
        <v>45555</v>
      </c>
      <c r="C1658" s="2" t="s">
        <v>24</v>
      </c>
      <c r="D1658" s="2" t="s">
        <v>49</v>
      </c>
      <c r="E1658" s="2">
        <v>1100</v>
      </c>
      <c r="F1658" s="2" t="s">
        <v>100</v>
      </c>
      <c r="H1658" s="2" t="s">
        <v>35</v>
      </c>
    </row>
    <row r="1659" spans="1:8" ht="13" hidden="1">
      <c r="A1659" s="15">
        <v>45557.714932650459</v>
      </c>
      <c r="B1659" s="16">
        <v>45556</v>
      </c>
      <c r="C1659" s="2" t="s">
        <v>623</v>
      </c>
      <c r="D1659" s="2" t="s">
        <v>38</v>
      </c>
      <c r="E1659" s="2">
        <v>117</v>
      </c>
      <c r="F1659" s="2" t="s">
        <v>102</v>
      </c>
      <c r="G1659" s="2" t="s">
        <v>744</v>
      </c>
      <c r="H1659" s="2" t="s">
        <v>35</v>
      </c>
    </row>
    <row r="1660" spans="1:8" ht="13" hidden="1">
      <c r="A1660" s="15">
        <v>45564.617105590281</v>
      </c>
      <c r="B1660" s="16">
        <v>45556</v>
      </c>
      <c r="C1660" s="2" t="s">
        <v>240</v>
      </c>
      <c r="D1660" s="2" t="s">
        <v>42</v>
      </c>
      <c r="E1660" s="2">
        <v>330</v>
      </c>
      <c r="F1660" s="2" t="s">
        <v>100</v>
      </c>
      <c r="H1660" s="2" t="s">
        <v>35</v>
      </c>
    </row>
    <row r="1661" spans="1:8" ht="13" hidden="1">
      <c r="A1661" s="15">
        <v>45564.617491412035</v>
      </c>
      <c r="B1661" s="16">
        <v>45556</v>
      </c>
      <c r="C1661" s="2" t="s">
        <v>105</v>
      </c>
      <c r="D1661" s="2" t="s">
        <v>40</v>
      </c>
      <c r="E1661" s="2">
        <v>1300</v>
      </c>
      <c r="F1661" s="2" t="s">
        <v>100</v>
      </c>
      <c r="H1661" s="2" t="s">
        <v>35</v>
      </c>
    </row>
    <row r="1662" spans="1:8" ht="13" hidden="1">
      <c r="A1662" s="15">
        <v>45564.617783194444</v>
      </c>
      <c r="B1662" s="16">
        <v>45556</v>
      </c>
      <c r="C1662" s="2" t="s">
        <v>350</v>
      </c>
      <c r="D1662" s="2" t="s">
        <v>40</v>
      </c>
      <c r="E1662" s="2">
        <v>1000</v>
      </c>
      <c r="F1662" s="2" t="s">
        <v>100</v>
      </c>
      <c r="H1662" s="2" t="s">
        <v>35</v>
      </c>
    </row>
    <row r="1663" spans="1:8" ht="13" hidden="1">
      <c r="A1663" s="15">
        <v>45557.715218831014</v>
      </c>
      <c r="B1663" s="16">
        <v>45557</v>
      </c>
      <c r="C1663" s="2" t="s">
        <v>287</v>
      </c>
      <c r="D1663" s="2" t="s">
        <v>38</v>
      </c>
      <c r="E1663" s="2">
        <v>680</v>
      </c>
      <c r="F1663" s="2" t="s">
        <v>102</v>
      </c>
      <c r="G1663" s="2" t="s">
        <v>199</v>
      </c>
      <c r="H1663" s="2" t="s">
        <v>35</v>
      </c>
    </row>
    <row r="1664" spans="1:8" ht="13" hidden="1">
      <c r="A1664" s="15">
        <v>45564.618105162037</v>
      </c>
      <c r="B1664" s="16">
        <v>45557</v>
      </c>
      <c r="C1664" s="2" t="s">
        <v>116</v>
      </c>
      <c r="D1664" s="2" t="s">
        <v>38</v>
      </c>
      <c r="E1664" s="2">
        <v>2407</v>
      </c>
      <c r="F1664" s="2" t="s">
        <v>100</v>
      </c>
      <c r="G1664" s="2" t="s">
        <v>652</v>
      </c>
      <c r="H1664" s="2" t="s">
        <v>35</v>
      </c>
    </row>
    <row r="1665" spans="1:8" ht="13" hidden="1">
      <c r="A1665" s="15">
        <v>45564.618478692129</v>
      </c>
      <c r="B1665" s="16">
        <v>45557</v>
      </c>
      <c r="C1665" s="2" t="s">
        <v>745</v>
      </c>
      <c r="D1665" s="2" t="s">
        <v>40</v>
      </c>
      <c r="E1665" s="2">
        <v>11100</v>
      </c>
      <c r="F1665" s="2" t="s">
        <v>100</v>
      </c>
      <c r="H1665" s="2" t="s">
        <v>35</v>
      </c>
    </row>
    <row r="1666" spans="1:8" ht="13" hidden="1">
      <c r="A1666" s="15">
        <v>45564.618739270838</v>
      </c>
      <c r="B1666" s="16">
        <v>45557</v>
      </c>
      <c r="C1666" s="2" t="s">
        <v>418</v>
      </c>
      <c r="D1666" s="2" t="s">
        <v>39</v>
      </c>
      <c r="E1666" s="2">
        <v>6239</v>
      </c>
      <c r="F1666" s="2" t="s">
        <v>100</v>
      </c>
      <c r="H1666" s="2" t="s">
        <v>35</v>
      </c>
    </row>
    <row r="1667" spans="1:8" ht="13" hidden="1">
      <c r="A1667" s="15">
        <v>45564.61903267361</v>
      </c>
      <c r="B1667" s="16">
        <v>45557</v>
      </c>
      <c r="C1667" s="2" t="s">
        <v>644</v>
      </c>
      <c r="D1667" s="2" t="s">
        <v>39</v>
      </c>
      <c r="E1667" s="2">
        <v>400</v>
      </c>
      <c r="F1667" s="2" t="s">
        <v>100</v>
      </c>
      <c r="G1667" s="2" t="s">
        <v>129</v>
      </c>
      <c r="H1667" s="2" t="s">
        <v>35</v>
      </c>
    </row>
    <row r="1668" spans="1:8" ht="13" hidden="1">
      <c r="A1668" s="15">
        <v>45564.602333518516</v>
      </c>
      <c r="B1668" s="16">
        <v>45558</v>
      </c>
      <c r="C1668" s="2" t="s">
        <v>746</v>
      </c>
      <c r="D1668" s="2" t="s">
        <v>46</v>
      </c>
      <c r="E1668" s="2">
        <v>1650</v>
      </c>
      <c r="F1668" s="2" t="s">
        <v>102</v>
      </c>
      <c r="H1668" s="2" t="s">
        <v>35</v>
      </c>
    </row>
    <row r="1669" spans="1:8" ht="13" hidden="1">
      <c r="A1669" s="15">
        <v>45564.602876215278</v>
      </c>
      <c r="B1669" s="16">
        <v>45558</v>
      </c>
      <c r="C1669" s="2" t="s">
        <v>747</v>
      </c>
      <c r="D1669" s="2" t="s">
        <v>45</v>
      </c>
      <c r="E1669" s="2">
        <v>388</v>
      </c>
      <c r="F1669" s="2" t="s">
        <v>102</v>
      </c>
      <c r="G1669" s="2" t="s">
        <v>285</v>
      </c>
      <c r="H1669" s="2" t="s">
        <v>35</v>
      </c>
    </row>
    <row r="1670" spans="1:8" ht="13" hidden="1">
      <c r="A1670" s="15">
        <v>45564.603158807869</v>
      </c>
      <c r="B1670" s="16">
        <v>45558</v>
      </c>
      <c r="C1670" s="2" t="s">
        <v>106</v>
      </c>
      <c r="D1670" s="2" t="s">
        <v>38</v>
      </c>
      <c r="E1670" s="2">
        <v>1100</v>
      </c>
      <c r="F1670" s="2" t="s">
        <v>102</v>
      </c>
      <c r="G1670" s="2" t="s">
        <v>322</v>
      </c>
      <c r="H1670" s="2" t="s">
        <v>35</v>
      </c>
    </row>
    <row r="1671" spans="1:8" ht="13" hidden="1">
      <c r="A1671" s="15">
        <v>45564.619285960653</v>
      </c>
      <c r="B1671" s="16">
        <v>45558</v>
      </c>
      <c r="C1671" s="2" t="s">
        <v>240</v>
      </c>
      <c r="D1671" s="2" t="s">
        <v>42</v>
      </c>
      <c r="E1671" s="2">
        <v>990</v>
      </c>
      <c r="F1671" s="2" t="s">
        <v>100</v>
      </c>
      <c r="H1671" s="2" t="s">
        <v>35</v>
      </c>
    </row>
    <row r="1672" spans="1:8" ht="13" hidden="1">
      <c r="A1672" s="15">
        <v>45564.60346111111</v>
      </c>
      <c r="B1672" s="16">
        <v>45559</v>
      </c>
      <c r="C1672" s="2" t="s">
        <v>112</v>
      </c>
      <c r="D1672" s="2" t="s">
        <v>38</v>
      </c>
      <c r="E1672" s="2">
        <v>120</v>
      </c>
      <c r="F1672" s="2" t="s">
        <v>102</v>
      </c>
      <c r="G1672" s="2" t="s">
        <v>103</v>
      </c>
      <c r="H1672" s="2" t="s">
        <v>35</v>
      </c>
    </row>
    <row r="1673" spans="1:8" ht="13" hidden="1">
      <c r="A1673" s="15">
        <v>45564.620329432873</v>
      </c>
      <c r="B1673" s="16">
        <v>45559</v>
      </c>
      <c r="C1673" s="2" t="s">
        <v>748</v>
      </c>
      <c r="D1673" s="2" t="s">
        <v>39</v>
      </c>
      <c r="E1673" s="2">
        <v>4365</v>
      </c>
      <c r="F1673" s="2" t="s">
        <v>102</v>
      </c>
      <c r="H1673" s="2" t="s">
        <v>35</v>
      </c>
    </row>
    <row r="1674" spans="1:8" ht="13" hidden="1">
      <c r="A1674" s="15">
        <v>45564.603737638885</v>
      </c>
      <c r="B1674" s="16">
        <v>45560</v>
      </c>
      <c r="C1674" s="2" t="s">
        <v>674</v>
      </c>
      <c r="D1674" s="2" t="s">
        <v>39</v>
      </c>
      <c r="E1674" s="2">
        <v>3250</v>
      </c>
      <c r="F1674" s="2" t="s">
        <v>102</v>
      </c>
      <c r="H1674" s="2" t="s">
        <v>35</v>
      </c>
    </row>
    <row r="1675" spans="1:8" ht="13" hidden="1">
      <c r="A1675" s="15">
        <v>45564.607416712963</v>
      </c>
      <c r="B1675" s="16">
        <v>45560</v>
      </c>
      <c r="C1675" s="2" t="s">
        <v>749</v>
      </c>
      <c r="E1675" s="2">
        <v>340997</v>
      </c>
      <c r="H1675" s="2" t="s">
        <v>34</v>
      </c>
    </row>
    <row r="1676" spans="1:8" ht="13" hidden="1">
      <c r="A1676" s="15">
        <v>45564.604049386573</v>
      </c>
      <c r="B1676" s="16">
        <v>45560</v>
      </c>
      <c r="C1676" s="2" t="s">
        <v>750</v>
      </c>
      <c r="D1676" s="2" t="s">
        <v>38</v>
      </c>
      <c r="E1676" s="2">
        <v>158</v>
      </c>
      <c r="F1676" s="2" t="s">
        <v>102</v>
      </c>
      <c r="G1676" s="2" t="s">
        <v>356</v>
      </c>
      <c r="H1676" s="2" t="s">
        <v>35</v>
      </c>
    </row>
    <row r="1677" spans="1:8" ht="13" hidden="1">
      <c r="A1677" s="15">
        <v>45564.613873449074</v>
      </c>
      <c r="B1677" s="16">
        <v>45560</v>
      </c>
      <c r="C1677" s="2" t="s">
        <v>146</v>
      </c>
      <c r="D1677" s="2" t="s">
        <v>47</v>
      </c>
      <c r="E1677" s="2">
        <v>3400</v>
      </c>
      <c r="F1677" s="2" t="s">
        <v>102</v>
      </c>
      <c r="H1677" s="2" t="s">
        <v>35</v>
      </c>
    </row>
    <row r="1678" spans="1:8" ht="13" hidden="1">
      <c r="A1678" s="15">
        <v>45564.619657905088</v>
      </c>
      <c r="B1678" s="16">
        <v>45560</v>
      </c>
      <c r="C1678" s="2" t="s">
        <v>116</v>
      </c>
      <c r="D1678" s="2" t="s">
        <v>38</v>
      </c>
      <c r="E1678" s="2">
        <v>368</v>
      </c>
      <c r="F1678" s="2" t="s">
        <v>100</v>
      </c>
      <c r="G1678" s="2" t="s">
        <v>652</v>
      </c>
      <c r="H1678" s="2" t="s">
        <v>35</v>
      </c>
    </row>
    <row r="1679" spans="1:8" ht="13" hidden="1">
      <c r="A1679" s="15">
        <v>45564.614725740743</v>
      </c>
      <c r="B1679" s="16">
        <v>45561</v>
      </c>
      <c r="C1679" s="2" t="s">
        <v>408</v>
      </c>
      <c r="D1679" s="2" t="s">
        <v>152</v>
      </c>
      <c r="E1679" s="2">
        <v>10000</v>
      </c>
      <c r="F1679" s="2" t="s">
        <v>102</v>
      </c>
      <c r="H1679" s="2" t="s">
        <v>35</v>
      </c>
    </row>
    <row r="1680" spans="1:8" ht="13" hidden="1">
      <c r="A1680" s="15">
        <v>45564.614989768517</v>
      </c>
      <c r="B1680" s="16">
        <v>45561</v>
      </c>
      <c r="C1680" s="2" t="s">
        <v>751</v>
      </c>
      <c r="D1680" s="2" t="s">
        <v>152</v>
      </c>
      <c r="E1680" s="2">
        <v>4570</v>
      </c>
      <c r="F1680" s="2" t="s">
        <v>102</v>
      </c>
      <c r="H1680" s="2" t="s">
        <v>35</v>
      </c>
    </row>
    <row r="1681" spans="1:8" ht="13" hidden="1">
      <c r="A1681" s="15">
        <v>45564.604311516203</v>
      </c>
      <c r="B1681" s="16">
        <v>45562</v>
      </c>
      <c r="C1681" s="2" t="s">
        <v>114</v>
      </c>
      <c r="D1681" s="2" t="s">
        <v>38</v>
      </c>
      <c r="E1681" s="2">
        <v>168</v>
      </c>
      <c r="F1681" s="2" t="s">
        <v>102</v>
      </c>
      <c r="H1681" s="2" t="s">
        <v>35</v>
      </c>
    </row>
    <row r="1682" spans="1:8" ht="13" hidden="1">
      <c r="A1682" s="15">
        <v>45564.60490392361</v>
      </c>
      <c r="B1682" s="16">
        <v>45562</v>
      </c>
      <c r="C1682" s="2" t="s">
        <v>752</v>
      </c>
      <c r="D1682" s="2" t="s">
        <v>38</v>
      </c>
      <c r="E1682" s="2">
        <v>890</v>
      </c>
      <c r="F1682" s="2" t="s">
        <v>102</v>
      </c>
      <c r="H1682" s="2" t="s">
        <v>35</v>
      </c>
    </row>
    <row r="1683" spans="1:8" ht="13" hidden="1">
      <c r="A1683" s="15">
        <v>45564.613607800929</v>
      </c>
      <c r="B1683" s="16">
        <v>45562</v>
      </c>
      <c r="C1683" s="2" t="s">
        <v>11</v>
      </c>
      <c r="D1683" s="2" t="s">
        <v>47</v>
      </c>
      <c r="E1683" s="2">
        <v>30000</v>
      </c>
      <c r="F1683" s="2" t="s">
        <v>102</v>
      </c>
      <c r="H1683" s="2" t="s">
        <v>35</v>
      </c>
    </row>
    <row r="1684" spans="1:8" ht="13" hidden="1">
      <c r="A1684" s="15">
        <v>45564.614196145834</v>
      </c>
      <c r="B1684" s="16">
        <v>45562</v>
      </c>
      <c r="C1684" s="2" t="s">
        <v>9</v>
      </c>
      <c r="D1684" s="2" t="s">
        <v>47</v>
      </c>
      <c r="E1684" s="2">
        <v>13600</v>
      </c>
      <c r="F1684" s="2" t="s">
        <v>102</v>
      </c>
      <c r="H1684" s="2" t="s">
        <v>35</v>
      </c>
    </row>
    <row r="1685" spans="1:8" ht="13" hidden="1">
      <c r="A1685" s="15">
        <v>45564.615243587963</v>
      </c>
      <c r="B1685" s="16">
        <v>45562</v>
      </c>
      <c r="C1685" s="2" t="s">
        <v>142</v>
      </c>
      <c r="D1685" s="2" t="s">
        <v>45</v>
      </c>
      <c r="E1685" s="2">
        <v>8470</v>
      </c>
      <c r="F1685" s="2" t="s">
        <v>102</v>
      </c>
      <c r="H1685" s="2" t="s">
        <v>35</v>
      </c>
    </row>
    <row r="1686" spans="1:8" ht="13" hidden="1">
      <c r="A1686" s="15">
        <v>45564.615609375003</v>
      </c>
      <c r="B1686" s="16">
        <v>45562</v>
      </c>
      <c r="C1686" s="2" t="s">
        <v>753</v>
      </c>
      <c r="D1686" s="2" t="s">
        <v>5</v>
      </c>
      <c r="E1686" s="2">
        <v>93000</v>
      </c>
      <c r="F1686" s="2" t="s">
        <v>102</v>
      </c>
      <c r="H1686" s="2" t="s">
        <v>35</v>
      </c>
    </row>
    <row r="1687" spans="1:8" ht="13" hidden="1">
      <c r="A1687" s="15">
        <v>45564.615852071758</v>
      </c>
      <c r="B1687" s="16">
        <v>45562</v>
      </c>
      <c r="C1687" s="2" t="s">
        <v>133</v>
      </c>
      <c r="D1687" s="2" t="s">
        <v>47</v>
      </c>
      <c r="E1687" s="2">
        <v>20000</v>
      </c>
      <c r="F1687" s="2" t="s">
        <v>102</v>
      </c>
      <c r="H1687" s="2" t="s">
        <v>35</v>
      </c>
    </row>
    <row r="1688" spans="1:8" ht="13" hidden="1">
      <c r="A1688" s="15">
        <v>45571.86056325231</v>
      </c>
      <c r="B1688" s="16">
        <v>45562</v>
      </c>
      <c r="C1688" s="2" t="s">
        <v>350</v>
      </c>
      <c r="D1688" s="2" t="s">
        <v>40</v>
      </c>
      <c r="E1688" s="2">
        <v>1000</v>
      </c>
      <c r="F1688" s="2" t="s">
        <v>100</v>
      </c>
      <c r="H1688" s="2" t="s">
        <v>35</v>
      </c>
    </row>
    <row r="1689" spans="1:8" ht="13" hidden="1">
      <c r="A1689" s="15">
        <v>45564.604636307871</v>
      </c>
      <c r="B1689" s="16">
        <v>45563</v>
      </c>
      <c r="C1689" s="2" t="s">
        <v>754</v>
      </c>
      <c r="D1689" s="2" t="s">
        <v>43</v>
      </c>
      <c r="E1689" s="2">
        <v>764</v>
      </c>
      <c r="F1689" s="2" t="s">
        <v>102</v>
      </c>
      <c r="H1689" s="2" t="s">
        <v>35</v>
      </c>
    </row>
    <row r="1690" spans="1:8" ht="13" hidden="1">
      <c r="A1690" s="15">
        <v>45564.605498020828</v>
      </c>
      <c r="B1690" s="16">
        <v>45563</v>
      </c>
      <c r="C1690" s="2" t="s">
        <v>110</v>
      </c>
      <c r="D1690" s="2" t="s">
        <v>38</v>
      </c>
      <c r="E1690" s="2">
        <v>1000</v>
      </c>
      <c r="F1690" s="2" t="s">
        <v>102</v>
      </c>
      <c r="G1690" s="2" t="s">
        <v>755</v>
      </c>
      <c r="H1690" s="2" t="s">
        <v>35</v>
      </c>
    </row>
    <row r="1691" spans="1:8" ht="13" hidden="1">
      <c r="A1691" s="15">
        <v>45564.605978009262</v>
      </c>
      <c r="B1691" s="16">
        <v>45563</v>
      </c>
      <c r="C1691" s="2" t="s">
        <v>756</v>
      </c>
      <c r="D1691" s="2" t="s">
        <v>38</v>
      </c>
      <c r="E1691" s="2">
        <v>1122</v>
      </c>
      <c r="F1691" s="2" t="s">
        <v>102</v>
      </c>
      <c r="G1691" s="2" t="s">
        <v>757</v>
      </c>
      <c r="H1691" s="2" t="s">
        <v>35</v>
      </c>
    </row>
    <row r="1692" spans="1:8" ht="13" hidden="1">
      <c r="A1692" s="15">
        <v>45564.606343518521</v>
      </c>
      <c r="B1692" s="16">
        <v>45563</v>
      </c>
      <c r="C1692" s="2" t="s">
        <v>746</v>
      </c>
      <c r="D1692" s="2" t="s">
        <v>46</v>
      </c>
      <c r="E1692" s="2">
        <v>1760</v>
      </c>
      <c r="F1692" s="2" t="s">
        <v>102</v>
      </c>
      <c r="H1692" s="2" t="s">
        <v>35</v>
      </c>
    </row>
    <row r="1693" spans="1:8" ht="13" hidden="1">
      <c r="A1693" s="15">
        <v>45564.606592789351</v>
      </c>
      <c r="B1693" s="16">
        <v>45563</v>
      </c>
      <c r="C1693" s="2" t="s">
        <v>758</v>
      </c>
      <c r="D1693" s="2" t="s">
        <v>38</v>
      </c>
      <c r="E1693" s="2">
        <v>342</v>
      </c>
      <c r="F1693" s="2" t="s">
        <v>102</v>
      </c>
      <c r="H1693" s="2" t="s">
        <v>35</v>
      </c>
    </row>
    <row r="1694" spans="1:8" ht="13" hidden="1">
      <c r="A1694" s="15">
        <v>45564.606844583337</v>
      </c>
      <c r="B1694" s="16">
        <v>45563</v>
      </c>
      <c r="C1694" s="2" t="s">
        <v>759</v>
      </c>
      <c r="D1694" s="2" t="s">
        <v>38</v>
      </c>
      <c r="E1694" s="2">
        <v>3000</v>
      </c>
      <c r="F1694" s="2" t="s">
        <v>102</v>
      </c>
      <c r="H1694" s="2" t="s">
        <v>35</v>
      </c>
    </row>
    <row r="1695" spans="1:8" ht="13" hidden="1">
      <c r="A1695" s="15">
        <v>45571.860953923606</v>
      </c>
      <c r="B1695" s="16">
        <v>45563</v>
      </c>
      <c r="C1695" s="2" t="s">
        <v>760</v>
      </c>
      <c r="D1695" s="2" t="s">
        <v>39</v>
      </c>
      <c r="E1695" s="2">
        <v>3600</v>
      </c>
      <c r="F1695" s="2" t="s">
        <v>100</v>
      </c>
      <c r="H1695" s="2" t="s">
        <v>35</v>
      </c>
    </row>
    <row r="1696" spans="1:8" ht="13" hidden="1">
      <c r="A1696" s="15">
        <v>45571.861275104166</v>
      </c>
      <c r="B1696" s="16">
        <v>45563</v>
      </c>
      <c r="C1696" s="2" t="s">
        <v>158</v>
      </c>
      <c r="D1696" s="2" t="s">
        <v>49</v>
      </c>
      <c r="E1696" s="2">
        <v>4980</v>
      </c>
      <c r="F1696" s="2" t="s">
        <v>100</v>
      </c>
      <c r="H1696" s="2" t="s">
        <v>35</v>
      </c>
    </row>
    <row r="1697" spans="1:8" ht="13" hidden="1">
      <c r="A1697" s="15">
        <v>45571.86156578704</v>
      </c>
      <c r="B1697" s="16">
        <v>45563</v>
      </c>
      <c r="C1697" s="2" t="s">
        <v>240</v>
      </c>
      <c r="D1697" s="2" t="s">
        <v>42</v>
      </c>
      <c r="E1697" s="2">
        <v>330</v>
      </c>
      <c r="F1697" s="2" t="s">
        <v>100</v>
      </c>
      <c r="H1697" s="2" t="s">
        <v>35</v>
      </c>
    </row>
    <row r="1698" spans="1:8" ht="13" hidden="1">
      <c r="A1698" s="15">
        <v>45571.861930393519</v>
      </c>
      <c r="B1698" s="16">
        <v>45563</v>
      </c>
      <c r="C1698" s="2" t="s">
        <v>761</v>
      </c>
      <c r="D1698" s="2" t="s">
        <v>39</v>
      </c>
      <c r="E1698" s="2">
        <v>1800</v>
      </c>
      <c r="F1698" s="2" t="s">
        <v>100</v>
      </c>
      <c r="G1698" s="2" t="s">
        <v>762</v>
      </c>
      <c r="H1698" s="2" t="s">
        <v>35</v>
      </c>
    </row>
    <row r="1699" spans="1:8" ht="13" hidden="1">
      <c r="A1699" s="15">
        <v>45571.862226956015</v>
      </c>
      <c r="B1699" s="16">
        <v>45564</v>
      </c>
      <c r="C1699" s="2" t="s">
        <v>116</v>
      </c>
      <c r="D1699" s="2" t="s">
        <v>38</v>
      </c>
      <c r="E1699" s="2">
        <v>3483</v>
      </c>
      <c r="F1699" s="2" t="s">
        <v>100</v>
      </c>
      <c r="G1699" s="2" t="s">
        <v>652</v>
      </c>
      <c r="H1699" s="2" t="s">
        <v>35</v>
      </c>
    </row>
    <row r="1700" spans="1:8" ht="13" hidden="1">
      <c r="A1700" s="15">
        <v>45571.865424814816</v>
      </c>
      <c r="B1700" s="16">
        <v>45564</v>
      </c>
      <c r="C1700" s="2" t="s">
        <v>87</v>
      </c>
      <c r="E1700" s="2">
        <v>50000</v>
      </c>
      <c r="H1700" s="2" t="s">
        <v>34</v>
      </c>
    </row>
    <row r="1701" spans="1:8" ht="13" hidden="1">
      <c r="A1701" s="15">
        <v>45571.855524733794</v>
      </c>
      <c r="B1701" s="16">
        <v>45565</v>
      </c>
      <c r="C1701" s="2" t="s">
        <v>763</v>
      </c>
      <c r="D1701" s="2" t="s">
        <v>39</v>
      </c>
      <c r="E1701" s="2">
        <v>2004</v>
      </c>
      <c r="F1701" s="2" t="s">
        <v>102</v>
      </c>
      <c r="H1701" s="2" t="s">
        <v>35</v>
      </c>
    </row>
    <row r="1702" spans="1:8" ht="13" hidden="1">
      <c r="A1702" s="15">
        <v>45571.855804803243</v>
      </c>
      <c r="B1702" s="16">
        <v>45565</v>
      </c>
      <c r="C1702" s="2" t="s">
        <v>106</v>
      </c>
      <c r="D1702" s="2" t="s">
        <v>38</v>
      </c>
      <c r="E1702" s="2">
        <v>1200</v>
      </c>
      <c r="F1702" s="2" t="s">
        <v>102</v>
      </c>
      <c r="G1702" s="2" t="s">
        <v>260</v>
      </c>
      <c r="H1702" s="2" t="s">
        <v>35</v>
      </c>
    </row>
    <row r="1703" spans="1:8" ht="13" hidden="1">
      <c r="A1703" s="15">
        <v>45571.85620332176</v>
      </c>
      <c r="B1703" s="16">
        <v>45565</v>
      </c>
      <c r="C1703" s="2" t="s">
        <v>112</v>
      </c>
      <c r="D1703" s="2" t="s">
        <v>38</v>
      </c>
      <c r="E1703" s="2">
        <v>120</v>
      </c>
      <c r="F1703" s="2" t="s">
        <v>102</v>
      </c>
      <c r="G1703" s="2" t="s">
        <v>103</v>
      </c>
      <c r="H1703" s="2" t="s">
        <v>35</v>
      </c>
    </row>
    <row r="1704" spans="1:8" ht="13" hidden="1">
      <c r="A1704" s="15">
        <v>45571.862490370375</v>
      </c>
      <c r="B1704" s="16">
        <v>45566</v>
      </c>
      <c r="C1704" s="2" t="s">
        <v>248</v>
      </c>
      <c r="D1704" s="2" t="s">
        <v>49</v>
      </c>
      <c r="E1704" s="2">
        <v>700</v>
      </c>
      <c r="F1704" s="2" t="s">
        <v>100</v>
      </c>
      <c r="H1704" s="2" t="s">
        <v>35</v>
      </c>
    </row>
    <row r="1705" spans="1:8" ht="13" hidden="1">
      <c r="A1705" s="15">
        <v>45571.862843483796</v>
      </c>
      <c r="B1705" s="16">
        <v>45566</v>
      </c>
      <c r="C1705" s="2" t="s">
        <v>10</v>
      </c>
      <c r="D1705" s="2" t="s">
        <v>45</v>
      </c>
      <c r="E1705" s="2">
        <v>280</v>
      </c>
      <c r="F1705" s="2" t="s">
        <v>100</v>
      </c>
      <c r="H1705" s="2" t="s">
        <v>35</v>
      </c>
    </row>
    <row r="1706" spans="1:8" ht="13" hidden="1">
      <c r="A1706" s="15">
        <v>45571.863132465282</v>
      </c>
      <c r="B1706" s="16">
        <v>45566</v>
      </c>
      <c r="C1706" s="2" t="s">
        <v>721</v>
      </c>
      <c r="D1706" s="2" t="s">
        <v>48</v>
      </c>
      <c r="E1706" s="2">
        <v>2500</v>
      </c>
      <c r="F1706" s="2" t="s">
        <v>100</v>
      </c>
      <c r="H1706" s="2" t="s">
        <v>35</v>
      </c>
    </row>
    <row r="1707" spans="1:8" ht="13" hidden="1">
      <c r="A1707" s="15">
        <v>45571.863422708338</v>
      </c>
      <c r="B1707" s="16">
        <v>45566</v>
      </c>
      <c r="C1707" s="2" t="s">
        <v>764</v>
      </c>
      <c r="D1707" s="2" t="s">
        <v>40</v>
      </c>
      <c r="E1707" s="2">
        <v>9830</v>
      </c>
      <c r="F1707" s="2" t="s">
        <v>100</v>
      </c>
      <c r="H1707" s="2" t="s">
        <v>35</v>
      </c>
    </row>
    <row r="1708" spans="1:8" ht="13" hidden="1">
      <c r="A1708" s="15">
        <v>45571.856482974537</v>
      </c>
      <c r="B1708" s="16">
        <v>45567</v>
      </c>
      <c r="C1708" s="2" t="s">
        <v>106</v>
      </c>
      <c r="D1708" s="2" t="s">
        <v>38</v>
      </c>
      <c r="E1708" s="2">
        <v>1300</v>
      </c>
      <c r="F1708" s="2" t="s">
        <v>102</v>
      </c>
      <c r="G1708" s="2" t="s">
        <v>227</v>
      </c>
      <c r="H1708" s="2" t="s">
        <v>35</v>
      </c>
    </row>
    <row r="1709" spans="1:8" ht="13" hidden="1">
      <c r="A1709" s="15">
        <v>45571.856747962964</v>
      </c>
      <c r="B1709" s="16">
        <v>45567</v>
      </c>
      <c r="C1709" s="2" t="s">
        <v>112</v>
      </c>
      <c r="D1709" s="2" t="s">
        <v>38</v>
      </c>
      <c r="E1709" s="2">
        <v>120</v>
      </c>
      <c r="F1709" s="2" t="s">
        <v>102</v>
      </c>
      <c r="G1709" s="2" t="s">
        <v>103</v>
      </c>
      <c r="H1709" s="2" t="s">
        <v>35</v>
      </c>
    </row>
    <row r="1710" spans="1:8" ht="13" hidden="1">
      <c r="A1710" s="15">
        <v>45571.856985266204</v>
      </c>
      <c r="B1710" s="16">
        <v>45567</v>
      </c>
      <c r="C1710" s="2" t="s">
        <v>674</v>
      </c>
      <c r="D1710" s="2" t="s">
        <v>39</v>
      </c>
      <c r="E1710" s="2">
        <v>3100</v>
      </c>
      <c r="F1710" s="2" t="s">
        <v>102</v>
      </c>
      <c r="H1710" s="2" t="s">
        <v>35</v>
      </c>
    </row>
    <row r="1711" spans="1:8" ht="13" hidden="1">
      <c r="A1711" s="15">
        <v>45571.863685810182</v>
      </c>
      <c r="B1711" s="16">
        <v>45567</v>
      </c>
      <c r="C1711" s="2" t="s">
        <v>181</v>
      </c>
      <c r="D1711" s="2" t="s">
        <v>40</v>
      </c>
      <c r="E1711" s="2">
        <v>384</v>
      </c>
      <c r="F1711" s="2" t="s">
        <v>100</v>
      </c>
      <c r="H1711" s="2" t="s">
        <v>35</v>
      </c>
    </row>
    <row r="1712" spans="1:8" ht="13" hidden="1">
      <c r="A1712" s="15">
        <v>45571.857298344912</v>
      </c>
      <c r="B1712" s="16">
        <v>45568</v>
      </c>
      <c r="C1712" s="2" t="s">
        <v>719</v>
      </c>
      <c r="D1712" s="2" t="s">
        <v>45</v>
      </c>
      <c r="E1712" s="2">
        <v>822</v>
      </c>
      <c r="F1712" s="2" t="s">
        <v>102</v>
      </c>
      <c r="G1712" s="2" t="s">
        <v>285</v>
      </c>
      <c r="H1712" s="2" t="s">
        <v>35</v>
      </c>
    </row>
    <row r="1713" spans="1:8" ht="13" hidden="1">
      <c r="A1713" s="15">
        <v>45571.859332314816</v>
      </c>
      <c r="B1713" s="16">
        <v>45568</v>
      </c>
      <c r="C1713" s="2" t="s">
        <v>258</v>
      </c>
      <c r="E1713" s="2">
        <v>6999</v>
      </c>
      <c r="H1713" s="2" t="s">
        <v>34</v>
      </c>
    </row>
    <row r="1714" spans="1:8" ht="13" hidden="1">
      <c r="A1714" s="15">
        <v>45571.863982187497</v>
      </c>
      <c r="B1714" s="16">
        <v>45568</v>
      </c>
      <c r="C1714" s="2" t="s">
        <v>116</v>
      </c>
      <c r="D1714" s="2" t="s">
        <v>38</v>
      </c>
      <c r="E1714" s="2">
        <v>2703</v>
      </c>
      <c r="F1714" s="2" t="s">
        <v>100</v>
      </c>
      <c r="G1714" s="2" t="s">
        <v>652</v>
      </c>
      <c r="H1714" s="2" t="s">
        <v>35</v>
      </c>
    </row>
    <row r="1715" spans="1:8" ht="13" hidden="1">
      <c r="A1715" s="15">
        <v>45571.864225868056</v>
      </c>
      <c r="B1715" s="16">
        <v>45568</v>
      </c>
      <c r="C1715" s="2" t="s">
        <v>247</v>
      </c>
      <c r="D1715" s="2" t="s">
        <v>39</v>
      </c>
      <c r="E1715" s="2">
        <v>1100</v>
      </c>
      <c r="F1715" s="2" t="s">
        <v>100</v>
      </c>
      <c r="H1715" s="2" t="s">
        <v>35</v>
      </c>
    </row>
    <row r="1716" spans="1:8" ht="13" hidden="1">
      <c r="A1716" s="15">
        <v>45585.450330358799</v>
      </c>
      <c r="B1716" s="16">
        <v>45568</v>
      </c>
      <c r="C1716" s="2" t="s">
        <v>765</v>
      </c>
      <c r="D1716" s="2" t="s">
        <v>46</v>
      </c>
      <c r="E1716" s="2">
        <v>4730</v>
      </c>
      <c r="F1716" s="2" t="s">
        <v>100</v>
      </c>
      <c r="H1716" s="2" t="s">
        <v>35</v>
      </c>
    </row>
    <row r="1717" spans="1:8" ht="13" hidden="1">
      <c r="A1717" s="15">
        <v>45585.450889548607</v>
      </c>
      <c r="B1717" s="16">
        <v>45568</v>
      </c>
      <c r="C1717" s="2" t="s">
        <v>176</v>
      </c>
      <c r="D1717" s="2" t="s">
        <v>41</v>
      </c>
      <c r="E1717" s="2">
        <v>3269</v>
      </c>
      <c r="F1717" s="2" t="s">
        <v>100</v>
      </c>
      <c r="H1717" s="2" t="s">
        <v>35</v>
      </c>
    </row>
    <row r="1718" spans="1:8" ht="13" hidden="1">
      <c r="A1718" s="15">
        <v>45571.857604583332</v>
      </c>
      <c r="B1718" s="16">
        <v>45570</v>
      </c>
      <c r="C1718" s="2" t="s">
        <v>559</v>
      </c>
      <c r="D1718" s="2" t="s">
        <v>39</v>
      </c>
      <c r="E1718" s="2">
        <v>600</v>
      </c>
      <c r="F1718" s="2" t="s">
        <v>102</v>
      </c>
      <c r="G1718" s="2" t="s">
        <v>667</v>
      </c>
      <c r="H1718" s="2" t="s">
        <v>35</v>
      </c>
    </row>
    <row r="1719" spans="1:8" ht="13" hidden="1">
      <c r="A1719" s="15">
        <v>45571.857889212959</v>
      </c>
      <c r="B1719" s="16">
        <v>45570</v>
      </c>
      <c r="C1719" s="2" t="s">
        <v>766</v>
      </c>
      <c r="D1719" s="2" t="s">
        <v>39</v>
      </c>
      <c r="E1719" s="2">
        <v>550</v>
      </c>
      <c r="F1719" s="2" t="s">
        <v>102</v>
      </c>
      <c r="G1719" s="2" t="s">
        <v>667</v>
      </c>
      <c r="H1719" s="2" t="s">
        <v>35</v>
      </c>
    </row>
    <row r="1720" spans="1:8" ht="13" hidden="1">
      <c r="A1720" s="15">
        <v>45571.858219456015</v>
      </c>
      <c r="B1720" s="16">
        <v>45570</v>
      </c>
      <c r="C1720" s="2" t="s">
        <v>767</v>
      </c>
      <c r="D1720" s="2" t="s">
        <v>39</v>
      </c>
      <c r="E1720" s="2">
        <v>3090</v>
      </c>
      <c r="F1720" s="2" t="s">
        <v>102</v>
      </c>
      <c r="G1720" s="2" t="s">
        <v>768</v>
      </c>
      <c r="H1720" s="2" t="s">
        <v>35</v>
      </c>
    </row>
    <row r="1721" spans="1:8" ht="13" hidden="1">
      <c r="A1721" s="15">
        <v>45585.451361145839</v>
      </c>
      <c r="B1721" s="16">
        <v>45570</v>
      </c>
      <c r="C1721" s="2" t="s">
        <v>240</v>
      </c>
      <c r="D1721" s="2" t="s">
        <v>42</v>
      </c>
      <c r="E1721" s="2">
        <v>990</v>
      </c>
      <c r="F1721" s="2" t="s">
        <v>100</v>
      </c>
      <c r="H1721" s="2" t="s">
        <v>35</v>
      </c>
    </row>
    <row r="1722" spans="1:8" ht="13" hidden="1">
      <c r="A1722" s="15">
        <v>45571.858604456022</v>
      </c>
      <c r="B1722" s="16">
        <v>45571</v>
      </c>
      <c r="C1722" s="2" t="s">
        <v>116</v>
      </c>
      <c r="D1722" s="2" t="s">
        <v>38</v>
      </c>
      <c r="E1722" s="2">
        <v>290</v>
      </c>
      <c r="F1722" s="2" t="s">
        <v>102</v>
      </c>
      <c r="G1722" s="2" t="s">
        <v>652</v>
      </c>
      <c r="H1722" s="2" t="s">
        <v>35</v>
      </c>
    </row>
    <row r="1723" spans="1:8" ht="13" hidden="1">
      <c r="A1723" s="15">
        <v>45571.858938831021</v>
      </c>
      <c r="B1723" s="16">
        <v>45571</v>
      </c>
      <c r="C1723" s="2" t="s">
        <v>163</v>
      </c>
      <c r="D1723" s="2" t="s">
        <v>38</v>
      </c>
      <c r="E1723" s="2">
        <v>1800</v>
      </c>
      <c r="F1723" s="2" t="s">
        <v>102</v>
      </c>
      <c r="G1723" s="2" t="s">
        <v>164</v>
      </c>
      <c r="H1723" s="2" t="s">
        <v>35</v>
      </c>
    </row>
    <row r="1724" spans="1:8" ht="13" hidden="1">
      <c r="A1724" s="15">
        <v>45585.451817766203</v>
      </c>
      <c r="B1724" s="16">
        <v>45571</v>
      </c>
      <c r="C1724" s="2" t="s">
        <v>769</v>
      </c>
      <c r="D1724" s="2" t="s">
        <v>45</v>
      </c>
      <c r="E1724" s="2">
        <v>699</v>
      </c>
      <c r="F1724" s="2" t="s">
        <v>100</v>
      </c>
      <c r="G1724" s="2" t="s">
        <v>129</v>
      </c>
      <c r="H1724" s="2" t="s">
        <v>35</v>
      </c>
    </row>
    <row r="1725" spans="1:8" ht="13" hidden="1">
      <c r="A1725" s="15">
        <v>45585.452068252314</v>
      </c>
      <c r="B1725" s="16">
        <v>45571</v>
      </c>
      <c r="C1725" s="2" t="s">
        <v>770</v>
      </c>
      <c r="D1725" s="2" t="s">
        <v>39</v>
      </c>
      <c r="E1725" s="2">
        <v>4000</v>
      </c>
      <c r="F1725" s="2" t="s">
        <v>100</v>
      </c>
      <c r="H1725" s="2" t="s">
        <v>35</v>
      </c>
    </row>
    <row r="1726" spans="1:8" ht="13" hidden="1">
      <c r="A1726" s="15">
        <v>45585.45244252315</v>
      </c>
      <c r="B1726" s="16">
        <v>45572</v>
      </c>
      <c r="C1726" s="2" t="s">
        <v>116</v>
      </c>
      <c r="D1726" s="2" t="s">
        <v>38</v>
      </c>
      <c r="E1726" s="2">
        <v>1696</v>
      </c>
      <c r="F1726" s="2" t="s">
        <v>100</v>
      </c>
      <c r="G1726" s="2" t="s">
        <v>652</v>
      </c>
      <c r="H1726" s="2" t="s">
        <v>35</v>
      </c>
    </row>
    <row r="1727" spans="1:8" ht="13" hidden="1">
      <c r="A1727" s="15">
        <v>45585.441529317133</v>
      </c>
      <c r="B1727" s="16">
        <v>45573</v>
      </c>
      <c r="C1727" s="2" t="s">
        <v>106</v>
      </c>
      <c r="D1727" s="2" t="s">
        <v>38</v>
      </c>
      <c r="E1727" s="2">
        <v>1100</v>
      </c>
      <c r="F1727" s="2" t="s">
        <v>102</v>
      </c>
      <c r="G1727" s="2" t="s">
        <v>256</v>
      </c>
      <c r="H1727" s="2" t="s">
        <v>35</v>
      </c>
    </row>
    <row r="1728" spans="1:8" ht="13" hidden="1">
      <c r="A1728" s="15">
        <v>45585.452705208329</v>
      </c>
      <c r="B1728" s="16">
        <v>45573</v>
      </c>
      <c r="C1728" s="2" t="s">
        <v>350</v>
      </c>
      <c r="D1728" s="2" t="s">
        <v>40</v>
      </c>
      <c r="E1728" s="2">
        <v>1000</v>
      </c>
      <c r="F1728" s="2" t="s">
        <v>100</v>
      </c>
      <c r="H1728" s="2" t="s">
        <v>35</v>
      </c>
    </row>
    <row r="1729" spans="1:8" ht="13" hidden="1">
      <c r="A1729" s="15">
        <v>45585.453170046298</v>
      </c>
      <c r="B1729" s="16">
        <v>45573</v>
      </c>
      <c r="C1729" s="2" t="s">
        <v>538</v>
      </c>
      <c r="D1729" s="2" t="s">
        <v>39</v>
      </c>
      <c r="E1729" s="2">
        <v>1320</v>
      </c>
      <c r="F1729" s="2" t="s">
        <v>100</v>
      </c>
      <c r="H1729" s="2" t="s">
        <v>35</v>
      </c>
    </row>
    <row r="1730" spans="1:8" ht="13" hidden="1">
      <c r="A1730" s="15">
        <v>45585.45343898148</v>
      </c>
      <c r="B1730" s="16">
        <v>45573</v>
      </c>
      <c r="C1730" s="2" t="s">
        <v>654</v>
      </c>
      <c r="D1730" s="2" t="s">
        <v>42</v>
      </c>
      <c r="E1730" s="2">
        <v>130</v>
      </c>
      <c r="F1730" s="2" t="s">
        <v>100</v>
      </c>
      <c r="H1730" s="2" t="s">
        <v>35</v>
      </c>
    </row>
    <row r="1731" spans="1:8" ht="13" hidden="1">
      <c r="A1731" s="15">
        <v>45585.441282476851</v>
      </c>
      <c r="B1731" s="16">
        <v>45574</v>
      </c>
      <c r="C1731" s="2" t="s">
        <v>468</v>
      </c>
      <c r="D1731" s="2" t="s">
        <v>39</v>
      </c>
      <c r="E1731" s="2">
        <v>1800</v>
      </c>
      <c r="F1731" s="2" t="s">
        <v>102</v>
      </c>
      <c r="G1731" s="2" t="s">
        <v>768</v>
      </c>
      <c r="H1731" s="2" t="s">
        <v>35</v>
      </c>
    </row>
    <row r="1732" spans="1:8" ht="13" hidden="1">
      <c r="A1732" s="15">
        <v>45585.45374459491</v>
      </c>
      <c r="B1732" s="16">
        <v>45574</v>
      </c>
      <c r="C1732" s="2" t="s">
        <v>15</v>
      </c>
      <c r="D1732" s="2" t="s">
        <v>48</v>
      </c>
      <c r="E1732" s="2">
        <v>880</v>
      </c>
      <c r="F1732" s="2" t="s">
        <v>100</v>
      </c>
      <c r="H1732" s="2" t="s">
        <v>35</v>
      </c>
    </row>
    <row r="1733" spans="1:8" ht="13" hidden="1">
      <c r="A1733" s="15">
        <v>45585.454009652778</v>
      </c>
      <c r="B1733" s="16">
        <v>45574</v>
      </c>
      <c r="C1733" s="2" t="s">
        <v>22</v>
      </c>
      <c r="D1733" s="2" t="s">
        <v>39</v>
      </c>
      <c r="E1733" s="2">
        <v>2310</v>
      </c>
      <c r="F1733" s="2" t="s">
        <v>100</v>
      </c>
      <c r="H1733" s="2" t="s">
        <v>35</v>
      </c>
    </row>
    <row r="1734" spans="1:8" ht="13" hidden="1">
      <c r="A1734" s="15">
        <v>45585.44187112269</v>
      </c>
      <c r="B1734" s="16">
        <v>45575</v>
      </c>
      <c r="C1734" s="2" t="s">
        <v>112</v>
      </c>
      <c r="D1734" s="2" t="s">
        <v>38</v>
      </c>
      <c r="E1734" s="2">
        <v>120</v>
      </c>
      <c r="F1734" s="2" t="s">
        <v>102</v>
      </c>
      <c r="G1734" s="2" t="s">
        <v>103</v>
      </c>
      <c r="H1734" s="2" t="s">
        <v>35</v>
      </c>
    </row>
    <row r="1735" spans="1:8" ht="13" hidden="1">
      <c r="A1735" s="15">
        <v>45585.4481815162</v>
      </c>
      <c r="B1735" s="16">
        <v>45575</v>
      </c>
      <c r="C1735" s="2" t="s">
        <v>771</v>
      </c>
      <c r="D1735" s="2" t="s">
        <v>39</v>
      </c>
      <c r="E1735" s="2">
        <v>5000</v>
      </c>
      <c r="F1735" s="2" t="s">
        <v>102</v>
      </c>
      <c r="G1735" s="2" t="s">
        <v>772</v>
      </c>
      <c r="H1735" s="2" t="s">
        <v>35</v>
      </c>
    </row>
    <row r="1736" spans="1:8" ht="13" hidden="1">
      <c r="A1736" s="15">
        <v>45585.454373379631</v>
      </c>
      <c r="B1736" s="16">
        <v>45575</v>
      </c>
      <c r="C1736" s="2" t="s">
        <v>240</v>
      </c>
      <c r="D1736" s="2" t="s">
        <v>42</v>
      </c>
      <c r="E1736" s="2">
        <v>418</v>
      </c>
      <c r="F1736" s="2" t="s">
        <v>100</v>
      </c>
      <c r="H1736" s="2" t="s">
        <v>35</v>
      </c>
    </row>
    <row r="1737" spans="1:8" ht="13" hidden="1">
      <c r="A1737" s="15">
        <v>45585.443528981486</v>
      </c>
      <c r="B1737" s="16">
        <v>45576</v>
      </c>
      <c r="C1737" s="2" t="s">
        <v>651</v>
      </c>
      <c r="D1737" s="2" t="s">
        <v>39</v>
      </c>
      <c r="E1737" s="2">
        <v>5000</v>
      </c>
      <c r="F1737" s="2" t="s">
        <v>102</v>
      </c>
      <c r="G1737" s="2" t="s">
        <v>773</v>
      </c>
      <c r="H1737" s="2" t="s">
        <v>35</v>
      </c>
    </row>
    <row r="1738" spans="1:8" ht="13" hidden="1">
      <c r="A1738" s="15">
        <v>45585.454698657406</v>
      </c>
      <c r="B1738" s="16">
        <v>45576</v>
      </c>
      <c r="C1738" s="2" t="s">
        <v>18</v>
      </c>
      <c r="D1738" s="2" t="s">
        <v>41</v>
      </c>
      <c r="E1738" s="2">
        <v>5868</v>
      </c>
      <c r="F1738" s="2" t="s">
        <v>100</v>
      </c>
      <c r="H1738" s="2" t="s">
        <v>35</v>
      </c>
    </row>
    <row r="1739" spans="1:8" ht="13" hidden="1">
      <c r="A1739" s="15">
        <v>45585.442127256945</v>
      </c>
      <c r="B1739" s="16">
        <v>45577</v>
      </c>
      <c r="C1739" s="2" t="s">
        <v>774</v>
      </c>
      <c r="D1739" s="2" t="s">
        <v>39</v>
      </c>
      <c r="E1739" s="2">
        <v>2600</v>
      </c>
      <c r="F1739" s="2" t="s">
        <v>102</v>
      </c>
      <c r="H1739" s="2" t="s">
        <v>35</v>
      </c>
    </row>
    <row r="1740" spans="1:8" ht="13" hidden="1">
      <c r="A1740" s="15">
        <v>45585.442451747687</v>
      </c>
      <c r="B1740" s="16">
        <v>45577</v>
      </c>
      <c r="C1740" s="2" t="s">
        <v>775</v>
      </c>
      <c r="D1740" s="2" t="s">
        <v>39</v>
      </c>
      <c r="E1740" s="2">
        <v>1300</v>
      </c>
      <c r="F1740" s="2" t="s">
        <v>102</v>
      </c>
      <c r="G1740" s="2" t="s">
        <v>776</v>
      </c>
      <c r="H1740" s="2" t="s">
        <v>35</v>
      </c>
    </row>
    <row r="1741" spans="1:8" ht="13" hidden="1">
      <c r="A1741" s="15">
        <v>45585.442844791665</v>
      </c>
      <c r="B1741" s="16">
        <v>45577</v>
      </c>
      <c r="C1741" s="2" t="s">
        <v>236</v>
      </c>
      <c r="D1741" s="2" t="s">
        <v>43</v>
      </c>
      <c r="E1741" s="2">
        <v>418</v>
      </c>
      <c r="F1741" s="2" t="s">
        <v>102</v>
      </c>
      <c r="G1741" s="2" t="s">
        <v>285</v>
      </c>
      <c r="H1741" s="2" t="s">
        <v>35</v>
      </c>
    </row>
    <row r="1742" spans="1:8" ht="13" hidden="1">
      <c r="A1742" s="15">
        <v>45585.455064108799</v>
      </c>
      <c r="B1742" s="16">
        <v>45577</v>
      </c>
      <c r="C1742" s="2" t="s">
        <v>240</v>
      </c>
      <c r="D1742" s="2" t="s">
        <v>42</v>
      </c>
      <c r="E1742" s="2">
        <v>790</v>
      </c>
      <c r="F1742" s="2" t="s">
        <v>100</v>
      </c>
      <c r="H1742" s="2" t="s">
        <v>35</v>
      </c>
    </row>
    <row r="1743" spans="1:8" ht="13" hidden="1">
      <c r="A1743" s="15">
        <v>45585.455461006946</v>
      </c>
      <c r="B1743" s="16">
        <v>45577</v>
      </c>
      <c r="C1743" s="2" t="s">
        <v>116</v>
      </c>
      <c r="D1743" s="2" t="s">
        <v>38</v>
      </c>
      <c r="E1743" s="2">
        <v>1699</v>
      </c>
      <c r="F1743" s="2" t="s">
        <v>100</v>
      </c>
      <c r="G1743" s="2" t="s">
        <v>652</v>
      </c>
      <c r="H1743" s="2" t="s">
        <v>35</v>
      </c>
    </row>
    <row r="1744" spans="1:8" ht="13" hidden="1">
      <c r="A1744" s="15">
        <v>45585.455855787033</v>
      </c>
      <c r="B1744" s="16">
        <v>45577</v>
      </c>
      <c r="C1744" s="2" t="s">
        <v>350</v>
      </c>
      <c r="D1744" s="2" t="s">
        <v>40</v>
      </c>
      <c r="E1744" s="2">
        <v>1000</v>
      </c>
      <c r="F1744" s="2" t="s">
        <v>100</v>
      </c>
      <c r="H1744" s="2" t="s">
        <v>35</v>
      </c>
    </row>
    <row r="1745" spans="1:8" ht="13" hidden="1">
      <c r="A1745" s="15">
        <v>45585.456174907406</v>
      </c>
      <c r="B1745" s="16">
        <v>45577</v>
      </c>
      <c r="C1745" s="2" t="s">
        <v>409</v>
      </c>
      <c r="D1745" s="2" t="s">
        <v>40</v>
      </c>
      <c r="E1745" s="2">
        <v>10280</v>
      </c>
      <c r="F1745" s="2" t="s">
        <v>100</v>
      </c>
      <c r="H1745" s="2" t="s">
        <v>35</v>
      </c>
    </row>
    <row r="1746" spans="1:8" ht="13" hidden="1">
      <c r="A1746" s="15">
        <v>45585.443862175925</v>
      </c>
      <c r="B1746" s="16">
        <v>45578</v>
      </c>
      <c r="C1746" s="2" t="s">
        <v>204</v>
      </c>
      <c r="D1746" s="2" t="s">
        <v>45</v>
      </c>
      <c r="E1746" s="2">
        <v>3700</v>
      </c>
      <c r="F1746" s="2" t="s">
        <v>102</v>
      </c>
      <c r="G1746" s="2" t="s">
        <v>692</v>
      </c>
      <c r="H1746" s="2" t="s">
        <v>35</v>
      </c>
    </row>
    <row r="1747" spans="1:8" ht="13" hidden="1">
      <c r="A1747" s="15">
        <v>45585.444162222222</v>
      </c>
      <c r="B1747" s="16">
        <v>45578</v>
      </c>
      <c r="C1747" s="2" t="s">
        <v>280</v>
      </c>
      <c r="D1747" s="2" t="s">
        <v>46</v>
      </c>
      <c r="E1747" s="2">
        <v>1375</v>
      </c>
      <c r="F1747" s="2" t="s">
        <v>102</v>
      </c>
      <c r="G1747" s="2" t="s">
        <v>306</v>
      </c>
      <c r="H1747" s="2" t="s">
        <v>35</v>
      </c>
    </row>
    <row r="1748" spans="1:8" ht="13" hidden="1">
      <c r="A1748" s="15">
        <v>45585.456429594909</v>
      </c>
      <c r="B1748" s="16">
        <v>45578</v>
      </c>
      <c r="C1748" s="2" t="s">
        <v>247</v>
      </c>
      <c r="D1748" s="2" t="s">
        <v>39</v>
      </c>
      <c r="E1748" s="2">
        <v>1100</v>
      </c>
      <c r="F1748" s="2" t="s">
        <v>100</v>
      </c>
      <c r="H1748" s="2" t="s">
        <v>35</v>
      </c>
    </row>
    <row r="1749" spans="1:8" ht="13" hidden="1">
      <c r="A1749" s="15">
        <v>45585.456852361109</v>
      </c>
      <c r="B1749" s="16">
        <v>45578</v>
      </c>
      <c r="C1749" s="2" t="s">
        <v>116</v>
      </c>
      <c r="D1749" s="2" t="s">
        <v>38</v>
      </c>
      <c r="E1749" s="2">
        <v>1155</v>
      </c>
      <c r="F1749" s="2" t="s">
        <v>100</v>
      </c>
      <c r="G1749" s="2" t="s">
        <v>652</v>
      </c>
      <c r="H1749" s="2" t="s">
        <v>35</v>
      </c>
    </row>
    <row r="1750" spans="1:8" ht="13" hidden="1">
      <c r="A1750" s="15">
        <v>45585.444767534718</v>
      </c>
      <c r="B1750" s="16">
        <v>45579</v>
      </c>
      <c r="C1750" s="2" t="s">
        <v>777</v>
      </c>
      <c r="D1750" s="2" t="s">
        <v>45</v>
      </c>
      <c r="E1750" s="2">
        <v>1275</v>
      </c>
      <c r="F1750" s="2" t="s">
        <v>102</v>
      </c>
      <c r="G1750" s="2" t="s">
        <v>285</v>
      </c>
      <c r="H1750" s="2" t="s">
        <v>35</v>
      </c>
    </row>
    <row r="1751" spans="1:8" ht="13" hidden="1">
      <c r="A1751" s="15">
        <v>45585.457097847218</v>
      </c>
      <c r="B1751" s="16">
        <v>45579</v>
      </c>
      <c r="C1751" s="2" t="s">
        <v>705</v>
      </c>
      <c r="D1751" s="2" t="s">
        <v>48</v>
      </c>
      <c r="E1751" s="2">
        <v>1210</v>
      </c>
      <c r="F1751" s="2" t="s">
        <v>100</v>
      </c>
      <c r="H1751" s="2" t="s">
        <v>35</v>
      </c>
    </row>
    <row r="1752" spans="1:8" ht="13" hidden="1">
      <c r="A1752" s="15">
        <v>45585.457346793977</v>
      </c>
      <c r="B1752" s="16">
        <v>45579</v>
      </c>
      <c r="C1752" s="2" t="s">
        <v>778</v>
      </c>
      <c r="D1752" s="2" t="s">
        <v>48</v>
      </c>
      <c r="E1752" s="2">
        <v>3052</v>
      </c>
      <c r="F1752" s="2" t="s">
        <v>100</v>
      </c>
      <c r="H1752" s="2" t="s">
        <v>35</v>
      </c>
    </row>
    <row r="1753" spans="1:8" ht="13" hidden="1">
      <c r="A1753" s="15">
        <v>45585.457573391206</v>
      </c>
      <c r="B1753" s="16">
        <v>45580</v>
      </c>
      <c r="C1753" s="2" t="s">
        <v>247</v>
      </c>
      <c r="D1753" s="2" t="s">
        <v>39</v>
      </c>
      <c r="E1753" s="2">
        <v>3600</v>
      </c>
      <c r="F1753" s="2" t="s">
        <v>100</v>
      </c>
      <c r="H1753" s="2" t="s">
        <v>35</v>
      </c>
    </row>
    <row r="1754" spans="1:8" ht="13" hidden="1">
      <c r="A1754" s="15">
        <v>45585.457810300926</v>
      </c>
      <c r="B1754" s="16">
        <v>45581</v>
      </c>
      <c r="C1754" s="2" t="s">
        <v>20</v>
      </c>
      <c r="D1754" s="2" t="s">
        <v>39</v>
      </c>
      <c r="E1754" s="2">
        <v>1490</v>
      </c>
      <c r="F1754" s="2" t="s">
        <v>100</v>
      </c>
      <c r="H1754" s="2" t="s">
        <v>35</v>
      </c>
    </row>
    <row r="1755" spans="1:8" ht="13" hidden="1">
      <c r="A1755" s="15">
        <v>45585.445147754624</v>
      </c>
      <c r="B1755" s="16">
        <v>45582</v>
      </c>
      <c r="C1755" s="2" t="s">
        <v>779</v>
      </c>
      <c r="D1755" s="2" t="s">
        <v>45</v>
      </c>
      <c r="E1755" s="2">
        <v>429</v>
      </c>
      <c r="F1755" s="2" t="s">
        <v>102</v>
      </c>
      <c r="G1755" s="2" t="s">
        <v>285</v>
      </c>
      <c r="H1755" s="2" t="s">
        <v>35</v>
      </c>
    </row>
    <row r="1756" spans="1:8" ht="13" hidden="1">
      <c r="A1756" s="15">
        <v>45585.445436087961</v>
      </c>
      <c r="B1756" s="16">
        <v>45583</v>
      </c>
      <c r="C1756" s="2" t="s">
        <v>780</v>
      </c>
      <c r="D1756" s="2" t="s">
        <v>38</v>
      </c>
      <c r="E1756" s="2">
        <v>300</v>
      </c>
      <c r="F1756" s="2" t="s">
        <v>102</v>
      </c>
      <c r="G1756" s="2" t="s">
        <v>356</v>
      </c>
      <c r="H1756" s="2" t="s">
        <v>35</v>
      </c>
    </row>
    <row r="1757" spans="1:8" ht="13" hidden="1">
      <c r="A1757" s="15">
        <v>45593.789324178244</v>
      </c>
      <c r="B1757" s="16">
        <v>45583</v>
      </c>
      <c r="C1757" s="2" t="s">
        <v>116</v>
      </c>
      <c r="D1757" s="2" t="s">
        <v>38</v>
      </c>
      <c r="E1757" s="2">
        <v>791</v>
      </c>
      <c r="F1757" s="2" t="s">
        <v>100</v>
      </c>
      <c r="G1757" s="2" t="s">
        <v>652</v>
      </c>
      <c r="H1757" s="2" t="s">
        <v>35</v>
      </c>
    </row>
    <row r="1758" spans="1:8" ht="13" hidden="1">
      <c r="A1758" s="15">
        <v>45585.445867106479</v>
      </c>
      <c r="B1758" s="16">
        <v>45584</v>
      </c>
      <c r="C1758" s="2" t="s">
        <v>781</v>
      </c>
      <c r="D1758" s="2" t="s">
        <v>45</v>
      </c>
      <c r="E1758" s="2">
        <v>330</v>
      </c>
      <c r="F1758" s="2" t="s">
        <v>102</v>
      </c>
      <c r="G1758" s="2" t="s">
        <v>285</v>
      </c>
      <c r="H1758" s="2" t="s">
        <v>35</v>
      </c>
    </row>
    <row r="1759" spans="1:8" ht="13" hidden="1">
      <c r="A1759" s="15">
        <v>45585.446231215275</v>
      </c>
      <c r="B1759" s="16">
        <v>45584</v>
      </c>
      <c r="C1759" s="2" t="s">
        <v>45</v>
      </c>
      <c r="D1759" s="2" t="s">
        <v>45</v>
      </c>
      <c r="E1759" s="2">
        <v>401</v>
      </c>
      <c r="F1759" s="2" t="s">
        <v>102</v>
      </c>
      <c r="G1759" s="2" t="s">
        <v>285</v>
      </c>
      <c r="H1759" s="2" t="s">
        <v>35</v>
      </c>
    </row>
    <row r="1760" spans="1:8" ht="13" hidden="1">
      <c r="A1760" s="15">
        <v>45585.446508599533</v>
      </c>
      <c r="B1760" s="16">
        <v>45584</v>
      </c>
      <c r="C1760" s="2" t="s">
        <v>782</v>
      </c>
      <c r="D1760" s="2" t="s">
        <v>38</v>
      </c>
      <c r="E1760" s="2">
        <v>650</v>
      </c>
      <c r="F1760" s="2" t="s">
        <v>102</v>
      </c>
      <c r="H1760" s="2" t="s">
        <v>35</v>
      </c>
    </row>
    <row r="1761" spans="1:8" ht="13" hidden="1">
      <c r="A1761" s="15">
        <v>45585.446817719909</v>
      </c>
      <c r="B1761" s="16">
        <v>45584</v>
      </c>
      <c r="C1761" s="2" t="s">
        <v>783</v>
      </c>
      <c r="D1761" s="2" t="s">
        <v>38</v>
      </c>
      <c r="E1761" s="2">
        <v>600</v>
      </c>
      <c r="F1761" s="2" t="s">
        <v>102</v>
      </c>
      <c r="G1761" s="2" t="s">
        <v>784</v>
      </c>
      <c r="H1761" s="2" t="s">
        <v>35</v>
      </c>
    </row>
    <row r="1762" spans="1:8" ht="13" hidden="1">
      <c r="A1762" s="15">
        <v>45585.447163379635</v>
      </c>
      <c r="B1762" s="16">
        <v>45584</v>
      </c>
      <c r="C1762" s="2" t="s">
        <v>785</v>
      </c>
      <c r="D1762" s="2" t="s">
        <v>39</v>
      </c>
      <c r="E1762" s="2">
        <v>6760</v>
      </c>
      <c r="F1762" s="2" t="s">
        <v>102</v>
      </c>
      <c r="H1762" s="2" t="s">
        <v>35</v>
      </c>
    </row>
    <row r="1763" spans="1:8" ht="13" hidden="1">
      <c r="A1763" s="15">
        <v>45585.4473931713</v>
      </c>
      <c r="B1763" s="16">
        <v>45584</v>
      </c>
      <c r="C1763" s="2" t="s">
        <v>786</v>
      </c>
      <c r="E1763" s="2">
        <v>3000</v>
      </c>
      <c r="H1763" s="2" t="s">
        <v>34</v>
      </c>
    </row>
    <row r="1764" spans="1:8" ht="13" hidden="1">
      <c r="A1764" s="15">
        <v>45585.447709479165</v>
      </c>
      <c r="B1764" s="16">
        <v>45584</v>
      </c>
      <c r="C1764" s="2" t="s">
        <v>785</v>
      </c>
      <c r="D1764" s="2" t="s">
        <v>39</v>
      </c>
      <c r="E1764" s="2">
        <v>2600</v>
      </c>
      <c r="F1764" s="2" t="s">
        <v>102</v>
      </c>
      <c r="H1764" s="2" t="s">
        <v>35</v>
      </c>
    </row>
    <row r="1765" spans="1:8" ht="13" hidden="1">
      <c r="A1765" s="15">
        <v>45593.789654178239</v>
      </c>
      <c r="B1765" s="16">
        <v>45584</v>
      </c>
      <c r="C1765" s="2" t="s">
        <v>350</v>
      </c>
      <c r="D1765" s="2" t="s">
        <v>40</v>
      </c>
      <c r="E1765" s="2">
        <v>1000</v>
      </c>
      <c r="F1765" s="2" t="s">
        <v>100</v>
      </c>
      <c r="H1765" s="2" t="s">
        <v>35</v>
      </c>
    </row>
    <row r="1766" spans="1:8" ht="13" hidden="1">
      <c r="A1766" s="15">
        <v>45593.789938414353</v>
      </c>
      <c r="B1766" s="16">
        <v>45584</v>
      </c>
      <c r="C1766" s="2" t="s">
        <v>240</v>
      </c>
      <c r="D1766" s="2" t="s">
        <v>42</v>
      </c>
      <c r="E1766" s="2">
        <v>990</v>
      </c>
      <c r="F1766" s="2" t="s">
        <v>100</v>
      </c>
      <c r="H1766" s="2" t="s">
        <v>35</v>
      </c>
    </row>
    <row r="1767" spans="1:8" ht="13" hidden="1">
      <c r="A1767" s="15">
        <v>45593.77922413194</v>
      </c>
      <c r="B1767" s="16">
        <v>45585</v>
      </c>
      <c r="C1767" s="2" t="s">
        <v>112</v>
      </c>
      <c r="D1767" s="2" t="s">
        <v>39</v>
      </c>
      <c r="E1767" s="2">
        <v>1350</v>
      </c>
      <c r="F1767" s="2" t="s">
        <v>102</v>
      </c>
      <c r="G1767" s="2" t="s">
        <v>186</v>
      </c>
      <c r="H1767" s="2" t="s">
        <v>35</v>
      </c>
    </row>
    <row r="1768" spans="1:8" ht="13" hidden="1">
      <c r="A1768" s="15">
        <v>45593.779828981482</v>
      </c>
      <c r="B1768" s="16">
        <v>45585</v>
      </c>
      <c r="C1768" s="2" t="s">
        <v>518</v>
      </c>
      <c r="D1768" s="2" t="s">
        <v>38</v>
      </c>
      <c r="E1768" s="2">
        <v>153</v>
      </c>
      <c r="F1768" s="2" t="s">
        <v>102</v>
      </c>
      <c r="G1768" s="2" t="s">
        <v>285</v>
      </c>
      <c r="H1768" s="2" t="s">
        <v>35</v>
      </c>
    </row>
    <row r="1769" spans="1:8" ht="13" hidden="1">
      <c r="A1769" s="15">
        <v>45593.790286701391</v>
      </c>
      <c r="B1769" s="16">
        <v>45585</v>
      </c>
      <c r="C1769" s="2" t="s">
        <v>116</v>
      </c>
      <c r="D1769" s="2" t="s">
        <v>38</v>
      </c>
      <c r="E1769" s="2">
        <v>2122</v>
      </c>
      <c r="F1769" s="2" t="s">
        <v>100</v>
      </c>
      <c r="G1769" s="2" t="s">
        <v>652</v>
      </c>
      <c r="H1769" s="2" t="s">
        <v>35</v>
      </c>
    </row>
    <row r="1770" spans="1:8" ht="13" hidden="1">
      <c r="A1770" s="15">
        <v>45593.790763680554</v>
      </c>
      <c r="B1770" s="16">
        <v>45585</v>
      </c>
      <c r="C1770" s="2" t="s">
        <v>24</v>
      </c>
      <c r="D1770" s="2" t="s">
        <v>49</v>
      </c>
      <c r="E1770" s="2">
        <v>1100</v>
      </c>
      <c r="F1770" s="2" t="s">
        <v>100</v>
      </c>
      <c r="H1770" s="2" t="s">
        <v>35</v>
      </c>
    </row>
    <row r="1771" spans="1:8" ht="13" hidden="1">
      <c r="A1771" s="15">
        <v>45593.780666527775</v>
      </c>
      <c r="B1771" s="16">
        <v>45587</v>
      </c>
      <c r="C1771" s="2" t="s">
        <v>787</v>
      </c>
      <c r="D1771" s="2" t="s">
        <v>45</v>
      </c>
      <c r="E1771" s="2">
        <v>990</v>
      </c>
      <c r="F1771" s="2" t="s">
        <v>102</v>
      </c>
      <c r="G1771" s="2" t="s">
        <v>285</v>
      </c>
      <c r="H1771" s="2" t="s">
        <v>35</v>
      </c>
    </row>
    <row r="1772" spans="1:8" ht="13" hidden="1">
      <c r="A1772" s="15">
        <v>45593.791036747687</v>
      </c>
      <c r="B1772" s="16">
        <v>45587</v>
      </c>
      <c r="C1772" s="2" t="s">
        <v>116</v>
      </c>
      <c r="D1772" s="2" t="s">
        <v>38</v>
      </c>
      <c r="E1772" s="2">
        <v>717</v>
      </c>
      <c r="F1772" s="2" t="s">
        <v>100</v>
      </c>
      <c r="G1772" s="2" t="s">
        <v>652</v>
      </c>
      <c r="H1772" s="2" t="s">
        <v>35</v>
      </c>
    </row>
    <row r="1773" spans="1:8" ht="13" hidden="1">
      <c r="A1773" s="15">
        <v>45593.781012361113</v>
      </c>
      <c r="B1773" s="16">
        <v>45588</v>
      </c>
      <c r="C1773" s="2" t="s">
        <v>106</v>
      </c>
      <c r="D1773" s="2" t="s">
        <v>38</v>
      </c>
      <c r="E1773" s="2">
        <v>920</v>
      </c>
      <c r="F1773" s="2" t="s">
        <v>102</v>
      </c>
      <c r="G1773" s="2" t="s">
        <v>191</v>
      </c>
      <c r="H1773" s="2" t="s">
        <v>35</v>
      </c>
    </row>
    <row r="1774" spans="1:8" ht="13" hidden="1">
      <c r="A1774" s="15">
        <v>45593.781309664351</v>
      </c>
      <c r="B1774" s="16">
        <v>45588</v>
      </c>
      <c r="C1774" s="2" t="s">
        <v>112</v>
      </c>
      <c r="D1774" s="2" t="s">
        <v>38</v>
      </c>
      <c r="E1774" s="2">
        <v>120</v>
      </c>
      <c r="F1774" s="2" t="s">
        <v>102</v>
      </c>
      <c r="G1774" s="2" t="s">
        <v>103</v>
      </c>
      <c r="H1774" s="2" t="s">
        <v>35</v>
      </c>
    </row>
    <row r="1775" spans="1:8" ht="13" hidden="1">
      <c r="A1775" s="15">
        <v>45593.781540011572</v>
      </c>
      <c r="B1775" s="16">
        <v>45588</v>
      </c>
      <c r="C1775" s="2" t="s">
        <v>674</v>
      </c>
      <c r="D1775" s="2" t="s">
        <v>39</v>
      </c>
      <c r="E1775" s="2">
        <v>2500</v>
      </c>
      <c r="F1775" s="2" t="s">
        <v>102</v>
      </c>
      <c r="H1775" s="2" t="s">
        <v>35</v>
      </c>
    </row>
    <row r="1776" spans="1:8" ht="13" hidden="1">
      <c r="A1776" s="15">
        <v>45593.791448634263</v>
      </c>
      <c r="B1776" s="16">
        <v>45588</v>
      </c>
      <c r="C1776" s="2" t="s">
        <v>240</v>
      </c>
      <c r="D1776" s="2" t="s">
        <v>42</v>
      </c>
      <c r="E1776" s="2">
        <v>330</v>
      </c>
      <c r="F1776" s="2" t="s">
        <v>100</v>
      </c>
      <c r="H1776" s="2" t="s">
        <v>35</v>
      </c>
    </row>
    <row r="1777" spans="1:8" ht="13" hidden="1">
      <c r="A1777" s="15">
        <v>45593.791884756945</v>
      </c>
      <c r="B1777" s="16">
        <v>45589</v>
      </c>
      <c r="C1777" s="2" t="s">
        <v>788</v>
      </c>
      <c r="D1777" s="2" t="s">
        <v>45</v>
      </c>
      <c r="E1777" s="2">
        <v>1745</v>
      </c>
      <c r="F1777" s="2" t="s">
        <v>100</v>
      </c>
      <c r="G1777" s="2" t="s">
        <v>129</v>
      </c>
      <c r="H1777" s="2" t="s">
        <v>35</v>
      </c>
    </row>
    <row r="1778" spans="1:8" ht="13" hidden="1">
      <c r="A1778" s="15">
        <v>45593.792203715275</v>
      </c>
      <c r="B1778" s="16">
        <v>45589</v>
      </c>
      <c r="C1778" s="2" t="s">
        <v>789</v>
      </c>
      <c r="D1778" s="2" t="s">
        <v>45</v>
      </c>
      <c r="E1778" s="2">
        <v>1393</v>
      </c>
      <c r="F1778" s="2" t="s">
        <v>100</v>
      </c>
      <c r="G1778" s="2" t="s">
        <v>129</v>
      </c>
      <c r="H1778" s="2" t="s">
        <v>35</v>
      </c>
    </row>
    <row r="1779" spans="1:8" ht="13" hidden="1">
      <c r="A1779" s="15">
        <v>45593.78188101852</v>
      </c>
      <c r="B1779" s="16">
        <v>45590</v>
      </c>
      <c r="C1779" s="2" t="s">
        <v>106</v>
      </c>
      <c r="D1779" s="2" t="s">
        <v>38</v>
      </c>
      <c r="E1779" s="2">
        <v>1300</v>
      </c>
      <c r="F1779" s="2" t="s">
        <v>102</v>
      </c>
      <c r="G1779" s="2" t="s">
        <v>599</v>
      </c>
      <c r="H1779" s="2" t="s">
        <v>35</v>
      </c>
    </row>
    <row r="1780" spans="1:8" ht="13" hidden="1">
      <c r="A1780" s="15">
        <v>45593.786158564813</v>
      </c>
      <c r="B1780" s="16">
        <v>45590</v>
      </c>
      <c r="C1780" s="2" t="s">
        <v>146</v>
      </c>
      <c r="D1780" s="2" t="s">
        <v>47</v>
      </c>
      <c r="E1780" s="2">
        <v>3400</v>
      </c>
      <c r="F1780" s="2" t="s">
        <v>102</v>
      </c>
      <c r="H1780" s="2" t="s">
        <v>35</v>
      </c>
    </row>
    <row r="1781" spans="1:8" ht="13" hidden="1">
      <c r="A1781" s="15">
        <v>45593.786539456021</v>
      </c>
      <c r="B1781" s="16">
        <v>45590</v>
      </c>
      <c r="C1781" s="2" t="s">
        <v>790</v>
      </c>
      <c r="E1781" s="2">
        <v>340997</v>
      </c>
      <c r="H1781" s="2" t="s">
        <v>34</v>
      </c>
    </row>
    <row r="1782" spans="1:8" ht="13" hidden="1">
      <c r="A1782" s="15">
        <v>45600.678558958331</v>
      </c>
      <c r="B1782" s="16">
        <v>45590</v>
      </c>
      <c r="C1782" s="2" t="s">
        <v>533</v>
      </c>
      <c r="D1782" s="2" t="s">
        <v>46</v>
      </c>
      <c r="E1782" s="2">
        <v>2178</v>
      </c>
      <c r="F1782" s="2" t="s">
        <v>100</v>
      </c>
      <c r="G1782" s="2" t="s">
        <v>129</v>
      </c>
      <c r="H1782" s="2" t="s">
        <v>35</v>
      </c>
    </row>
    <row r="1783" spans="1:8" ht="13" hidden="1">
      <c r="A1783" s="15">
        <v>45600.679053564818</v>
      </c>
      <c r="B1783" s="16">
        <v>45590</v>
      </c>
      <c r="C1783" s="2" t="s">
        <v>791</v>
      </c>
      <c r="D1783" s="2" t="s">
        <v>45</v>
      </c>
      <c r="E1783" s="2">
        <v>1414</v>
      </c>
      <c r="F1783" s="2" t="s">
        <v>100</v>
      </c>
      <c r="G1783" s="2" t="s">
        <v>129</v>
      </c>
      <c r="H1783" s="2" t="s">
        <v>35</v>
      </c>
    </row>
    <row r="1784" spans="1:8" ht="13" hidden="1">
      <c r="A1784" s="15">
        <v>45600.679308402774</v>
      </c>
      <c r="B1784" s="16">
        <v>45590</v>
      </c>
      <c r="C1784" s="2" t="s">
        <v>105</v>
      </c>
      <c r="D1784" s="2" t="s">
        <v>40</v>
      </c>
      <c r="E1784" s="2">
        <v>2900</v>
      </c>
      <c r="F1784" s="2" t="s">
        <v>100</v>
      </c>
      <c r="H1784" s="2" t="s">
        <v>35</v>
      </c>
    </row>
    <row r="1785" spans="1:8" ht="13" hidden="1">
      <c r="A1785" s="15">
        <v>45600.679583993056</v>
      </c>
      <c r="B1785" s="16">
        <v>45590</v>
      </c>
      <c r="C1785" s="2" t="s">
        <v>350</v>
      </c>
      <c r="D1785" s="2" t="s">
        <v>40</v>
      </c>
      <c r="E1785" s="2">
        <v>1000</v>
      </c>
      <c r="F1785" s="2" t="s">
        <v>100</v>
      </c>
      <c r="H1785" s="2" t="s">
        <v>35</v>
      </c>
    </row>
    <row r="1786" spans="1:8" ht="13" hidden="1">
      <c r="A1786" s="15">
        <v>45600.679929664351</v>
      </c>
      <c r="B1786" s="16">
        <v>45590</v>
      </c>
      <c r="C1786" s="2" t="s">
        <v>240</v>
      </c>
      <c r="D1786" s="2" t="s">
        <v>42</v>
      </c>
      <c r="E1786" s="2">
        <v>990</v>
      </c>
      <c r="F1786" s="2" t="s">
        <v>100</v>
      </c>
      <c r="H1786" s="2" t="s">
        <v>35</v>
      </c>
    </row>
    <row r="1787" spans="1:8" ht="13" hidden="1">
      <c r="A1787" s="15">
        <v>45593.782207685188</v>
      </c>
      <c r="B1787" s="16">
        <v>45591</v>
      </c>
      <c r="C1787" s="2" t="s">
        <v>792</v>
      </c>
      <c r="D1787" s="2" t="s">
        <v>45</v>
      </c>
      <c r="E1787" s="2">
        <v>330</v>
      </c>
      <c r="F1787" s="2" t="s">
        <v>102</v>
      </c>
      <c r="G1787" s="2" t="s">
        <v>136</v>
      </c>
      <c r="H1787" s="2" t="s">
        <v>35</v>
      </c>
    </row>
    <row r="1788" spans="1:8" ht="13" hidden="1">
      <c r="A1788" s="15">
        <v>45600.680292199075</v>
      </c>
      <c r="B1788" s="16">
        <v>45591</v>
      </c>
      <c r="C1788" s="2" t="s">
        <v>116</v>
      </c>
      <c r="D1788" s="2" t="s">
        <v>38</v>
      </c>
      <c r="E1788" s="2">
        <v>1573</v>
      </c>
      <c r="F1788" s="2" t="s">
        <v>100</v>
      </c>
      <c r="G1788" s="2" t="s">
        <v>652</v>
      </c>
      <c r="H1788" s="2" t="s">
        <v>35</v>
      </c>
    </row>
    <row r="1789" spans="1:8" ht="13" hidden="1">
      <c r="A1789" s="15">
        <v>45600.680716574076</v>
      </c>
      <c r="B1789" s="16">
        <v>45591</v>
      </c>
      <c r="C1789" s="2" t="s">
        <v>105</v>
      </c>
      <c r="D1789" s="2" t="s">
        <v>40</v>
      </c>
      <c r="E1789" s="2">
        <v>3700</v>
      </c>
      <c r="F1789" s="2" t="s">
        <v>100</v>
      </c>
      <c r="H1789" s="2" t="s">
        <v>35</v>
      </c>
    </row>
    <row r="1790" spans="1:8" ht="13" hidden="1">
      <c r="A1790" s="15">
        <v>45593.782672615736</v>
      </c>
      <c r="B1790" s="16">
        <v>45592</v>
      </c>
      <c r="C1790" s="2" t="s">
        <v>793</v>
      </c>
      <c r="D1790" s="2" t="s">
        <v>45</v>
      </c>
      <c r="E1790" s="2">
        <v>466</v>
      </c>
      <c r="F1790" s="2" t="s">
        <v>102</v>
      </c>
      <c r="G1790" s="2" t="s">
        <v>285</v>
      </c>
      <c r="H1790" s="2" t="s">
        <v>35</v>
      </c>
    </row>
    <row r="1791" spans="1:8" ht="13" hidden="1">
      <c r="A1791" s="15">
        <v>45593.783095659717</v>
      </c>
      <c r="B1791" s="16">
        <v>45592</v>
      </c>
      <c r="C1791" s="2" t="s">
        <v>794</v>
      </c>
      <c r="D1791" s="2" t="s">
        <v>39</v>
      </c>
      <c r="E1791" s="2">
        <v>900</v>
      </c>
      <c r="F1791" s="2" t="s">
        <v>102</v>
      </c>
      <c r="H1791" s="2" t="s">
        <v>35</v>
      </c>
    </row>
    <row r="1792" spans="1:8" ht="13" hidden="1">
      <c r="A1792" s="15">
        <v>45593.78343491898</v>
      </c>
      <c r="B1792" s="16">
        <v>45592</v>
      </c>
      <c r="C1792" s="2" t="s">
        <v>785</v>
      </c>
      <c r="D1792" s="2" t="s">
        <v>39</v>
      </c>
      <c r="E1792" s="2">
        <v>10428</v>
      </c>
      <c r="F1792" s="2" t="s">
        <v>102</v>
      </c>
      <c r="H1792" s="2" t="s">
        <v>35</v>
      </c>
    </row>
    <row r="1793" spans="1:8" ht="13" hidden="1">
      <c r="A1793" s="15">
        <v>45593.783668738426</v>
      </c>
      <c r="B1793" s="16">
        <v>45592</v>
      </c>
      <c r="C1793" s="2" t="s">
        <v>795</v>
      </c>
      <c r="E1793" s="2">
        <v>5000</v>
      </c>
      <c r="H1793" s="2" t="s">
        <v>34</v>
      </c>
    </row>
    <row r="1794" spans="1:8" ht="13" hidden="1">
      <c r="A1794" s="15">
        <v>45600.680953368057</v>
      </c>
      <c r="B1794" s="16">
        <v>45592</v>
      </c>
      <c r="C1794" s="2" t="s">
        <v>240</v>
      </c>
      <c r="D1794" s="2" t="s">
        <v>42</v>
      </c>
      <c r="E1794" s="2">
        <v>330</v>
      </c>
      <c r="F1794" s="2" t="s">
        <v>100</v>
      </c>
      <c r="H1794" s="2" t="s">
        <v>35</v>
      </c>
    </row>
    <row r="1795" spans="1:8" ht="13" hidden="1">
      <c r="A1795" s="15">
        <v>45600.681247604167</v>
      </c>
      <c r="B1795" s="16">
        <v>45592</v>
      </c>
      <c r="C1795" s="2" t="s">
        <v>368</v>
      </c>
      <c r="D1795" s="2" t="s">
        <v>39</v>
      </c>
      <c r="E1795" s="2">
        <v>1180</v>
      </c>
      <c r="F1795" s="2" t="s">
        <v>100</v>
      </c>
      <c r="H1795" s="2" t="s">
        <v>35</v>
      </c>
    </row>
    <row r="1796" spans="1:8" ht="13" hidden="1">
      <c r="A1796" s="15">
        <v>45593.784003900466</v>
      </c>
      <c r="B1796" s="16">
        <v>45593</v>
      </c>
      <c r="C1796" s="2" t="s">
        <v>796</v>
      </c>
      <c r="D1796" s="2" t="s">
        <v>38</v>
      </c>
      <c r="E1796" s="2">
        <v>720</v>
      </c>
      <c r="F1796" s="2" t="s">
        <v>102</v>
      </c>
      <c r="G1796" s="2" t="s">
        <v>797</v>
      </c>
      <c r="H1796" s="2" t="s">
        <v>35</v>
      </c>
    </row>
    <row r="1797" spans="1:8" ht="13" hidden="1">
      <c r="A1797" s="15">
        <v>45593.785520833335</v>
      </c>
      <c r="B1797" s="16">
        <v>45593</v>
      </c>
      <c r="C1797" s="2" t="s">
        <v>530</v>
      </c>
      <c r="D1797" s="2" t="s">
        <v>47</v>
      </c>
      <c r="E1797" s="2">
        <v>30000</v>
      </c>
      <c r="F1797" s="2" t="s">
        <v>102</v>
      </c>
      <c r="H1797" s="2" t="s">
        <v>35</v>
      </c>
    </row>
    <row r="1798" spans="1:8" ht="13" hidden="1">
      <c r="A1798" s="15">
        <v>45593.785819594908</v>
      </c>
      <c r="B1798" s="16">
        <v>45593</v>
      </c>
      <c r="C1798" s="2" t="s">
        <v>9</v>
      </c>
      <c r="D1798" s="2" t="s">
        <v>47</v>
      </c>
      <c r="E1798" s="2">
        <v>13600</v>
      </c>
      <c r="F1798" s="2" t="s">
        <v>102</v>
      </c>
      <c r="H1798" s="2" t="s">
        <v>35</v>
      </c>
    </row>
    <row r="1799" spans="1:8" ht="13" hidden="1">
      <c r="A1799" s="15">
        <v>45593.787309606487</v>
      </c>
      <c r="B1799" s="16">
        <v>45593</v>
      </c>
      <c r="C1799" s="2" t="s">
        <v>17</v>
      </c>
      <c r="D1799" s="2" t="s">
        <v>45</v>
      </c>
      <c r="E1799" s="2">
        <v>8470</v>
      </c>
      <c r="F1799" s="2" t="s">
        <v>102</v>
      </c>
      <c r="H1799" s="2" t="s">
        <v>35</v>
      </c>
    </row>
    <row r="1800" spans="1:8" ht="13" hidden="1">
      <c r="A1800" s="15">
        <v>45593.787640428243</v>
      </c>
      <c r="B1800" s="16">
        <v>45593</v>
      </c>
      <c r="C1800" s="2" t="s">
        <v>408</v>
      </c>
      <c r="D1800" s="2" t="s">
        <v>152</v>
      </c>
      <c r="E1800" s="2">
        <v>10000</v>
      </c>
      <c r="F1800" s="2" t="s">
        <v>102</v>
      </c>
      <c r="H1800" s="2" t="s">
        <v>35</v>
      </c>
    </row>
    <row r="1801" spans="1:8" ht="13" hidden="1">
      <c r="A1801" s="15">
        <v>45593.788096030097</v>
      </c>
      <c r="B1801" s="16">
        <v>45593</v>
      </c>
      <c r="C1801" s="2" t="s">
        <v>340</v>
      </c>
      <c r="D1801" s="2" t="s">
        <v>5</v>
      </c>
      <c r="E1801" s="2">
        <v>93000</v>
      </c>
      <c r="F1801" s="2" t="s">
        <v>102</v>
      </c>
      <c r="H1801" s="2" t="s">
        <v>35</v>
      </c>
    </row>
    <row r="1802" spans="1:8" ht="13" hidden="1">
      <c r="A1802" s="15">
        <v>45593.788373969903</v>
      </c>
      <c r="B1802" s="16">
        <v>45593</v>
      </c>
      <c r="C1802" s="2" t="s">
        <v>133</v>
      </c>
      <c r="D1802" s="2" t="s">
        <v>47</v>
      </c>
      <c r="E1802" s="2">
        <v>20000</v>
      </c>
      <c r="F1802" s="2" t="s">
        <v>102</v>
      </c>
      <c r="H1802" s="2" t="s">
        <v>35</v>
      </c>
    </row>
    <row r="1803" spans="1:8" ht="13" hidden="1">
      <c r="A1803" s="15">
        <v>45606.68522619213</v>
      </c>
      <c r="B1803" s="16">
        <v>45593</v>
      </c>
      <c r="C1803" s="2" t="s">
        <v>158</v>
      </c>
      <c r="D1803" s="2" t="s">
        <v>49</v>
      </c>
      <c r="E1803" s="2">
        <v>4980</v>
      </c>
      <c r="F1803" s="2" t="s">
        <v>100</v>
      </c>
      <c r="H1803" s="2" t="s">
        <v>35</v>
      </c>
    </row>
    <row r="1804" spans="1:8" ht="13" hidden="1">
      <c r="A1804" s="15">
        <v>45606.685519502316</v>
      </c>
      <c r="B1804" s="16">
        <v>45593</v>
      </c>
      <c r="C1804" s="2" t="s">
        <v>564</v>
      </c>
      <c r="D1804" s="2" t="s">
        <v>45</v>
      </c>
      <c r="E1804" s="2">
        <v>3630</v>
      </c>
      <c r="F1804" s="2" t="s">
        <v>100</v>
      </c>
      <c r="G1804" s="2" t="s">
        <v>798</v>
      </c>
      <c r="H1804" s="2" t="s">
        <v>35</v>
      </c>
    </row>
    <row r="1805" spans="1:8" ht="13" hidden="1">
      <c r="A1805" s="15">
        <v>45606.685790289353</v>
      </c>
      <c r="B1805" s="16">
        <v>45593</v>
      </c>
      <c r="C1805" s="2" t="s">
        <v>350</v>
      </c>
      <c r="D1805" s="2" t="s">
        <v>40</v>
      </c>
      <c r="E1805" s="2">
        <v>1000</v>
      </c>
      <c r="F1805" s="2" t="s">
        <v>100</v>
      </c>
      <c r="H1805" s="2" t="s">
        <v>35</v>
      </c>
    </row>
    <row r="1806" spans="1:8" ht="13" hidden="1">
      <c r="A1806" s="15">
        <v>45600.670760821755</v>
      </c>
      <c r="B1806" s="16">
        <v>45594</v>
      </c>
      <c r="C1806" s="2" t="s">
        <v>542</v>
      </c>
      <c r="D1806" s="2" t="s">
        <v>39</v>
      </c>
      <c r="E1806" s="2">
        <v>100</v>
      </c>
      <c r="F1806" s="2" t="s">
        <v>102</v>
      </c>
      <c r="H1806" s="2" t="s">
        <v>35</v>
      </c>
    </row>
    <row r="1807" spans="1:8" ht="13" hidden="1">
      <c r="A1807" s="15">
        <v>45600.67767513889</v>
      </c>
      <c r="B1807" s="16">
        <v>45588</v>
      </c>
      <c r="C1807" s="2" t="s">
        <v>799</v>
      </c>
      <c r="D1807" s="2" t="s">
        <v>152</v>
      </c>
      <c r="E1807" s="2">
        <v>2324</v>
      </c>
      <c r="F1807" s="2" t="s">
        <v>100</v>
      </c>
      <c r="G1807" s="2" t="s">
        <v>800</v>
      </c>
      <c r="H1807" s="2" t="s">
        <v>35</v>
      </c>
    </row>
    <row r="1808" spans="1:8" ht="13" hidden="1">
      <c r="A1808" s="15">
        <v>45600.678040092593</v>
      </c>
      <c r="B1808" s="16">
        <v>45589</v>
      </c>
      <c r="C1808" s="2" t="s">
        <v>799</v>
      </c>
      <c r="D1808" s="2" t="s">
        <v>152</v>
      </c>
      <c r="E1808" s="2">
        <v>2324</v>
      </c>
      <c r="F1808" s="2" t="s">
        <v>100</v>
      </c>
      <c r="G1808" s="2" t="s">
        <v>800</v>
      </c>
      <c r="H1808" s="2" t="s">
        <v>35</v>
      </c>
    </row>
    <row r="1809" spans="1:8" ht="13" hidden="1">
      <c r="A1809" s="15">
        <v>45600.671016550928</v>
      </c>
      <c r="B1809" s="16">
        <v>45594</v>
      </c>
      <c r="C1809" s="2" t="s">
        <v>801</v>
      </c>
      <c r="D1809" s="2" t="s">
        <v>39</v>
      </c>
      <c r="E1809" s="2">
        <v>2646</v>
      </c>
      <c r="F1809" s="2" t="s">
        <v>102</v>
      </c>
      <c r="H1809" s="2" t="s">
        <v>35</v>
      </c>
    </row>
    <row r="1810" spans="1:8" ht="13" hidden="1">
      <c r="A1810" s="15">
        <v>45600.67129471065</v>
      </c>
      <c r="B1810" s="16">
        <v>45595</v>
      </c>
      <c r="C1810" s="2" t="s">
        <v>802</v>
      </c>
      <c r="D1810" s="2" t="s">
        <v>38</v>
      </c>
      <c r="E1810" s="2">
        <v>1200</v>
      </c>
      <c r="F1810" s="2" t="s">
        <v>102</v>
      </c>
      <c r="H1810" s="2" t="s">
        <v>35</v>
      </c>
    </row>
    <row r="1811" spans="1:8" ht="13" hidden="1">
      <c r="A1811" s="15">
        <v>45600.671801041666</v>
      </c>
      <c r="B1811" s="16">
        <v>45595</v>
      </c>
      <c r="C1811" s="2" t="s">
        <v>236</v>
      </c>
      <c r="D1811" s="2" t="s">
        <v>43</v>
      </c>
      <c r="E1811" s="2">
        <v>452</v>
      </c>
      <c r="F1811" s="2" t="s">
        <v>102</v>
      </c>
      <c r="G1811" s="2" t="s">
        <v>285</v>
      </c>
      <c r="H1811" s="2" t="s">
        <v>35</v>
      </c>
    </row>
    <row r="1812" spans="1:8" ht="13" hidden="1">
      <c r="A1812" s="15">
        <v>45606.686198368057</v>
      </c>
      <c r="B1812" s="16">
        <v>45595</v>
      </c>
      <c r="C1812" s="2" t="s">
        <v>116</v>
      </c>
      <c r="D1812" s="2" t="s">
        <v>38</v>
      </c>
      <c r="E1812" s="2">
        <v>1056</v>
      </c>
      <c r="F1812" s="2" t="s">
        <v>100</v>
      </c>
      <c r="G1812" s="2" t="s">
        <v>652</v>
      </c>
      <c r="H1812" s="2" t="s">
        <v>35</v>
      </c>
    </row>
    <row r="1813" spans="1:8" ht="13" hidden="1">
      <c r="A1813" s="15">
        <v>45606.686689062495</v>
      </c>
      <c r="B1813" s="16">
        <v>45595</v>
      </c>
      <c r="C1813" s="2" t="s">
        <v>803</v>
      </c>
      <c r="D1813" s="2" t="s">
        <v>45</v>
      </c>
      <c r="E1813" s="2">
        <v>4329</v>
      </c>
      <c r="F1813" s="2" t="s">
        <v>100</v>
      </c>
      <c r="G1813" s="2" t="s">
        <v>696</v>
      </c>
      <c r="H1813" s="2" t="s">
        <v>35</v>
      </c>
    </row>
    <row r="1814" spans="1:8" ht="13" hidden="1">
      <c r="A1814" s="15">
        <v>45600.672087453699</v>
      </c>
      <c r="B1814" s="16">
        <v>45596</v>
      </c>
      <c r="C1814" s="2" t="s">
        <v>106</v>
      </c>
      <c r="D1814" s="2" t="s">
        <v>38</v>
      </c>
      <c r="E1814" s="2">
        <v>1400</v>
      </c>
      <c r="F1814" s="2" t="s">
        <v>102</v>
      </c>
      <c r="G1814" s="2" t="s">
        <v>227</v>
      </c>
      <c r="H1814" s="2" t="s">
        <v>35</v>
      </c>
    </row>
    <row r="1815" spans="1:8" ht="13" hidden="1">
      <c r="A1815" s="15">
        <v>45600.672527696763</v>
      </c>
      <c r="B1815" s="16">
        <v>45596</v>
      </c>
      <c r="C1815" s="2" t="s">
        <v>804</v>
      </c>
      <c r="E1815" s="2">
        <v>3300</v>
      </c>
      <c r="H1815" s="2" t="s">
        <v>34</v>
      </c>
    </row>
    <row r="1816" spans="1:8" ht="13" hidden="1">
      <c r="A1816" s="15">
        <v>45600.672766851851</v>
      </c>
      <c r="B1816" s="16">
        <v>45596</v>
      </c>
      <c r="C1816" s="2" t="s">
        <v>805</v>
      </c>
      <c r="D1816" s="2" t="s">
        <v>39</v>
      </c>
      <c r="E1816" s="2">
        <v>6780</v>
      </c>
      <c r="F1816" s="2" t="s">
        <v>102</v>
      </c>
      <c r="H1816" s="2" t="s">
        <v>35</v>
      </c>
    </row>
    <row r="1817" spans="1:8" ht="13" hidden="1">
      <c r="A1817" s="15">
        <v>45606.68762207176</v>
      </c>
      <c r="B1817" s="16">
        <v>45596</v>
      </c>
      <c r="C1817" s="2" t="s">
        <v>350</v>
      </c>
      <c r="D1817" s="2" t="s">
        <v>40</v>
      </c>
      <c r="E1817" s="2">
        <v>1000</v>
      </c>
      <c r="F1817" s="2" t="s">
        <v>100</v>
      </c>
      <c r="H1817" s="2" t="s">
        <v>35</v>
      </c>
    </row>
    <row r="1818" spans="1:8" ht="13" hidden="1">
      <c r="A1818" s="15">
        <v>45606.689922546298</v>
      </c>
      <c r="B1818" s="16">
        <v>45596</v>
      </c>
      <c r="C1818" s="2" t="s">
        <v>371</v>
      </c>
      <c r="D1818" s="2" t="s">
        <v>39</v>
      </c>
      <c r="E1818" s="2">
        <v>1650</v>
      </c>
      <c r="F1818" s="2" t="s">
        <v>100</v>
      </c>
      <c r="H1818" s="2" t="s">
        <v>35</v>
      </c>
    </row>
    <row r="1819" spans="1:8" ht="13" hidden="1">
      <c r="A1819" s="15">
        <v>45600.673024131946</v>
      </c>
      <c r="B1819" s="16">
        <v>45597</v>
      </c>
      <c r="C1819" s="2" t="s">
        <v>106</v>
      </c>
      <c r="D1819" s="2" t="s">
        <v>38</v>
      </c>
      <c r="E1819" s="2">
        <v>1700</v>
      </c>
      <c r="F1819" s="2" t="s">
        <v>102</v>
      </c>
      <c r="G1819" s="2" t="s">
        <v>806</v>
      </c>
      <c r="H1819" s="2" t="s">
        <v>35</v>
      </c>
    </row>
    <row r="1820" spans="1:8" ht="13" hidden="1">
      <c r="A1820" s="15">
        <v>45606.690306284727</v>
      </c>
      <c r="B1820" s="16">
        <v>45597</v>
      </c>
      <c r="C1820" s="2" t="s">
        <v>721</v>
      </c>
      <c r="D1820" s="2" t="s">
        <v>49</v>
      </c>
      <c r="E1820" s="2">
        <v>2500</v>
      </c>
      <c r="F1820" s="2" t="s">
        <v>100</v>
      </c>
      <c r="H1820" s="2" t="s">
        <v>35</v>
      </c>
    </row>
    <row r="1821" spans="1:8" ht="13" hidden="1">
      <c r="A1821" s="15">
        <v>45606.6906284375</v>
      </c>
      <c r="B1821" s="16">
        <v>45597</v>
      </c>
      <c r="C1821" s="2" t="s">
        <v>248</v>
      </c>
      <c r="D1821" s="2" t="s">
        <v>49</v>
      </c>
      <c r="E1821" s="2">
        <v>700</v>
      </c>
      <c r="F1821" s="2" t="s">
        <v>100</v>
      </c>
      <c r="G1821" s="2" t="s">
        <v>179</v>
      </c>
      <c r="H1821" s="2" t="s">
        <v>35</v>
      </c>
    </row>
    <row r="1822" spans="1:8" ht="13" hidden="1">
      <c r="A1822" s="15">
        <v>45606.691101342592</v>
      </c>
      <c r="B1822" s="16">
        <v>45597</v>
      </c>
      <c r="C1822" s="2" t="s">
        <v>807</v>
      </c>
      <c r="D1822" s="2" t="s">
        <v>152</v>
      </c>
      <c r="E1822" s="2">
        <v>2324</v>
      </c>
      <c r="F1822" s="2" t="s">
        <v>100</v>
      </c>
      <c r="G1822" s="2" t="s">
        <v>800</v>
      </c>
      <c r="H1822" s="2" t="s">
        <v>35</v>
      </c>
    </row>
    <row r="1823" spans="1:8" ht="13" hidden="1">
      <c r="A1823" s="15">
        <v>45606.691341608792</v>
      </c>
      <c r="B1823" s="16">
        <v>45597</v>
      </c>
      <c r="C1823" s="2" t="s">
        <v>10</v>
      </c>
      <c r="D1823" s="2" t="s">
        <v>45</v>
      </c>
      <c r="E1823" s="2">
        <v>280</v>
      </c>
      <c r="F1823" s="2" t="s">
        <v>100</v>
      </c>
      <c r="H1823" s="2" t="s">
        <v>35</v>
      </c>
    </row>
    <row r="1824" spans="1:8" ht="13" hidden="1">
      <c r="A1824" s="15">
        <v>45606.691627071763</v>
      </c>
      <c r="B1824" s="16">
        <v>45597</v>
      </c>
      <c r="C1824" s="2" t="s">
        <v>240</v>
      </c>
      <c r="D1824" s="2" t="s">
        <v>42</v>
      </c>
      <c r="E1824" s="2">
        <v>990</v>
      </c>
      <c r="F1824" s="2" t="s">
        <v>100</v>
      </c>
      <c r="H1824" s="2" t="s">
        <v>35</v>
      </c>
    </row>
    <row r="1825" spans="1:8" ht="13" hidden="1">
      <c r="A1825" s="15">
        <v>45600.673657974534</v>
      </c>
      <c r="B1825" s="16">
        <v>45598</v>
      </c>
      <c r="C1825" s="2" t="s">
        <v>808</v>
      </c>
      <c r="D1825" s="2" t="s">
        <v>38</v>
      </c>
      <c r="E1825" s="2">
        <v>900</v>
      </c>
      <c r="F1825" s="2" t="s">
        <v>102</v>
      </c>
      <c r="G1825" s="2" t="s">
        <v>809</v>
      </c>
      <c r="H1825" s="2" t="s">
        <v>35</v>
      </c>
    </row>
    <row r="1826" spans="1:8" ht="13" hidden="1">
      <c r="A1826" s="15">
        <v>45600.675140740743</v>
      </c>
      <c r="B1826" s="16">
        <v>45598</v>
      </c>
      <c r="C1826" s="2" t="s">
        <v>719</v>
      </c>
      <c r="D1826" s="2" t="s">
        <v>45</v>
      </c>
      <c r="E1826" s="2">
        <v>917</v>
      </c>
      <c r="F1826" s="2" t="s">
        <v>102</v>
      </c>
      <c r="G1826" s="2" t="s">
        <v>285</v>
      </c>
      <c r="H1826" s="2" t="s">
        <v>35</v>
      </c>
    </row>
    <row r="1827" spans="1:8" ht="13" hidden="1">
      <c r="A1827" s="15">
        <v>45606.692048587967</v>
      </c>
      <c r="B1827" s="16">
        <v>45598</v>
      </c>
      <c r="C1827" s="2" t="s">
        <v>116</v>
      </c>
      <c r="D1827" s="2" t="s">
        <v>38</v>
      </c>
      <c r="E1827" s="2">
        <v>1283</v>
      </c>
      <c r="F1827" s="2" t="s">
        <v>100</v>
      </c>
      <c r="G1827" s="2" t="s">
        <v>652</v>
      </c>
      <c r="H1827" s="2" t="s">
        <v>35</v>
      </c>
    </row>
    <row r="1828" spans="1:8" ht="13" hidden="1">
      <c r="A1828" s="15">
        <v>45600.675421134263</v>
      </c>
      <c r="B1828" s="16">
        <v>45599</v>
      </c>
      <c r="C1828" s="2" t="s">
        <v>668</v>
      </c>
      <c r="D1828" s="2" t="s">
        <v>38</v>
      </c>
      <c r="E1828" s="2">
        <v>426</v>
      </c>
      <c r="F1828" s="2" t="s">
        <v>102</v>
      </c>
      <c r="G1828" s="2" t="s">
        <v>103</v>
      </c>
      <c r="H1828" s="2" t="s">
        <v>35</v>
      </c>
    </row>
    <row r="1829" spans="1:8" ht="13" hidden="1">
      <c r="A1829" s="15">
        <v>45606.692360983798</v>
      </c>
      <c r="B1829" s="16">
        <v>45599</v>
      </c>
      <c r="C1829" s="2" t="s">
        <v>644</v>
      </c>
      <c r="D1829" s="2" t="s">
        <v>39</v>
      </c>
      <c r="E1829" s="2">
        <v>400</v>
      </c>
      <c r="F1829" s="2" t="s">
        <v>100</v>
      </c>
      <c r="G1829" s="2" t="s">
        <v>129</v>
      </c>
      <c r="H1829" s="2" t="s">
        <v>35</v>
      </c>
    </row>
    <row r="1830" spans="1:8" ht="13" hidden="1">
      <c r="A1830" s="15">
        <v>45606.692652407408</v>
      </c>
      <c r="B1830" s="16">
        <v>45599</v>
      </c>
      <c r="C1830" s="2" t="s">
        <v>240</v>
      </c>
      <c r="D1830" s="2" t="s">
        <v>42</v>
      </c>
      <c r="E1830" s="2">
        <v>330</v>
      </c>
      <c r="F1830" s="2" t="s">
        <v>100</v>
      </c>
      <c r="H1830" s="2" t="s">
        <v>35</v>
      </c>
    </row>
    <row r="1831" spans="1:8" ht="13" hidden="1">
      <c r="A1831" s="15">
        <v>45606.692997210645</v>
      </c>
      <c r="B1831" s="16">
        <v>45599</v>
      </c>
      <c r="C1831" s="2" t="s">
        <v>44</v>
      </c>
      <c r="D1831" s="2" t="s">
        <v>44</v>
      </c>
      <c r="E1831" s="2">
        <v>9380</v>
      </c>
      <c r="F1831" s="2" t="s">
        <v>100</v>
      </c>
      <c r="G1831" s="2" t="s">
        <v>810</v>
      </c>
      <c r="H1831" s="2" t="s">
        <v>35</v>
      </c>
    </row>
    <row r="1832" spans="1:8" ht="13" hidden="1">
      <c r="A1832" s="15">
        <v>45606.693344479165</v>
      </c>
      <c r="B1832" s="16">
        <v>45599</v>
      </c>
      <c r="C1832" s="2" t="s">
        <v>811</v>
      </c>
      <c r="D1832" s="2" t="s">
        <v>45</v>
      </c>
      <c r="E1832" s="2">
        <v>630</v>
      </c>
      <c r="F1832" s="2" t="s">
        <v>100</v>
      </c>
      <c r="G1832" s="2" t="s">
        <v>696</v>
      </c>
      <c r="H1832" s="2" t="s">
        <v>35</v>
      </c>
    </row>
    <row r="1833" spans="1:8" ht="13" hidden="1">
      <c r="A1833" s="15">
        <v>45600.675779675927</v>
      </c>
      <c r="B1833" s="16">
        <v>45600</v>
      </c>
      <c r="C1833" s="2" t="s">
        <v>812</v>
      </c>
      <c r="D1833" s="2" t="s">
        <v>45</v>
      </c>
      <c r="E1833" s="2">
        <v>2728</v>
      </c>
      <c r="F1833" s="2" t="s">
        <v>102</v>
      </c>
      <c r="G1833" s="2" t="s">
        <v>285</v>
      </c>
      <c r="H1833" s="2" t="s">
        <v>35</v>
      </c>
    </row>
    <row r="1834" spans="1:8" ht="13" hidden="1">
      <c r="A1834" s="15">
        <v>45600.676311076386</v>
      </c>
      <c r="B1834" s="16">
        <v>45600</v>
      </c>
      <c r="C1834" s="2" t="s">
        <v>482</v>
      </c>
      <c r="D1834" s="2" t="s">
        <v>38</v>
      </c>
      <c r="E1834" s="2">
        <v>960</v>
      </c>
      <c r="F1834" s="2" t="s">
        <v>102</v>
      </c>
      <c r="G1834" s="2" t="s">
        <v>813</v>
      </c>
      <c r="H1834" s="2" t="s">
        <v>35</v>
      </c>
    </row>
    <row r="1835" spans="1:8" ht="13" hidden="1">
      <c r="A1835" s="15">
        <v>45606.694400011576</v>
      </c>
      <c r="B1835" s="16">
        <v>45600</v>
      </c>
      <c r="C1835" s="2" t="s">
        <v>116</v>
      </c>
      <c r="D1835" s="2" t="s">
        <v>38</v>
      </c>
      <c r="E1835" s="2">
        <v>747</v>
      </c>
      <c r="F1835" s="2" t="s">
        <v>100</v>
      </c>
      <c r="G1835" s="2" t="s">
        <v>652</v>
      </c>
      <c r="H1835" s="2" t="s">
        <v>35</v>
      </c>
    </row>
    <row r="1836" spans="1:8" ht="13" hidden="1">
      <c r="A1836" s="15">
        <v>45606.694703576388</v>
      </c>
      <c r="B1836" s="16">
        <v>45600</v>
      </c>
      <c r="C1836" s="2" t="s">
        <v>499</v>
      </c>
      <c r="D1836" s="2" t="s">
        <v>38</v>
      </c>
      <c r="E1836" s="2">
        <v>3480</v>
      </c>
      <c r="F1836" s="2" t="s">
        <v>100</v>
      </c>
      <c r="G1836" s="2" t="s">
        <v>129</v>
      </c>
      <c r="H1836" s="2" t="s">
        <v>35</v>
      </c>
    </row>
    <row r="1837" spans="1:8" ht="13" hidden="1">
      <c r="A1837" s="15">
        <v>45606.679736574079</v>
      </c>
      <c r="B1837" s="16">
        <v>45601</v>
      </c>
      <c r="C1837" s="2" t="s">
        <v>112</v>
      </c>
      <c r="D1837" s="2" t="s">
        <v>38</v>
      </c>
      <c r="E1837" s="2">
        <v>120</v>
      </c>
      <c r="F1837" s="2" t="s">
        <v>102</v>
      </c>
      <c r="G1837" s="2" t="s">
        <v>103</v>
      </c>
      <c r="H1837" s="2" t="s">
        <v>35</v>
      </c>
    </row>
    <row r="1838" spans="1:8" ht="13" hidden="1">
      <c r="A1838" s="15">
        <v>45606.695064780091</v>
      </c>
      <c r="B1838" s="16">
        <v>45601</v>
      </c>
      <c r="C1838" s="2" t="s">
        <v>814</v>
      </c>
      <c r="D1838" s="2" t="s">
        <v>40</v>
      </c>
      <c r="E1838" s="2">
        <v>10820</v>
      </c>
      <c r="F1838" s="2" t="s">
        <v>100</v>
      </c>
      <c r="H1838" s="2" t="s">
        <v>35</v>
      </c>
    </row>
    <row r="1839" spans="1:8" ht="13" hidden="1">
      <c r="A1839" s="15">
        <v>45606.680115717594</v>
      </c>
      <c r="B1839" s="16">
        <v>45602</v>
      </c>
      <c r="C1839" s="2" t="s">
        <v>750</v>
      </c>
      <c r="D1839" s="2" t="s">
        <v>38</v>
      </c>
      <c r="E1839" s="2">
        <v>158</v>
      </c>
      <c r="F1839" s="2" t="s">
        <v>102</v>
      </c>
      <c r="G1839" s="2" t="s">
        <v>356</v>
      </c>
      <c r="H1839" s="2" t="s">
        <v>35</v>
      </c>
    </row>
    <row r="1840" spans="1:8" ht="13" hidden="1">
      <c r="A1840" s="15">
        <v>45606.680370624999</v>
      </c>
      <c r="B1840" s="16">
        <v>45602</v>
      </c>
      <c r="C1840" s="2" t="s">
        <v>815</v>
      </c>
      <c r="D1840" s="2" t="s">
        <v>38</v>
      </c>
      <c r="E1840" s="2">
        <v>1000</v>
      </c>
      <c r="F1840" s="2" t="s">
        <v>102</v>
      </c>
      <c r="H1840" s="2" t="s">
        <v>35</v>
      </c>
    </row>
    <row r="1841" spans="1:8" ht="13" hidden="1">
      <c r="A1841" s="15">
        <v>45606.68426490741</v>
      </c>
      <c r="B1841" s="16">
        <v>45602</v>
      </c>
      <c r="C1841" s="2" t="s">
        <v>258</v>
      </c>
      <c r="E1841" s="2">
        <v>18406</v>
      </c>
      <c r="H1841" s="2" t="s">
        <v>34</v>
      </c>
    </row>
    <row r="1842" spans="1:8" ht="13" hidden="1">
      <c r="A1842" s="15">
        <v>45606.695334525459</v>
      </c>
      <c r="B1842" s="16">
        <v>45602</v>
      </c>
      <c r="C1842" s="2" t="s">
        <v>350</v>
      </c>
      <c r="D1842" s="2" t="s">
        <v>40</v>
      </c>
      <c r="E1842" s="2">
        <v>1000</v>
      </c>
      <c r="F1842" s="2" t="s">
        <v>100</v>
      </c>
      <c r="H1842" s="2" t="s">
        <v>35</v>
      </c>
    </row>
    <row r="1843" spans="1:8" ht="13" hidden="1">
      <c r="A1843" s="15">
        <v>45606.695572604163</v>
      </c>
      <c r="B1843" s="16">
        <v>45602</v>
      </c>
      <c r="C1843" s="2" t="s">
        <v>371</v>
      </c>
      <c r="D1843" s="2" t="s">
        <v>39</v>
      </c>
      <c r="E1843" s="2">
        <v>2310</v>
      </c>
      <c r="F1843" s="2" t="s">
        <v>100</v>
      </c>
      <c r="H1843" s="2" t="s">
        <v>35</v>
      </c>
    </row>
    <row r="1844" spans="1:8" ht="13" hidden="1">
      <c r="A1844" s="15">
        <v>45606.680752650464</v>
      </c>
      <c r="B1844" s="16">
        <v>45603</v>
      </c>
      <c r="C1844" s="2" t="s">
        <v>106</v>
      </c>
      <c r="D1844" s="2" t="s">
        <v>38</v>
      </c>
      <c r="E1844" s="2">
        <v>900</v>
      </c>
      <c r="F1844" s="2" t="s">
        <v>102</v>
      </c>
      <c r="G1844" s="2" t="s">
        <v>194</v>
      </c>
      <c r="H1844" s="2" t="s">
        <v>35</v>
      </c>
    </row>
    <row r="1845" spans="1:8" ht="13" hidden="1">
      <c r="A1845" s="15">
        <v>45606.681064571763</v>
      </c>
      <c r="B1845" s="16">
        <v>45603</v>
      </c>
      <c r="C1845" s="2" t="s">
        <v>771</v>
      </c>
      <c r="D1845" s="2" t="s">
        <v>39</v>
      </c>
      <c r="E1845" s="2">
        <v>3000</v>
      </c>
      <c r="F1845" s="2" t="s">
        <v>102</v>
      </c>
      <c r="H1845" s="2" t="s">
        <v>35</v>
      </c>
    </row>
    <row r="1846" spans="1:8" ht="13" hidden="1">
      <c r="A1846" s="15">
        <v>45606.681354768516</v>
      </c>
      <c r="B1846" s="16">
        <v>45604</v>
      </c>
      <c r="C1846" s="2" t="s">
        <v>106</v>
      </c>
      <c r="D1846" s="2" t="s">
        <v>38</v>
      </c>
      <c r="E1846" s="2">
        <v>1100</v>
      </c>
      <c r="F1846" s="2" t="s">
        <v>102</v>
      </c>
      <c r="G1846" s="2" t="s">
        <v>256</v>
      </c>
      <c r="H1846" s="2" t="s">
        <v>35</v>
      </c>
    </row>
    <row r="1847" spans="1:8" ht="13" hidden="1">
      <c r="A1847" s="15">
        <v>45606.681659479167</v>
      </c>
      <c r="B1847" s="16">
        <v>45604</v>
      </c>
      <c r="C1847" s="2" t="s">
        <v>112</v>
      </c>
      <c r="D1847" s="2" t="s">
        <v>38</v>
      </c>
      <c r="E1847" s="2">
        <v>120</v>
      </c>
      <c r="F1847" s="2" t="s">
        <v>102</v>
      </c>
      <c r="G1847" s="2" t="s">
        <v>103</v>
      </c>
      <c r="H1847" s="2" t="s">
        <v>35</v>
      </c>
    </row>
    <row r="1848" spans="1:8" ht="13" hidden="1">
      <c r="A1848" s="15">
        <v>45606.695836712963</v>
      </c>
      <c r="B1848" s="16">
        <v>45604</v>
      </c>
      <c r="C1848" s="2" t="s">
        <v>654</v>
      </c>
      <c r="D1848" s="2" t="s">
        <v>48</v>
      </c>
      <c r="E1848" s="2">
        <v>130</v>
      </c>
      <c r="F1848" s="2" t="s">
        <v>100</v>
      </c>
      <c r="H1848" s="2" t="s">
        <v>35</v>
      </c>
    </row>
    <row r="1849" spans="1:8" ht="13" hidden="1">
      <c r="A1849" s="15">
        <v>45613.684988333334</v>
      </c>
      <c r="B1849" s="16">
        <v>45604</v>
      </c>
      <c r="C1849" s="2" t="s">
        <v>445</v>
      </c>
      <c r="D1849" s="2" t="s">
        <v>39</v>
      </c>
      <c r="E1849" s="2">
        <v>1320</v>
      </c>
      <c r="F1849" s="2" t="s">
        <v>100</v>
      </c>
      <c r="H1849" s="2" t="s">
        <v>35</v>
      </c>
    </row>
    <row r="1850" spans="1:8" ht="13" hidden="1">
      <c r="A1850" s="15">
        <v>45613.68522457176</v>
      </c>
      <c r="B1850" s="16">
        <v>45604</v>
      </c>
      <c r="C1850" s="2" t="s">
        <v>240</v>
      </c>
      <c r="D1850" s="2" t="s">
        <v>42</v>
      </c>
      <c r="E1850" s="2">
        <v>990</v>
      </c>
      <c r="F1850" s="2" t="s">
        <v>100</v>
      </c>
      <c r="H1850" s="2" t="s">
        <v>35</v>
      </c>
    </row>
    <row r="1851" spans="1:8" ht="13" hidden="1">
      <c r="A1851" s="15">
        <v>45606.682434050927</v>
      </c>
      <c r="B1851" s="16">
        <v>45605</v>
      </c>
      <c r="C1851" s="2" t="s">
        <v>816</v>
      </c>
      <c r="D1851" s="2" t="s">
        <v>45</v>
      </c>
      <c r="E1851" s="2">
        <v>1648</v>
      </c>
      <c r="F1851" s="2" t="s">
        <v>102</v>
      </c>
      <c r="G1851" s="2" t="s">
        <v>285</v>
      </c>
      <c r="H1851" s="2" t="s">
        <v>35</v>
      </c>
    </row>
    <row r="1852" spans="1:8" ht="13" hidden="1">
      <c r="A1852" s="15">
        <v>45606.682773796296</v>
      </c>
      <c r="B1852" s="16">
        <v>45605</v>
      </c>
      <c r="C1852" s="2" t="s">
        <v>204</v>
      </c>
      <c r="D1852" s="2" t="s">
        <v>45</v>
      </c>
      <c r="E1852" s="2">
        <v>3700</v>
      </c>
      <c r="F1852" s="2" t="s">
        <v>102</v>
      </c>
      <c r="G1852" s="2" t="s">
        <v>692</v>
      </c>
      <c r="H1852" s="2" t="s">
        <v>35</v>
      </c>
    </row>
    <row r="1853" spans="1:8" ht="13" hidden="1">
      <c r="A1853" s="15">
        <v>45606.683058726849</v>
      </c>
      <c r="B1853" s="16">
        <v>45605</v>
      </c>
      <c r="C1853" s="2" t="s">
        <v>398</v>
      </c>
      <c r="D1853" s="2" t="s">
        <v>38</v>
      </c>
      <c r="E1853" s="2">
        <v>85</v>
      </c>
      <c r="F1853" s="2" t="s">
        <v>102</v>
      </c>
      <c r="G1853" s="2" t="s">
        <v>817</v>
      </c>
      <c r="H1853" s="2" t="s">
        <v>35</v>
      </c>
    </row>
    <row r="1854" spans="1:8" ht="13" hidden="1">
      <c r="A1854" s="15">
        <v>45606.683278113429</v>
      </c>
      <c r="B1854" s="16">
        <v>45605</v>
      </c>
      <c r="C1854" s="2" t="s">
        <v>795</v>
      </c>
      <c r="E1854" s="2">
        <v>5000</v>
      </c>
      <c r="H1854" s="2" t="s">
        <v>34</v>
      </c>
    </row>
    <row r="1855" spans="1:8" ht="13" hidden="1">
      <c r="A1855" s="15">
        <v>45606.683594849535</v>
      </c>
      <c r="B1855" s="16">
        <v>45605</v>
      </c>
      <c r="C1855" s="2" t="s">
        <v>785</v>
      </c>
      <c r="D1855" s="2" t="s">
        <v>39</v>
      </c>
      <c r="E1855" s="2">
        <v>4180</v>
      </c>
      <c r="F1855" s="2" t="s">
        <v>102</v>
      </c>
      <c r="H1855" s="2" t="s">
        <v>35</v>
      </c>
    </row>
    <row r="1856" spans="1:8" ht="13" hidden="1">
      <c r="A1856" s="15">
        <v>45606.683893298614</v>
      </c>
      <c r="B1856" s="16">
        <v>45605</v>
      </c>
      <c r="C1856" s="2" t="s">
        <v>795</v>
      </c>
      <c r="E1856" s="2">
        <v>2000</v>
      </c>
      <c r="H1856" s="2" t="s">
        <v>34</v>
      </c>
    </row>
    <row r="1857" spans="1:8" ht="13" hidden="1">
      <c r="A1857" s="15">
        <v>45613.685523217588</v>
      </c>
      <c r="B1857" s="16">
        <v>45605</v>
      </c>
      <c r="C1857" s="2" t="s">
        <v>574</v>
      </c>
      <c r="D1857" s="2" t="s">
        <v>48</v>
      </c>
      <c r="E1857" s="2">
        <v>880</v>
      </c>
      <c r="F1857" s="2" t="s">
        <v>100</v>
      </c>
      <c r="H1857" s="2" t="s">
        <v>35</v>
      </c>
    </row>
    <row r="1858" spans="1:8" ht="13" hidden="1">
      <c r="A1858" s="15">
        <v>45613.685799479164</v>
      </c>
      <c r="B1858" s="16">
        <v>45605</v>
      </c>
      <c r="C1858" s="2" t="s">
        <v>350</v>
      </c>
      <c r="D1858" s="2" t="s">
        <v>40</v>
      </c>
      <c r="E1858" s="2">
        <v>1000</v>
      </c>
      <c r="F1858" s="2" t="s">
        <v>100</v>
      </c>
      <c r="H1858" s="2" t="s">
        <v>35</v>
      </c>
    </row>
    <row r="1859" spans="1:8" ht="13" hidden="1">
      <c r="A1859" s="15">
        <v>45613.686183807869</v>
      </c>
      <c r="B1859" s="16">
        <v>45605</v>
      </c>
      <c r="C1859" s="2" t="s">
        <v>116</v>
      </c>
      <c r="D1859" s="2" t="s">
        <v>38</v>
      </c>
      <c r="E1859" s="2">
        <v>970</v>
      </c>
      <c r="F1859" s="2" t="s">
        <v>100</v>
      </c>
      <c r="G1859" s="2" t="s">
        <v>652</v>
      </c>
      <c r="H1859" s="2" t="s">
        <v>35</v>
      </c>
    </row>
    <row r="1860" spans="1:8" ht="13" hidden="1">
      <c r="A1860" s="15">
        <v>45613.686486828708</v>
      </c>
      <c r="B1860" s="16">
        <v>45605</v>
      </c>
      <c r="C1860" s="2" t="s">
        <v>785</v>
      </c>
      <c r="D1860" s="2" t="s">
        <v>39</v>
      </c>
      <c r="E1860" s="2">
        <v>10670</v>
      </c>
      <c r="F1860" s="2" t="s">
        <v>100</v>
      </c>
      <c r="H1860" s="2" t="s">
        <v>35</v>
      </c>
    </row>
    <row r="1861" spans="1:8" ht="13" hidden="1">
      <c r="A1861" s="15">
        <v>45613.686983449079</v>
      </c>
      <c r="B1861" s="16">
        <v>45605</v>
      </c>
      <c r="C1861" s="2" t="s">
        <v>818</v>
      </c>
      <c r="D1861" s="2" t="s">
        <v>40</v>
      </c>
      <c r="E1861" s="2">
        <v>21930</v>
      </c>
      <c r="F1861" s="2" t="s">
        <v>100</v>
      </c>
      <c r="H1861" s="2" t="s">
        <v>35</v>
      </c>
    </row>
    <row r="1862" spans="1:8" ht="13" hidden="1">
      <c r="A1862" s="15">
        <v>45613.674516851854</v>
      </c>
      <c r="B1862" s="16">
        <v>45606</v>
      </c>
      <c r="C1862" s="2" t="s">
        <v>154</v>
      </c>
      <c r="D1862" s="2" t="s">
        <v>38</v>
      </c>
      <c r="E1862" s="2">
        <v>500</v>
      </c>
      <c r="F1862" s="2" t="s">
        <v>102</v>
      </c>
      <c r="H1862" s="2" t="s">
        <v>35</v>
      </c>
    </row>
    <row r="1863" spans="1:8" ht="13" hidden="1">
      <c r="A1863" s="15">
        <v>45613.687216388891</v>
      </c>
      <c r="B1863" s="16">
        <v>45606</v>
      </c>
      <c r="C1863" s="2" t="s">
        <v>240</v>
      </c>
      <c r="D1863" s="2" t="s">
        <v>42</v>
      </c>
      <c r="E1863" s="2">
        <v>220</v>
      </c>
      <c r="F1863" s="2" t="s">
        <v>100</v>
      </c>
      <c r="H1863" s="2" t="s">
        <v>35</v>
      </c>
    </row>
    <row r="1864" spans="1:8" ht="13" hidden="1">
      <c r="A1864" s="15">
        <v>45613.687530219904</v>
      </c>
      <c r="B1864" s="16">
        <v>45606</v>
      </c>
      <c r="C1864" s="2" t="s">
        <v>116</v>
      </c>
      <c r="D1864" s="2" t="s">
        <v>38</v>
      </c>
      <c r="E1864" s="2">
        <v>1602</v>
      </c>
      <c r="F1864" s="2" t="s">
        <v>100</v>
      </c>
      <c r="G1864" s="2" t="s">
        <v>652</v>
      </c>
      <c r="H1864" s="2" t="s">
        <v>35</v>
      </c>
    </row>
    <row r="1865" spans="1:8" ht="13" hidden="1">
      <c r="A1865" s="15">
        <v>45613.67500087963</v>
      </c>
      <c r="B1865" s="16">
        <v>45607</v>
      </c>
      <c r="C1865" s="2" t="s">
        <v>106</v>
      </c>
      <c r="D1865" s="2" t="s">
        <v>38</v>
      </c>
      <c r="E1865" s="2">
        <v>900</v>
      </c>
      <c r="F1865" s="2" t="s">
        <v>102</v>
      </c>
      <c r="G1865" s="2" t="s">
        <v>194</v>
      </c>
      <c r="H1865" s="2" t="s">
        <v>35</v>
      </c>
    </row>
    <row r="1866" spans="1:8" ht="13" hidden="1">
      <c r="A1866" s="15">
        <v>45613.675459062499</v>
      </c>
      <c r="B1866" s="16">
        <v>45607</v>
      </c>
      <c r="C1866" s="2" t="s">
        <v>819</v>
      </c>
      <c r="D1866" s="2" t="s">
        <v>38</v>
      </c>
      <c r="E1866" s="2">
        <v>305</v>
      </c>
      <c r="F1866" s="2" t="s">
        <v>102</v>
      </c>
      <c r="G1866" s="2" t="s">
        <v>103</v>
      </c>
      <c r="H1866" s="2" t="s">
        <v>35</v>
      </c>
    </row>
    <row r="1867" spans="1:8" ht="13" hidden="1">
      <c r="A1867" s="15">
        <v>45613.687826331021</v>
      </c>
      <c r="B1867" s="16">
        <v>45607</v>
      </c>
      <c r="C1867" s="2" t="s">
        <v>18</v>
      </c>
      <c r="D1867" s="2" t="s">
        <v>41</v>
      </c>
      <c r="E1867" s="2">
        <v>5868</v>
      </c>
      <c r="F1867" s="2" t="s">
        <v>100</v>
      </c>
      <c r="H1867" s="2" t="s">
        <v>35</v>
      </c>
    </row>
    <row r="1868" spans="1:8" ht="13" hidden="1">
      <c r="A1868" s="15">
        <v>45613.675822997684</v>
      </c>
      <c r="B1868" s="16">
        <v>45608</v>
      </c>
      <c r="C1868" s="2" t="s">
        <v>106</v>
      </c>
      <c r="D1868" s="2" t="s">
        <v>38</v>
      </c>
      <c r="E1868" s="2">
        <v>990</v>
      </c>
      <c r="F1868" s="2" t="s">
        <v>102</v>
      </c>
      <c r="G1868" s="2" t="s">
        <v>580</v>
      </c>
      <c r="H1868" s="2" t="s">
        <v>35</v>
      </c>
    </row>
    <row r="1869" spans="1:8" ht="13" hidden="1">
      <c r="A1869" s="15">
        <v>45613.688100567131</v>
      </c>
      <c r="B1869" s="16">
        <v>45608</v>
      </c>
      <c r="C1869" s="2" t="s">
        <v>807</v>
      </c>
      <c r="D1869" s="2" t="s">
        <v>152</v>
      </c>
      <c r="E1869" s="2">
        <v>2016</v>
      </c>
      <c r="F1869" s="2" t="s">
        <v>100</v>
      </c>
      <c r="H1869" s="2" t="s">
        <v>35</v>
      </c>
    </row>
    <row r="1870" spans="1:8" ht="13" hidden="1">
      <c r="A1870" s="15">
        <v>45613.688361168985</v>
      </c>
      <c r="B1870" s="16">
        <v>45608</v>
      </c>
      <c r="C1870" s="2" t="s">
        <v>350</v>
      </c>
      <c r="D1870" s="2" t="s">
        <v>40</v>
      </c>
      <c r="E1870" s="2">
        <v>1000</v>
      </c>
      <c r="F1870" s="2" t="s">
        <v>100</v>
      </c>
      <c r="H1870" s="2" t="s">
        <v>35</v>
      </c>
    </row>
    <row r="1871" spans="1:8" ht="13" hidden="1">
      <c r="A1871" s="15">
        <v>45613.676145196761</v>
      </c>
      <c r="B1871" s="16">
        <v>45609</v>
      </c>
      <c r="C1871" s="2" t="s">
        <v>601</v>
      </c>
      <c r="D1871" s="2" t="s">
        <v>38</v>
      </c>
      <c r="E1871" s="2">
        <v>162</v>
      </c>
      <c r="F1871" s="2" t="s">
        <v>102</v>
      </c>
      <c r="G1871" s="2" t="s">
        <v>356</v>
      </c>
      <c r="H1871" s="2" t="s">
        <v>35</v>
      </c>
    </row>
    <row r="1872" spans="1:8" ht="13" hidden="1">
      <c r="A1872" s="15">
        <v>45613.676476249995</v>
      </c>
      <c r="B1872" s="16">
        <v>45609</v>
      </c>
      <c r="C1872" s="2" t="s">
        <v>112</v>
      </c>
      <c r="D1872" s="2" t="s">
        <v>38</v>
      </c>
      <c r="E1872" s="2">
        <v>140</v>
      </c>
      <c r="F1872" s="2" t="s">
        <v>102</v>
      </c>
      <c r="G1872" s="2" t="s">
        <v>356</v>
      </c>
      <c r="H1872" s="2" t="s">
        <v>35</v>
      </c>
    </row>
    <row r="1873" spans="1:8" ht="13" hidden="1">
      <c r="A1873" s="15">
        <v>45613.676769155092</v>
      </c>
      <c r="B1873" s="16">
        <v>45609</v>
      </c>
      <c r="C1873" s="2" t="s">
        <v>541</v>
      </c>
      <c r="D1873" s="2" t="s">
        <v>38</v>
      </c>
      <c r="E1873" s="2">
        <v>1400</v>
      </c>
      <c r="F1873" s="2" t="s">
        <v>102</v>
      </c>
      <c r="H1873" s="2" t="s">
        <v>35</v>
      </c>
    </row>
    <row r="1874" spans="1:8" ht="13" hidden="1">
      <c r="A1874" s="15">
        <v>45613.677067800927</v>
      </c>
      <c r="B1874" s="16">
        <v>45609</v>
      </c>
      <c r="C1874" s="2" t="s">
        <v>112</v>
      </c>
      <c r="D1874" s="2" t="s">
        <v>38</v>
      </c>
      <c r="E1874" s="2">
        <v>120</v>
      </c>
      <c r="F1874" s="2" t="s">
        <v>102</v>
      </c>
      <c r="G1874" s="2" t="s">
        <v>103</v>
      </c>
      <c r="H1874" s="2" t="s">
        <v>35</v>
      </c>
    </row>
    <row r="1875" spans="1:8" ht="13" hidden="1">
      <c r="A1875" s="15">
        <v>45613.688731423608</v>
      </c>
      <c r="B1875" s="16">
        <v>45609</v>
      </c>
      <c r="C1875" s="2" t="s">
        <v>820</v>
      </c>
      <c r="D1875" s="2" t="s">
        <v>152</v>
      </c>
      <c r="E1875" s="2">
        <v>5184</v>
      </c>
      <c r="F1875" s="2" t="s">
        <v>100</v>
      </c>
      <c r="H1875" s="2" t="s">
        <v>35</v>
      </c>
    </row>
    <row r="1876" spans="1:8" ht="13" hidden="1">
      <c r="A1876" s="15">
        <v>45613.689076678245</v>
      </c>
      <c r="B1876" s="16">
        <v>45609</v>
      </c>
      <c r="C1876" s="2" t="s">
        <v>821</v>
      </c>
      <c r="D1876" s="2" t="s">
        <v>152</v>
      </c>
      <c r="E1876" s="2">
        <v>3540</v>
      </c>
      <c r="F1876" s="2" t="s">
        <v>100</v>
      </c>
      <c r="H1876" s="2" t="s">
        <v>35</v>
      </c>
    </row>
    <row r="1877" spans="1:8" ht="13" hidden="1">
      <c r="A1877" s="15">
        <v>45613.677456863428</v>
      </c>
      <c r="B1877" s="16">
        <v>45610</v>
      </c>
      <c r="C1877" s="2" t="s">
        <v>106</v>
      </c>
      <c r="D1877" s="2" t="s">
        <v>38</v>
      </c>
      <c r="E1877" s="2">
        <v>1100</v>
      </c>
      <c r="F1877" s="2" t="s">
        <v>102</v>
      </c>
      <c r="G1877" s="2" t="s">
        <v>256</v>
      </c>
      <c r="H1877" s="2" t="s">
        <v>35</v>
      </c>
    </row>
    <row r="1878" spans="1:8" ht="13" hidden="1">
      <c r="A1878" s="15">
        <v>45613.677931446757</v>
      </c>
      <c r="B1878" s="16">
        <v>45610</v>
      </c>
      <c r="C1878" s="2" t="s">
        <v>112</v>
      </c>
      <c r="D1878" s="2" t="s">
        <v>38</v>
      </c>
      <c r="E1878" s="2">
        <v>120</v>
      </c>
      <c r="F1878" s="2" t="s">
        <v>102</v>
      </c>
      <c r="G1878" s="2" t="s">
        <v>103</v>
      </c>
      <c r="H1878" s="2" t="s">
        <v>35</v>
      </c>
    </row>
    <row r="1879" spans="1:8" ht="13" hidden="1">
      <c r="A1879" s="15">
        <v>45613.678889050927</v>
      </c>
      <c r="B1879" s="16">
        <v>45610</v>
      </c>
      <c r="C1879" s="2" t="s">
        <v>822</v>
      </c>
      <c r="D1879" s="2" t="s">
        <v>45</v>
      </c>
      <c r="E1879" s="2">
        <v>377</v>
      </c>
      <c r="F1879" s="2" t="s">
        <v>102</v>
      </c>
      <c r="G1879" s="2" t="s">
        <v>285</v>
      </c>
      <c r="H1879" s="2" t="s">
        <v>35</v>
      </c>
    </row>
    <row r="1880" spans="1:8" ht="13" hidden="1">
      <c r="A1880" s="15">
        <v>45613.689299016201</v>
      </c>
      <c r="B1880" s="16">
        <v>45610</v>
      </c>
      <c r="C1880" s="2" t="s">
        <v>247</v>
      </c>
      <c r="D1880" s="2" t="s">
        <v>39</v>
      </c>
      <c r="E1880" s="2">
        <v>3600</v>
      </c>
      <c r="F1880" s="2" t="s">
        <v>100</v>
      </c>
      <c r="H1880" s="2" t="s">
        <v>35</v>
      </c>
    </row>
    <row r="1881" spans="1:8" ht="13" hidden="1">
      <c r="A1881" s="15">
        <v>45613.68957072917</v>
      </c>
      <c r="B1881" s="16">
        <v>45610</v>
      </c>
      <c r="C1881" s="2" t="s">
        <v>662</v>
      </c>
      <c r="D1881" s="2" t="s">
        <v>48</v>
      </c>
      <c r="E1881" s="2">
        <v>3181</v>
      </c>
      <c r="F1881" s="2" t="s">
        <v>100</v>
      </c>
      <c r="H1881" s="2" t="s">
        <v>35</v>
      </c>
    </row>
    <row r="1882" spans="1:8" ht="13" hidden="1">
      <c r="A1882" s="15">
        <v>45620.597474884256</v>
      </c>
      <c r="B1882" s="16">
        <v>45610</v>
      </c>
      <c r="C1882" s="2" t="s">
        <v>105</v>
      </c>
      <c r="D1882" s="2" t="s">
        <v>40</v>
      </c>
      <c r="E1882" s="2">
        <v>4500</v>
      </c>
      <c r="F1882" s="2" t="s">
        <v>100</v>
      </c>
      <c r="H1882" s="2" t="s">
        <v>35</v>
      </c>
    </row>
    <row r="1883" spans="1:8" ht="13" hidden="1">
      <c r="A1883" s="15">
        <v>45613.679179120372</v>
      </c>
      <c r="B1883" s="16">
        <v>45611</v>
      </c>
      <c r="C1883" s="2" t="s">
        <v>823</v>
      </c>
      <c r="D1883" s="2" t="s">
        <v>39</v>
      </c>
      <c r="E1883" s="2">
        <v>550</v>
      </c>
      <c r="F1883" s="2" t="s">
        <v>102</v>
      </c>
      <c r="G1883" s="2" t="s">
        <v>824</v>
      </c>
      <c r="H1883" s="2" t="s">
        <v>35</v>
      </c>
    </row>
    <row r="1884" spans="1:8" ht="13" hidden="1">
      <c r="A1884" s="15">
        <v>45613.679503136576</v>
      </c>
      <c r="B1884" s="16">
        <v>45611</v>
      </c>
      <c r="C1884" s="2" t="s">
        <v>823</v>
      </c>
      <c r="D1884" s="2" t="s">
        <v>39</v>
      </c>
      <c r="E1884" s="2">
        <v>3860</v>
      </c>
      <c r="F1884" s="2" t="s">
        <v>102</v>
      </c>
      <c r="G1884" s="2" t="s">
        <v>825</v>
      </c>
      <c r="H1884" s="2" t="s">
        <v>35</v>
      </c>
    </row>
    <row r="1885" spans="1:8" ht="13" hidden="1">
      <c r="A1885" s="15">
        <v>45613.681171828706</v>
      </c>
      <c r="B1885" s="16">
        <v>45611</v>
      </c>
      <c r="C1885" s="2" t="s">
        <v>294</v>
      </c>
      <c r="D1885" s="2" t="s">
        <v>39</v>
      </c>
      <c r="E1885" s="2">
        <v>980</v>
      </c>
      <c r="F1885" s="2" t="s">
        <v>102</v>
      </c>
      <c r="H1885" s="2" t="s">
        <v>35</v>
      </c>
    </row>
    <row r="1886" spans="1:8" ht="13" hidden="1">
      <c r="A1886" s="15">
        <v>45620.597766469902</v>
      </c>
      <c r="B1886" s="16">
        <v>45611</v>
      </c>
      <c r="C1886" s="2" t="s">
        <v>308</v>
      </c>
      <c r="D1886" s="2" t="s">
        <v>40</v>
      </c>
      <c r="E1886" s="2">
        <v>12130</v>
      </c>
      <c r="F1886" s="2" t="s">
        <v>100</v>
      </c>
      <c r="H1886" s="2" t="s">
        <v>35</v>
      </c>
    </row>
    <row r="1887" spans="1:8" ht="13" hidden="1">
      <c r="A1887" s="15">
        <v>45620.598120150462</v>
      </c>
      <c r="B1887" s="16">
        <v>45611</v>
      </c>
      <c r="C1887" s="2" t="s">
        <v>350</v>
      </c>
      <c r="D1887" s="2" t="s">
        <v>40</v>
      </c>
      <c r="E1887" s="2">
        <v>1000</v>
      </c>
      <c r="F1887" s="2" t="s">
        <v>100</v>
      </c>
      <c r="H1887" s="2" t="s">
        <v>35</v>
      </c>
    </row>
    <row r="1888" spans="1:8" ht="13" hidden="1">
      <c r="A1888" s="15">
        <v>45620.598389942126</v>
      </c>
      <c r="B1888" s="16">
        <v>45611</v>
      </c>
      <c r="C1888" s="2" t="s">
        <v>240</v>
      </c>
      <c r="D1888" s="2" t="s">
        <v>42</v>
      </c>
      <c r="E1888" s="2">
        <v>990</v>
      </c>
      <c r="F1888" s="2" t="s">
        <v>100</v>
      </c>
      <c r="H1888" s="2" t="s">
        <v>35</v>
      </c>
    </row>
    <row r="1889" spans="1:8" ht="13" hidden="1">
      <c r="A1889" s="15">
        <v>45613.681488819449</v>
      </c>
      <c r="B1889" s="16">
        <v>45612</v>
      </c>
      <c r="C1889" s="2" t="s">
        <v>559</v>
      </c>
      <c r="D1889" s="2" t="s">
        <v>38</v>
      </c>
      <c r="E1889" s="2">
        <v>600</v>
      </c>
      <c r="F1889" s="2" t="s">
        <v>102</v>
      </c>
      <c r="G1889" s="2" t="s">
        <v>667</v>
      </c>
      <c r="H1889" s="2" t="s">
        <v>35</v>
      </c>
    </row>
    <row r="1890" spans="1:8" ht="13" hidden="1">
      <c r="A1890" s="15">
        <v>45620.598939317133</v>
      </c>
      <c r="B1890" s="16">
        <v>45612</v>
      </c>
      <c r="C1890" s="2" t="s">
        <v>116</v>
      </c>
      <c r="D1890" s="2" t="s">
        <v>38</v>
      </c>
      <c r="E1890" s="2">
        <v>1543</v>
      </c>
      <c r="F1890" s="2" t="s">
        <v>100</v>
      </c>
      <c r="G1890" s="2" t="s">
        <v>652</v>
      </c>
      <c r="H1890" s="2" t="s">
        <v>35</v>
      </c>
    </row>
    <row r="1891" spans="1:8" ht="13" hidden="1">
      <c r="A1891" s="15">
        <v>45620.599461851853</v>
      </c>
      <c r="B1891" s="16">
        <v>45612</v>
      </c>
      <c r="C1891" s="2" t="s">
        <v>20</v>
      </c>
      <c r="D1891" s="2" t="s">
        <v>39</v>
      </c>
      <c r="E1891" s="2">
        <v>1590</v>
      </c>
      <c r="F1891" s="2" t="s">
        <v>100</v>
      </c>
      <c r="H1891" s="2" t="s">
        <v>35</v>
      </c>
    </row>
    <row r="1892" spans="1:8" ht="13" hidden="1">
      <c r="A1892" s="15">
        <v>45613.681766620371</v>
      </c>
      <c r="B1892" s="16">
        <v>45613</v>
      </c>
      <c r="C1892" s="2" t="s">
        <v>114</v>
      </c>
      <c r="D1892" s="2" t="s">
        <v>38</v>
      </c>
      <c r="E1892" s="2">
        <v>160</v>
      </c>
      <c r="F1892" s="2" t="s">
        <v>102</v>
      </c>
      <c r="G1892" s="2" t="s">
        <v>356</v>
      </c>
      <c r="H1892" s="2" t="s">
        <v>35</v>
      </c>
    </row>
    <row r="1893" spans="1:8" ht="13" hidden="1">
      <c r="A1893" s="15">
        <v>45613.682078391204</v>
      </c>
      <c r="B1893" s="16">
        <v>45613</v>
      </c>
      <c r="C1893" s="2" t="s">
        <v>163</v>
      </c>
      <c r="D1893" s="2" t="s">
        <v>38</v>
      </c>
      <c r="E1893" s="2">
        <v>1780</v>
      </c>
      <c r="F1893" s="2" t="s">
        <v>102</v>
      </c>
      <c r="G1893" s="2" t="s">
        <v>164</v>
      </c>
      <c r="H1893" s="2" t="s">
        <v>35</v>
      </c>
    </row>
    <row r="1894" spans="1:8" ht="13" hidden="1">
      <c r="A1894" s="15">
        <v>45613.682355972225</v>
      </c>
      <c r="B1894" s="16">
        <v>45613</v>
      </c>
      <c r="C1894" s="2" t="s">
        <v>826</v>
      </c>
      <c r="D1894" s="2" t="s">
        <v>38</v>
      </c>
      <c r="E1894" s="2">
        <v>568</v>
      </c>
      <c r="F1894" s="2" t="s">
        <v>102</v>
      </c>
      <c r="G1894" s="2" t="s">
        <v>285</v>
      </c>
      <c r="H1894" s="2" t="s">
        <v>35</v>
      </c>
    </row>
    <row r="1895" spans="1:8" ht="13" hidden="1">
      <c r="A1895" s="15">
        <v>45620.599804953701</v>
      </c>
      <c r="B1895" s="16">
        <v>45613</v>
      </c>
      <c r="C1895" s="2" t="s">
        <v>277</v>
      </c>
      <c r="D1895" s="2" t="s">
        <v>46</v>
      </c>
      <c r="E1895" s="2">
        <v>2399</v>
      </c>
      <c r="F1895" s="2" t="s">
        <v>100</v>
      </c>
      <c r="G1895" s="2" t="s">
        <v>129</v>
      </c>
      <c r="H1895" s="2" t="s">
        <v>35</v>
      </c>
    </row>
    <row r="1896" spans="1:8" ht="13" hidden="1">
      <c r="A1896" s="15">
        <v>45620.600040000005</v>
      </c>
      <c r="B1896" s="16">
        <v>45613</v>
      </c>
      <c r="C1896" s="2" t="s">
        <v>105</v>
      </c>
      <c r="D1896" s="2" t="s">
        <v>40</v>
      </c>
      <c r="E1896" s="2">
        <v>3600</v>
      </c>
      <c r="F1896" s="2" t="s">
        <v>100</v>
      </c>
      <c r="H1896" s="2" t="s">
        <v>35</v>
      </c>
    </row>
    <row r="1897" spans="1:8" ht="13" hidden="1">
      <c r="A1897" s="15">
        <v>45620.600426516205</v>
      </c>
      <c r="B1897" s="16">
        <v>45613</v>
      </c>
      <c r="C1897" s="2" t="s">
        <v>827</v>
      </c>
      <c r="D1897" s="2" t="s">
        <v>45</v>
      </c>
      <c r="E1897" s="2">
        <v>4918</v>
      </c>
      <c r="F1897" s="2" t="s">
        <v>100</v>
      </c>
      <c r="G1897" s="2" t="s">
        <v>129</v>
      </c>
      <c r="H1897" s="2" t="s">
        <v>35</v>
      </c>
    </row>
    <row r="1898" spans="1:8" ht="13" hidden="1">
      <c r="A1898" s="15">
        <v>45620.588388564815</v>
      </c>
      <c r="B1898" s="16">
        <v>45614</v>
      </c>
      <c r="C1898" s="2" t="s">
        <v>106</v>
      </c>
      <c r="D1898" s="2" t="s">
        <v>38</v>
      </c>
      <c r="E1898" s="2">
        <v>1200</v>
      </c>
      <c r="F1898" s="2" t="s">
        <v>102</v>
      </c>
      <c r="G1898" s="2" t="s">
        <v>260</v>
      </c>
      <c r="H1898" s="2" t="s">
        <v>35</v>
      </c>
    </row>
    <row r="1899" spans="1:8" ht="13" hidden="1">
      <c r="A1899" s="15">
        <v>45620.588652673614</v>
      </c>
      <c r="B1899" s="16">
        <v>45614</v>
      </c>
      <c r="C1899" s="2" t="s">
        <v>112</v>
      </c>
      <c r="D1899" s="2" t="s">
        <v>38</v>
      </c>
      <c r="E1899" s="2">
        <v>120</v>
      </c>
      <c r="F1899" s="2" t="s">
        <v>102</v>
      </c>
      <c r="G1899" s="2" t="s">
        <v>103</v>
      </c>
      <c r="H1899" s="2" t="s">
        <v>35</v>
      </c>
    </row>
    <row r="1900" spans="1:8" ht="13" hidden="1">
      <c r="A1900" s="15">
        <v>45620.589440694443</v>
      </c>
      <c r="B1900" s="16">
        <v>45615</v>
      </c>
      <c r="C1900" s="2" t="s">
        <v>106</v>
      </c>
      <c r="D1900" s="2" t="s">
        <v>38</v>
      </c>
      <c r="E1900" s="2">
        <v>900</v>
      </c>
      <c r="F1900" s="2" t="s">
        <v>102</v>
      </c>
      <c r="G1900" s="2" t="s">
        <v>194</v>
      </c>
      <c r="H1900" s="2" t="s">
        <v>35</v>
      </c>
    </row>
    <row r="1901" spans="1:8" ht="13" hidden="1">
      <c r="A1901" s="15">
        <v>45620.589756296293</v>
      </c>
      <c r="B1901" s="16">
        <v>45615</v>
      </c>
      <c r="C1901" s="2" t="s">
        <v>236</v>
      </c>
      <c r="D1901" s="2" t="s">
        <v>43</v>
      </c>
      <c r="E1901" s="2">
        <v>418</v>
      </c>
      <c r="F1901" s="2" t="s">
        <v>102</v>
      </c>
      <c r="G1901" s="2" t="s">
        <v>285</v>
      </c>
      <c r="H1901" s="2" t="s">
        <v>35</v>
      </c>
    </row>
    <row r="1902" spans="1:8" ht="13" hidden="1">
      <c r="A1902" s="15">
        <v>45620.590060462964</v>
      </c>
      <c r="B1902" s="16">
        <v>45615</v>
      </c>
      <c r="C1902" s="2" t="s">
        <v>112</v>
      </c>
      <c r="D1902" s="2" t="s">
        <v>38</v>
      </c>
      <c r="E1902" s="2">
        <v>120</v>
      </c>
      <c r="F1902" s="2" t="s">
        <v>102</v>
      </c>
      <c r="G1902" s="2" t="s">
        <v>103</v>
      </c>
      <c r="H1902" s="2" t="s">
        <v>35</v>
      </c>
    </row>
    <row r="1903" spans="1:8" ht="13" hidden="1">
      <c r="A1903" s="15">
        <v>45620.590369780097</v>
      </c>
      <c r="B1903" s="16">
        <v>45616</v>
      </c>
      <c r="C1903" s="2" t="s">
        <v>106</v>
      </c>
      <c r="D1903" s="2" t="s">
        <v>38</v>
      </c>
      <c r="E1903" s="2">
        <v>1100</v>
      </c>
      <c r="F1903" s="2" t="s">
        <v>102</v>
      </c>
      <c r="G1903" s="2" t="s">
        <v>256</v>
      </c>
      <c r="H1903" s="2" t="s">
        <v>35</v>
      </c>
    </row>
    <row r="1904" spans="1:8" ht="13" hidden="1">
      <c r="A1904" s="15">
        <v>45620.591372222218</v>
      </c>
      <c r="B1904" s="16">
        <v>45616</v>
      </c>
      <c r="C1904" s="2" t="s">
        <v>828</v>
      </c>
      <c r="D1904" s="2" t="s">
        <v>38</v>
      </c>
      <c r="E1904" s="2">
        <v>255</v>
      </c>
      <c r="F1904" s="2" t="s">
        <v>102</v>
      </c>
      <c r="G1904" s="2" t="s">
        <v>103</v>
      </c>
      <c r="H1904" s="2" t="s">
        <v>35</v>
      </c>
    </row>
    <row r="1905" spans="1:8" ht="13" hidden="1">
      <c r="A1905" s="15">
        <v>45620.591697870375</v>
      </c>
      <c r="B1905" s="16">
        <v>45616</v>
      </c>
      <c r="C1905" s="2" t="s">
        <v>829</v>
      </c>
      <c r="D1905" s="2" t="s">
        <v>38</v>
      </c>
      <c r="E1905" s="2">
        <v>352</v>
      </c>
      <c r="F1905" s="2" t="s">
        <v>102</v>
      </c>
      <c r="G1905" s="2" t="s">
        <v>285</v>
      </c>
      <c r="H1905" s="2" t="s">
        <v>35</v>
      </c>
    </row>
    <row r="1906" spans="1:8" ht="13" hidden="1">
      <c r="A1906" s="15">
        <v>45620.600720208335</v>
      </c>
      <c r="B1906" s="16">
        <v>45616</v>
      </c>
      <c r="C1906" s="2" t="s">
        <v>24</v>
      </c>
      <c r="D1906" s="2" t="s">
        <v>49</v>
      </c>
      <c r="E1906" s="2">
        <v>1100</v>
      </c>
      <c r="F1906" s="2" t="s">
        <v>100</v>
      </c>
      <c r="H1906" s="2" t="s">
        <v>35</v>
      </c>
    </row>
    <row r="1907" spans="1:8" ht="13" hidden="1">
      <c r="A1907" s="15">
        <v>45620.600990092593</v>
      </c>
      <c r="B1907" s="16">
        <v>45616</v>
      </c>
      <c r="C1907" s="2" t="s">
        <v>116</v>
      </c>
      <c r="D1907" s="2" t="s">
        <v>38</v>
      </c>
      <c r="E1907" s="2">
        <v>774</v>
      </c>
      <c r="F1907" s="2" t="s">
        <v>100</v>
      </c>
      <c r="G1907" s="2" t="s">
        <v>652</v>
      </c>
      <c r="H1907" s="2" t="s">
        <v>35</v>
      </c>
    </row>
    <row r="1908" spans="1:8" ht="13" hidden="1">
      <c r="A1908" s="15">
        <v>45620.591989768523</v>
      </c>
      <c r="B1908" s="16">
        <v>45617</v>
      </c>
      <c r="C1908" s="2" t="s">
        <v>106</v>
      </c>
      <c r="D1908" s="2" t="s">
        <v>38</v>
      </c>
      <c r="E1908" s="2">
        <v>1270</v>
      </c>
      <c r="F1908" s="2" t="s">
        <v>102</v>
      </c>
      <c r="G1908" s="2" t="s">
        <v>191</v>
      </c>
      <c r="H1908" s="2" t="s">
        <v>35</v>
      </c>
    </row>
    <row r="1909" spans="1:8" ht="13" hidden="1">
      <c r="A1909" s="15">
        <v>45620.592288969907</v>
      </c>
      <c r="B1909" s="16">
        <v>45617</v>
      </c>
      <c r="C1909" s="2" t="s">
        <v>112</v>
      </c>
      <c r="D1909" s="2" t="s">
        <v>38</v>
      </c>
      <c r="E1909" s="2">
        <v>250</v>
      </c>
      <c r="F1909" s="2" t="s">
        <v>102</v>
      </c>
      <c r="G1909" s="2" t="s">
        <v>103</v>
      </c>
      <c r="H1909" s="2" t="s">
        <v>35</v>
      </c>
    </row>
    <row r="1910" spans="1:8" ht="13" hidden="1">
      <c r="A1910" s="15">
        <v>45627.487707442131</v>
      </c>
      <c r="B1910" s="16">
        <v>45617</v>
      </c>
      <c r="C1910" s="2" t="s">
        <v>240</v>
      </c>
      <c r="D1910" s="2" t="s">
        <v>42</v>
      </c>
      <c r="E1910" s="2">
        <v>990</v>
      </c>
      <c r="F1910" s="2" t="s">
        <v>100</v>
      </c>
      <c r="H1910" s="2" t="s">
        <v>35</v>
      </c>
    </row>
    <row r="1911" spans="1:8" ht="13" hidden="1">
      <c r="A1911" s="15">
        <v>45620.59274231481</v>
      </c>
      <c r="B1911" s="16">
        <v>45618</v>
      </c>
      <c r="C1911" s="2" t="s">
        <v>112</v>
      </c>
      <c r="D1911" s="2" t="s">
        <v>38</v>
      </c>
      <c r="E1911" s="2">
        <v>140</v>
      </c>
      <c r="F1911" s="2" t="s">
        <v>102</v>
      </c>
      <c r="G1911" s="2" t="s">
        <v>356</v>
      </c>
      <c r="H1911" s="2" t="s">
        <v>35</v>
      </c>
    </row>
    <row r="1912" spans="1:8" ht="13" hidden="1">
      <c r="A1912" s="15">
        <v>45620.593033159719</v>
      </c>
      <c r="B1912" s="16">
        <v>45618</v>
      </c>
      <c r="C1912" s="2" t="s">
        <v>106</v>
      </c>
      <c r="D1912" s="2" t="s">
        <v>38</v>
      </c>
      <c r="E1912" s="2">
        <v>1800</v>
      </c>
      <c r="F1912" s="2" t="s">
        <v>102</v>
      </c>
      <c r="G1912" s="2" t="s">
        <v>329</v>
      </c>
      <c r="H1912" s="2" t="s">
        <v>35</v>
      </c>
    </row>
    <row r="1913" spans="1:8" ht="13" hidden="1">
      <c r="A1913" s="15">
        <v>45620.593309664357</v>
      </c>
      <c r="B1913" s="16">
        <v>45618</v>
      </c>
      <c r="C1913" s="2" t="s">
        <v>112</v>
      </c>
      <c r="D1913" s="2" t="s">
        <v>38</v>
      </c>
      <c r="E1913" s="2">
        <v>120</v>
      </c>
      <c r="F1913" s="2" t="s">
        <v>102</v>
      </c>
      <c r="G1913" s="2" t="s">
        <v>103</v>
      </c>
      <c r="H1913" s="2" t="s">
        <v>35</v>
      </c>
    </row>
    <row r="1914" spans="1:8" ht="13" hidden="1">
      <c r="A1914" s="15">
        <v>45620.593543634255</v>
      </c>
      <c r="B1914" s="16">
        <v>45618</v>
      </c>
      <c r="C1914" s="2" t="s">
        <v>771</v>
      </c>
      <c r="D1914" s="2" t="s">
        <v>39</v>
      </c>
      <c r="E1914" s="2">
        <v>3030</v>
      </c>
      <c r="F1914" s="2" t="s">
        <v>102</v>
      </c>
      <c r="H1914" s="2" t="s">
        <v>35</v>
      </c>
    </row>
    <row r="1915" spans="1:8" ht="13" hidden="1">
      <c r="A1915" s="15">
        <v>45620.593835358799</v>
      </c>
      <c r="B1915" s="16">
        <v>45618</v>
      </c>
      <c r="C1915" s="2" t="s">
        <v>436</v>
      </c>
      <c r="D1915" s="2" t="s">
        <v>38</v>
      </c>
      <c r="E1915" s="2">
        <v>238</v>
      </c>
      <c r="F1915" s="2" t="s">
        <v>102</v>
      </c>
      <c r="G1915" s="2" t="s">
        <v>356</v>
      </c>
      <c r="H1915" s="2" t="s">
        <v>35</v>
      </c>
    </row>
    <row r="1916" spans="1:8" ht="13" hidden="1">
      <c r="A1916" s="15">
        <v>45620.594517384263</v>
      </c>
      <c r="B1916" s="16">
        <v>45619</v>
      </c>
      <c r="C1916" s="2" t="s">
        <v>830</v>
      </c>
      <c r="D1916" s="2" t="s">
        <v>38</v>
      </c>
      <c r="E1916" s="2">
        <v>600</v>
      </c>
      <c r="F1916" s="2" t="s">
        <v>102</v>
      </c>
      <c r="G1916" s="2" t="s">
        <v>667</v>
      </c>
      <c r="H1916" s="2" t="s">
        <v>35</v>
      </c>
    </row>
    <row r="1917" spans="1:8" ht="13" hidden="1">
      <c r="A1917" s="15">
        <v>45627.488049849533</v>
      </c>
      <c r="B1917" s="16">
        <v>45619</v>
      </c>
      <c r="C1917" s="2" t="s">
        <v>350</v>
      </c>
      <c r="D1917" s="2" t="s">
        <v>40</v>
      </c>
      <c r="E1917" s="2">
        <v>1000</v>
      </c>
      <c r="F1917" s="2" t="s">
        <v>100</v>
      </c>
      <c r="H1917" s="2" t="s">
        <v>35</v>
      </c>
    </row>
    <row r="1918" spans="1:8" ht="13" hidden="1">
      <c r="A1918" s="15">
        <v>45627.48837983796</v>
      </c>
      <c r="B1918" s="16">
        <v>45619</v>
      </c>
      <c r="C1918" s="2" t="s">
        <v>353</v>
      </c>
      <c r="D1918" s="2" t="s">
        <v>44</v>
      </c>
      <c r="E1918" s="2">
        <v>17990</v>
      </c>
      <c r="F1918" s="2" t="s">
        <v>100</v>
      </c>
      <c r="G1918" s="2" t="s">
        <v>132</v>
      </c>
      <c r="H1918" s="2" t="s">
        <v>35</v>
      </c>
    </row>
    <row r="1919" spans="1:8" ht="13" hidden="1">
      <c r="A1919" s="15">
        <v>45627.488734247687</v>
      </c>
      <c r="B1919" s="16">
        <v>45619</v>
      </c>
      <c r="C1919" s="2" t="s">
        <v>116</v>
      </c>
      <c r="D1919" s="2" t="s">
        <v>38</v>
      </c>
      <c r="E1919" s="2">
        <v>1684</v>
      </c>
      <c r="F1919" s="2" t="s">
        <v>100</v>
      </c>
      <c r="G1919" s="2" t="s">
        <v>652</v>
      </c>
      <c r="H1919" s="2" t="s">
        <v>35</v>
      </c>
    </row>
    <row r="1920" spans="1:8" ht="13" hidden="1">
      <c r="A1920" s="15">
        <v>45620.684587777781</v>
      </c>
      <c r="B1920" s="16">
        <v>45620</v>
      </c>
      <c r="C1920" s="2" t="s">
        <v>45</v>
      </c>
      <c r="D1920" s="2" t="s">
        <v>45</v>
      </c>
      <c r="E1920" s="2">
        <v>3010</v>
      </c>
      <c r="F1920" s="2" t="s">
        <v>102</v>
      </c>
      <c r="G1920" s="2" t="s">
        <v>285</v>
      </c>
      <c r="H1920" s="2" t="s">
        <v>35</v>
      </c>
    </row>
    <row r="1921" spans="1:8" ht="13" hidden="1">
      <c r="A1921" s="15">
        <v>45620.601469548608</v>
      </c>
      <c r="B1921" s="16">
        <v>45621</v>
      </c>
      <c r="C1921" s="2" t="s">
        <v>530</v>
      </c>
      <c r="D1921" s="2" t="s">
        <v>47</v>
      </c>
      <c r="E1921" s="2">
        <v>30000</v>
      </c>
      <c r="F1921" s="2" t="s">
        <v>102</v>
      </c>
      <c r="H1921" s="2" t="s">
        <v>35</v>
      </c>
    </row>
    <row r="1922" spans="1:8" ht="13" hidden="1">
      <c r="A1922" s="15">
        <v>45621.408798425924</v>
      </c>
      <c r="B1922" s="16">
        <v>45621</v>
      </c>
      <c r="C1922" s="2" t="s">
        <v>831</v>
      </c>
      <c r="E1922" s="2">
        <v>340997</v>
      </c>
      <c r="H1922" s="2" t="s">
        <v>34</v>
      </c>
    </row>
    <row r="1923" spans="1:8" ht="13" hidden="1">
      <c r="A1923" s="15">
        <v>45627.481847708332</v>
      </c>
      <c r="B1923" s="16">
        <v>45621</v>
      </c>
      <c r="C1923" s="2" t="s">
        <v>106</v>
      </c>
      <c r="D1923" s="2" t="s">
        <v>38</v>
      </c>
      <c r="E1923" s="2">
        <v>920</v>
      </c>
      <c r="F1923" s="2" t="s">
        <v>102</v>
      </c>
      <c r="G1923" s="2" t="s">
        <v>191</v>
      </c>
      <c r="H1923" s="2" t="s">
        <v>35</v>
      </c>
    </row>
    <row r="1924" spans="1:8" ht="13" hidden="1">
      <c r="A1924" s="15">
        <v>45627.482266134262</v>
      </c>
      <c r="B1924" s="16">
        <v>45621</v>
      </c>
      <c r="C1924" s="2" t="s">
        <v>112</v>
      </c>
      <c r="D1924" s="2" t="s">
        <v>38</v>
      </c>
      <c r="E1924" s="2">
        <v>120</v>
      </c>
      <c r="F1924" s="2" t="s">
        <v>102</v>
      </c>
      <c r="G1924" s="2" t="s">
        <v>103</v>
      </c>
      <c r="H1924" s="2" t="s">
        <v>35</v>
      </c>
    </row>
    <row r="1925" spans="1:8" ht="13" hidden="1">
      <c r="A1925" s="15">
        <v>45620.601820011572</v>
      </c>
      <c r="B1925" s="16">
        <v>45622</v>
      </c>
      <c r="C1925" s="2" t="s">
        <v>146</v>
      </c>
      <c r="D1925" s="2" t="s">
        <v>47</v>
      </c>
      <c r="E1925" s="2">
        <v>3400</v>
      </c>
      <c r="F1925" s="2" t="s">
        <v>102</v>
      </c>
      <c r="H1925" s="2" t="s">
        <v>35</v>
      </c>
    </row>
    <row r="1926" spans="1:8" ht="13" hidden="1">
      <c r="A1926" s="15">
        <v>45627.482743865738</v>
      </c>
      <c r="B1926" s="16">
        <v>45622</v>
      </c>
      <c r="C1926" s="2" t="s">
        <v>106</v>
      </c>
      <c r="D1926" s="2" t="s">
        <v>38</v>
      </c>
      <c r="E1926" s="2">
        <v>1500</v>
      </c>
      <c r="F1926" s="2" t="s">
        <v>102</v>
      </c>
      <c r="G1926" s="2" t="s">
        <v>726</v>
      </c>
      <c r="H1926" s="2" t="s">
        <v>35</v>
      </c>
    </row>
    <row r="1927" spans="1:8" ht="13" hidden="1">
      <c r="A1927" s="15">
        <v>45627.483040289357</v>
      </c>
      <c r="B1927" s="16">
        <v>45622</v>
      </c>
      <c r="C1927" s="2" t="s">
        <v>112</v>
      </c>
      <c r="D1927" s="2" t="s">
        <v>38</v>
      </c>
      <c r="E1927" s="2">
        <v>120</v>
      </c>
      <c r="F1927" s="2" t="s">
        <v>102</v>
      </c>
      <c r="G1927" s="2" t="s">
        <v>103</v>
      </c>
      <c r="H1927" s="2" t="s">
        <v>35</v>
      </c>
    </row>
    <row r="1928" spans="1:8" ht="13" hidden="1">
      <c r="A1928" s="15">
        <v>45627.483355439814</v>
      </c>
      <c r="B1928" s="16">
        <v>45622</v>
      </c>
      <c r="C1928" s="2" t="s">
        <v>832</v>
      </c>
      <c r="D1928" s="2" t="s">
        <v>39</v>
      </c>
      <c r="E1928" s="2">
        <v>600</v>
      </c>
      <c r="F1928" s="2" t="s">
        <v>102</v>
      </c>
      <c r="H1928" s="2" t="s">
        <v>35</v>
      </c>
    </row>
    <row r="1929" spans="1:8" ht="13" hidden="1">
      <c r="A1929" s="15">
        <v>45627.489347719908</v>
      </c>
      <c r="B1929" s="16">
        <v>45622</v>
      </c>
      <c r="C1929" s="2" t="s">
        <v>833</v>
      </c>
      <c r="D1929" s="2" t="s">
        <v>38</v>
      </c>
      <c r="E1929" s="2">
        <v>1959</v>
      </c>
      <c r="F1929" s="2" t="s">
        <v>100</v>
      </c>
      <c r="G1929" s="2" t="s">
        <v>129</v>
      </c>
      <c r="H1929" s="2" t="s">
        <v>35</v>
      </c>
    </row>
    <row r="1930" spans="1:8" ht="13" hidden="1">
      <c r="A1930" s="15">
        <v>45620.602181203707</v>
      </c>
      <c r="B1930" s="16">
        <v>45623</v>
      </c>
      <c r="C1930" s="2" t="s">
        <v>9</v>
      </c>
      <c r="D1930" s="2" t="s">
        <v>47</v>
      </c>
      <c r="E1930" s="2">
        <v>13600</v>
      </c>
      <c r="F1930" s="2" t="s">
        <v>102</v>
      </c>
      <c r="H1930" s="2" t="s">
        <v>35</v>
      </c>
    </row>
    <row r="1931" spans="1:8" ht="13" hidden="1">
      <c r="A1931" s="15">
        <v>45620.602409918982</v>
      </c>
      <c r="B1931" s="16">
        <v>45623</v>
      </c>
      <c r="C1931" s="2" t="s">
        <v>17</v>
      </c>
      <c r="D1931" s="2" t="s">
        <v>45</v>
      </c>
      <c r="E1931" s="2">
        <v>8470</v>
      </c>
      <c r="F1931" s="2" t="s">
        <v>102</v>
      </c>
      <c r="H1931" s="2" t="s">
        <v>35</v>
      </c>
    </row>
    <row r="1932" spans="1:8" ht="13" hidden="1">
      <c r="A1932" s="15">
        <v>45620.602915057869</v>
      </c>
      <c r="B1932" s="16">
        <v>45623</v>
      </c>
      <c r="C1932" s="2" t="s">
        <v>408</v>
      </c>
      <c r="D1932" s="2" t="s">
        <v>152</v>
      </c>
      <c r="E1932" s="2">
        <v>10000</v>
      </c>
      <c r="F1932" s="2" t="s">
        <v>102</v>
      </c>
      <c r="H1932" s="2" t="s">
        <v>35</v>
      </c>
    </row>
    <row r="1933" spans="1:8" ht="13" hidden="1">
      <c r="A1933" s="15">
        <v>45620.60318528935</v>
      </c>
      <c r="B1933" s="16">
        <v>45623</v>
      </c>
      <c r="C1933" s="2" t="s">
        <v>363</v>
      </c>
      <c r="D1933" s="2" t="s">
        <v>5</v>
      </c>
      <c r="E1933" s="2">
        <v>93000</v>
      </c>
      <c r="F1933" s="2" t="s">
        <v>102</v>
      </c>
      <c r="H1933" s="2" t="s">
        <v>35</v>
      </c>
    </row>
    <row r="1934" spans="1:8" ht="13" hidden="1">
      <c r="A1934" s="15">
        <v>45620.603398657404</v>
      </c>
      <c r="B1934" s="16">
        <v>45623</v>
      </c>
      <c r="C1934" s="2" t="s">
        <v>133</v>
      </c>
      <c r="D1934" s="2" t="s">
        <v>47</v>
      </c>
      <c r="E1934" s="2">
        <v>20000</v>
      </c>
      <c r="F1934" s="2" t="s">
        <v>102</v>
      </c>
      <c r="H1934" s="2" t="s">
        <v>35</v>
      </c>
    </row>
    <row r="1935" spans="1:8" ht="13" hidden="1">
      <c r="A1935" s="15">
        <v>45627.483765370373</v>
      </c>
      <c r="B1935" s="16">
        <v>45623</v>
      </c>
      <c r="C1935" s="2" t="s">
        <v>286</v>
      </c>
      <c r="D1935" s="2" t="s">
        <v>38</v>
      </c>
      <c r="E1935" s="2">
        <v>320</v>
      </c>
      <c r="F1935" s="2" t="s">
        <v>102</v>
      </c>
      <c r="G1935" s="2" t="s">
        <v>103</v>
      </c>
      <c r="H1935" s="2" t="s">
        <v>35</v>
      </c>
    </row>
    <row r="1936" spans="1:8" ht="13" hidden="1">
      <c r="A1936" s="15">
        <v>45627.484850243054</v>
      </c>
      <c r="B1936" s="16">
        <v>45623</v>
      </c>
      <c r="C1936" s="2" t="s">
        <v>106</v>
      </c>
      <c r="D1936" s="2" t="s">
        <v>38</v>
      </c>
      <c r="E1936" s="2">
        <v>1100</v>
      </c>
      <c r="F1936" s="2" t="s">
        <v>102</v>
      </c>
      <c r="G1936" s="2" t="s">
        <v>322</v>
      </c>
      <c r="H1936" s="2" t="s">
        <v>35</v>
      </c>
    </row>
    <row r="1937" spans="1:8" ht="13" hidden="1">
      <c r="A1937" s="15">
        <v>45627.489639664353</v>
      </c>
      <c r="B1937" s="16">
        <v>45623</v>
      </c>
      <c r="C1937" s="2" t="s">
        <v>533</v>
      </c>
      <c r="D1937" s="2" t="s">
        <v>46</v>
      </c>
      <c r="E1937" s="2">
        <v>1265</v>
      </c>
      <c r="F1937" s="2" t="s">
        <v>100</v>
      </c>
      <c r="G1937" s="2" t="s">
        <v>129</v>
      </c>
      <c r="H1937" s="2" t="s">
        <v>35</v>
      </c>
    </row>
    <row r="1938" spans="1:8" ht="13" hidden="1">
      <c r="A1938" s="15">
        <v>45627.489928912037</v>
      </c>
      <c r="B1938" s="16">
        <v>45623</v>
      </c>
      <c r="C1938" s="2" t="s">
        <v>368</v>
      </c>
      <c r="D1938" s="2" t="s">
        <v>39</v>
      </c>
      <c r="E1938" s="2">
        <v>1180</v>
      </c>
      <c r="F1938" s="2" t="s">
        <v>100</v>
      </c>
      <c r="H1938" s="2" t="s">
        <v>35</v>
      </c>
    </row>
    <row r="1939" spans="1:8" ht="13" hidden="1">
      <c r="A1939" s="15">
        <v>45634.827817442128</v>
      </c>
      <c r="B1939" s="16">
        <v>45623</v>
      </c>
      <c r="C1939" s="2" t="s">
        <v>277</v>
      </c>
      <c r="D1939" s="2" t="s">
        <v>46</v>
      </c>
      <c r="E1939" s="2">
        <v>1265</v>
      </c>
      <c r="F1939" s="2" t="s">
        <v>100</v>
      </c>
      <c r="G1939" s="2" t="s">
        <v>129</v>
      </c>
      <c r="H1939" s="2" t="s">
        <v>35</v>
      </c>
    </row>
    <row r="1940" spans="1:8" ht="13" hidden="1">
      <c r="A1940" s="15">
        <v>45627.485094675925</v>
      </c>
      <c r="B1940" s="16">
        <v>45624</v>
      </c>
      <c r="C1940" s="2" t="s">
        <v>154</v>
      </c>
      <c r="D1940" s="2" t="s">
        <v>38</v>
      </c>
      <c r="E1940" s="2">
        <v>500</v>
      </c>
      <c r="F1940" s="2" t="s">
        <v>102</v>
      </c>
      <c r="H1940" s="2" t="s">
        <v>35</v>
      </c>
    </row>
    <row r="1941" spans="1:8" ht="13" hidden="1">
      <c r="A1941" s="15">
        <v>45634.829392847227</v>
      </c>
      <c r="B1941" s="16">
        <v>45624</v>
      </c>
      <c r="C1941" s="2" t="s">
        <v>240</v>
      </c>
      <c r="D1941" s="2" t="s">
        <v>42</v>
      </c>
      <c r="E1941" s="2">
        <v>990</v>
      </c>
      <c r="F1941" s="2" t="s">
        <v>100</v>
      </c>
      <c r="H1941" s="2" t="s">
        <v>35</v>
      </c>
    </row>
    <row r="1942" spans="1:8" ht="13" hidden="1">
      <c r="A1942" s="15">
        <v>45627.484207777779</v>
      </c>
      <c r="B1942" s="16">
        <v>45625</v>
      </c>
      <c r="C1942" s="2" t="s">
        <v>112</v>
      </c>
      <c r="D1942" s="2" t="s">
        <v>38</v>
      </c>
      <c r="E1942" s="2">
        <v>140</v>
      </c>
      <c r="F1942" s="2" t="s">
        <v>102</v>
      </c>
      <c r="G1942" s="2" t="s">
        <v>356</v>
      </c>
      <c r="H1942" s="2" t="s">
        <v>35</v>
      </c>
    </row>
    <row r="1943" spans="1:8" ht="13" hidden="1">
      <c r="A1943" s="15">
        <v>45627.485440543984</v>
      </c>
      <c r="B1943" s="16">
        <v>45625</v>
      </c>
      <c r="C1943" s="2" t="s">
        <v>106</v>
      </c>
      <c r="D1943" s="2" t="s">
        <v>38</v>
      </c>
      <c r="E1943" s="2">
        <v>1050</v>
      </c>
      <c r="F1943" s="2" t="s">
        <v>102</v>
      </c>
      <c r="G1943" s="2" t="s">
        <v>194</v>
      </c>
      <c r="H1943" s="2" t="s">
        <v>35</v>
      </c>
    </row>
    <row r="1944" spans="1:8" ht="13" hidden="1">
      <c r="A1944" s="15">
        <v>45634.829768819443</v>
      </c>
      <c r="B1944" s="16">
        <v>45625</v>
      </c>
      <c r="C1944" s="2" t="s">
        <v>350</v>
      </c>
      <c r="D1944" s="2" t="s">
        <v>40</v>
      </c>
      <c r="E1944" s="2">
        <v>1000</v>
      </c>
      <c r="F1944" s="2" t="s">
        <v>100</v>
      </c>
      <c r="H1944" s="2" t="s">
        <v>35</v>
      </c>
    </row>
    <row r="1945" spans="1:8" ht="13" hidden="1">
      <c r="A1945" s="15">
        <v>45627.485708622684</v>
      </c>
      <c r="B1945" s="16">
        <v>45626</v>
      </c>
      <c r="C1945" s="2" t="s">
        <v>360</v>
      </c>
      <c r="D1945" s="2" t="s">
        <v>39</v>
      </c>
      <c r="E1945" s="2">
        <v>700</v>
      </c>
      <c r="F1945" s="2" t="s">
        <v>102</v>
      </c>
      <c r="H1945" s="2" t="s">
        <v>35</v>
      </c>
    </row>
    <row r="1946" spans="1:8" ht="13" hidden="1">
      <c r="A1946" s="15">
        <v>45627.486105694443</v>
      </c>
      <c r="B1946" s="16">
        <v>45626</v>
      </c>
      <c r="C1946" s="2" t="s">
        <v>834</v>
      </c>
      <c r="D1946" s="2" t="s">
        <v>38</v>
      </c>
      <c r="E1946" s="2">
        <v>192</v>
      </c>
      <c r="F1946" s="2" t="s">
        <v>102</v>
      </c>
      <c r="G1946" s="2" t="s">
        <v>103</v>
      </c>
      <c r="H1946" s="2" t="s">
        <v>35</v>
      </c>
    </row>
    <row r="1947" spans="1:8" ht="13" hidden="1">
      <c r="A1947" s="15">
        <v>45634.830143171297</v>
      </c>
      <c r="B1947" s="16">
        <v>45626</v>
      </c>
      <c r="C1947" s="2" t="s">
        <v>116</v>
      </c>
      <c r="D1947" s="2" t="s">
        <v>38</v>
      </c>
      <c r="E1947" s="2">
        <v>1719</v>
      </c>
      <c r="F1947" s="2" t="s">
        <v>100</v>
      </c>
      <c r="G1947" s="2" t="s">
        <v>652</v>
      </c>
      <c r="H1947" s="2" t="s">
        <v>35</v>
      </c>
    </row>
    <row r="1948" spans="1:8" ht="13" hidden="1">
      <c r="A1948" s="15">
        <v>45634.830414606477</v>
      </c>
      <c r="B1948" s="16">
        <v>45626</v>
      </c>
      <c r="C1948" s="2" t="s">
        <v>105</v>
      </c>
      <c r="D1948" s="2" t="s">
        <v>40</v>
      </c>
      <c r="E1948" s="2">
        <v>3700</v>
      </c>
      <c r="F1948" s="2" t="s">
        <v>100</v>
      </c>
      <c r="H1948" s="2" t="s">
        <v>35</v>
      </c>
    </row>
    <row r="1949" spans="1:8" ht="13" hidden="1">
      <c r="A1949" s="15">
        <v>45627.486425509254</v>
      </c>
      <c r="B1949" s="16">
        <v>45627</v>
      </c>
      <c r="C1949" s="2" t="s">
        <v>719</v>
      </c>
      <c r="D1949" s="2" t="s">
        <v>45</v>
      </c>
      <c r="E1949" s="2">
        <v>1605</v>
      </c>
      <c r="F1949" s="2" t="s">
        <v>102</v>
      </c>
      <c r="G1949" s="2" t="s">
        <v>285</v>
      </c>
      <c r="H1949" s="2" t="s">
        <v>35</v>
      </c>
    </row>
    <row r="1950" spans="1:8" ht="13" hidden="1">
      <c r="A1950" s="15">
        <v>45634.820617164354</v>
      </c>
      <c r="B1950" s="16">
        <v>45627</v>
      </c>
      <c r="C1950" s="2" t="s">
        <v>436</v>
      </c>
      <c r="D1950" s="2" t="s">
        <v>38</v>
      </c>
      <c r="E1950" s="2">
        <v>375</v>
      </c>
      <c r="F1950" s="2" t="s">
        <v>102</v>
      </c>
      <c r="G1950" s="2" t="s">
        <v>103</v>
      </c>
      <c r="H1950" s="2" t="s">
        <v>35</v>
      </c>
    </row>
    <row r="1951" spans="1:8" ht="13" hidden="1">
      <c r="A1951" s="15">
        <v>45634.830678796294</v>
      </c>
      <c r="B1951" s="16">
        <v>45627</v>
      </c>
      <c r="C1951" s="2" t="s">
        <v>248</v>
      </c>
      <c r="D1951" s="2" t="s">
        <v>49</v>
      </c>
      <c r="E1951" s="2">
        <v>700</v>
      </c>
      <c r="F1951" s="2" t="s">
        <v>100</v>
      </c>
      <c r="G1951" s="2" t="s">
        <v>179</v>
      </c>
      <c r="H1951" s="2" t="s">
        <v>35</v>
      </c>
    </row>
    <row r="1952" spans="1:8" ht="13" hidden="1">
      <c r="A1952" s="15">
        <v>45634.831014351847</v>
      </c>
      <c r="B1952" s="16">
        <v>45627</v>
      </c>
      <c r="C1952" s="2" t="s">
        <v>721</v>
      </c>
      <c r="D1952" s="2" t="s">
        <v>49</v>
      </c>
      <c r="E1952" s="2">
        <v>2500</v>
      </c>
      <c r="F1952" s="2" t="s">
        <v>100</v>
      </c>
      <c r="H1952" s="2" t="s">
        <v>35</v>
      </c>
    </row>
    <row r="1953" spans="1:8" ht="13" hidden="1">
      <c r="A1953" s="15">
        <v>45634.831351250003</v>
      </c>
      <c r="B1953" s="16">
        <v>45627</v>
      </c>
      <c r="C1953" s="2" t="s">
        <v>10</v>
      </c>
      <c r="D1953" s="2" t="s">
        <v>45</v>
      </c>
      <c r="E1953" s="2">
        <v>280</v>
      </c>
      <c r="F1953" s="2" t="s">
        <v>100</v>
      </c>
      <c r="H1953" s="2" t="s">
        <v>35</v>
      </c>
    </row>
    <row r="1954" spans="1:8" ht="13" hidden="1">
      <c r="A1954" s="15">
        <v>45634.820914641205</v>
      </c>
      <c r="B1954" s="16">
        <v>45628</v>
      </c>
      <c r="C1954" s="2" t="s">
        <v>106</v>
      </c>
      <c r="D1954" s="2" t="s">
        <v>38</v>
      </c>
      <c r="E1954" s="2">
        <v>1200</v>
      </c>
      <c r="F1954" s="2" t="s">
        <v>102</v>
      </c>
      <c r="G1954" s="2" t="s">
        <v>329</v>
      </c>
      <c r="H1954" s="2" t="s">
        <v>35</v>
      </c>
    </row>
    <row r="1955" spans="1:8" ht="13" hidden="1">
      <c r="A1955" s="15">
        <v>45634.821223055551</v>
      </c>
      <c r="B1955" s="16">
        <v>45628</v>
      </c>
      <c r="C1955" s="2" t="s">
        <v>112</v>
      </c>
      <c r="D1955" s="2" t="s">
        <v>38</v>
      </c>
      <c r="E1955" s="2">
        <v>120</v>
      </c>
      <c r="F1955" s="2" t="s">
        <v>102</v>
      </c>
      <c r="G1955" s="2" t="s">
        <v>103</v>
      </c>
      <c r="H1955" s="2" t="s">
        <v>35</v>
      </c>
    </row>
    <row r="1956" spans="1:8" ht="13" hidden="1">
      <c r="A1956" s="15">
        <v>45634.821983958333</v>
      </c>
      <c r="B1956" s="16">
        <v>45628</v>
      </c>
      <c r="C1956" s="2" t="s">
        <v>835</v>
      </c>
      <c r="D1956" s="2" t="s">
        <v>45</v>
      </c>
      <c r="E1956" s="2">
        <v>1053</v>
      </c>
      <c r="F1956" s="2" t="s">
        <v>102</v>
      </c>
      <c r="G1956" s="2" t="s">
        <v>285</v>
      </c>
      <c r="H1956" s="2" t="s">
        <v>35</v>
      </c>
    </row>
    <row r="1957" spans="1:8" ht="13" hidden="1">
      <c r="A1957" s="15">
        <v>45634.822834120372</v>
      </c>
      <c r="B1957" s="16">
        <v>45629</v>
      </c>
      <c r="C1957" s="2" t="s">
        <v>836</v>
      </c>
      <c r="D1957" s="2" t="s">
        <v>45</v>
      </c>
      <c r="E1957" s="2">
        <v>556</v>
      </c>
      <c r="F1957" s="2" t="s">
        <v>102</v>
      </c>
      <c r="G1957" s="2" t="s">
        <v>285</v>
      </c>
      <c r="H1957" s="2" t="s">
        <v>35</v>
      </c>
    </row>
    <row r="1958" spans="1:8" ht="13" hidden="1">
      <c r="A1958" s="15">
        <v>45634.828354513884</v>
      </c>
      <c r="B1958" s="16">
        <v>45630</v>
      </c>
      <c r="C1958" s="2" t="s">
        <v>258</v>
      </c>
      <c r="E1958" s="2">
        <v>28643</v>
      </c>
      <c r="H1958" s="2" t="s">
        <v>34</v>
      </c>
    </row>
    <row r="1959" spans="1:8" ht="13" hidden="1">
      <c r="A1959" s="15">
        <v>45634.823185925925</v>
      </c>
      <c r="B1959" s="16">
        <v>45631</v>
      </c>
      <c r="C1959" s="2" t="s">
        <v>106</v>
      </c>
      <c r="D1959" s="2" t="s">
        <v>38</v>
      </c>
      <c r="E1959" s="2">
        <v>1300</v>
      </c>
      <c r="F1959" s="2" t="s">
        <v>102</v>
      </c>
      <c r="G1959" s="2" t="s">
        <v>599</v>
      </c>
      <c r="H1959" s="2" t="s">
        <v>35</v>
      </c>
    </row>
    <row r="1960" spans="1:8" ht="13" hidden="1">
      <c r="A1960" s="15">
        <v>45634.823868865744</v>
      </c>
      <c r="B1960" s="16">
        <v>45631</v>
      </c>
      <c r="C1960" s="2" t="s">
        <v>112</v>
      </c>
      <c r="D1960" s="2" t="s">
        <v>38</v>
      </c>
      <c r="E1960" s="2">
        <v>120</v>
      </c>
      <c r="F1960" s="2" t="s">
        <v>102</v>
      </c>
      <c r="G1960" s="2" t="s">
        <v>103</v>
      </c>
      <c r="H1960" s="2" t="s">
        <v>35</v>
      </c>
    </row>
    <row r="1961" spans="1:8" ht="13" hidden="1">
      <c r="A1961" s="15">
        <v>45634.831638125004</v>
      </c>
      <c r="B1961" s="16">
        <v>45631</v>
      </c>
      <c r="C1961" s="2" t="s">
        <v>509</v>
      </c>
      <c r="D1961" s="2" t="s">
        <v>39</v>
      </c>
      <c r="E1961" s="2">
        <v>950</v>
      </c>
      <c r="F1961" s="2" t="s">
        <v>100</v>
      </c>
      <c r="G1961" s="2" t="s">
        <v>837</v>
      </c>
      <c r="H1961" s="2" t="s">
        <v>35</v>
      </c>
    </row>
    <row r="1962" spans="1:8" ht="13" hidden="1">
      <c r="A1962" s="15">
        <v>45641.751683831018</v>
      </c>
      <c r="B1962" s="16">
        <v>45631</v>
      </c>
      <c r="C1962" s="2" t="s">
        <v>176</v>
      </c>
      <c r="D1962" s="2" t="s">
        <v>41</v>
      </c>
      <c r="E1962" s="2">
        <v>3269</v>
      </c>
      <c r="F1962" s="2" t="s">
        <v>100</v>
      </c>
      <c r="H1962" s="2" t="s">
        <v>35</v>
      </c>
    </row>
    <row r="1963" spans="1:8" ht="13" hidden="1">
      <c r="A1963" s="15">
        <v>45634.824229351856</v>
      </c>
      <c r="B1963" s="16">
        <v>45632</v>
      </c>
      <c r="C1963" s="2" t="s">
        <v>838</v>
      </c>
      <c r="D1963" s="2" t="s">
        <v>45</v>
      </c>
      <c r="E1963" s="2">
        <v>3019</v>
      </c>
      <c r="F1963" s="2" t="s">
        <v>102</v>
      </c>
      <c r="G1963" s="2" t="s">
        <v>285</v>
      </c>
      <c r="H1963" s="2" t="s">
        <v>35</v>
      </c>
    </row>
    <row r="1964" spans="1:8" ht="13" hidden="1">
      <c r="A1964" s="15">
        <v>45634.824623437496</v>
      </c>
      <c r="B1964" s="16">
        <v>45632</v>
      </c>
      <c r="C1964" s="2" t="s">
        <v>839</v>
      </c>
      <c r="D1964" s="2" t="s">
        <v>39</v>
      </c>
      <c r="E1964" s="2">
        <v>2650</v>
      </c>
      <c r="F1964" s="2" t="s">
        <v>102</v>
      </c>
      <c r="G1964" s="2" t="s">
        <v>840</v>
      </c>
      <c r="H1964" s="2" t="s">
        <v>35</v>
      </c>
    </row>
    <row r="1965" spans="1:8" ht="13" hidden="1">
      <c r="A1965" s="15">
        <v>45634.825698749999</v>
      </c>
      <c r="B1965" s="16">
        <v>45632</v>
      </c>
      <c r="C1965" s="2" t="s">
        <v>154</v>
      </c>
      <c r="D1965" s="2" t="s">
        <v>38</v>
      </c>
      <c r="E1965" s="2">
        <v>500</v>
      </c>
      <c r="F1965" s="2" t="s">
        <v>102</v>
      </c>
      <c r="H1965" s="2" t="s">
        <v>35</v>
      </c>
    </row>
    <row r="1966" spans="1:8" ht="13" hidden="1">
      <c r="A1966" s="15">
        <v>45641.751962986113</v>
      </c>
      <c r="B1966" s="16">
        <v>45632</v>
      </c>
      <c r="C1966" s="2" t="s">
        <v>240</v>
      </c>
      <c r="D1966" s="2" t="s">
        <v>42</v>
      </c>
      <c r="E1966" s="2">
        <v>990</v>
      </c>
      <c r="F1966" s="2" t="s">
        <v>100</v>
      </c>
      <c r="H1966" s="2" t="s">
        <v>35</v>
      </c>
    </row>
    <row r="1967" spans="1:8" ht="13" hidden="1">
      <c r="A1967" s="15">
        <v>45634.829064583333</v>
      </c>
      <c r="B1967" s="16">
        <v>45593</v>
      </c>
      <c r="C1967" s="2" t="s">
        <v>158</v>
      </c>
      <c r="D1967" s="2" t="s">
        <v>49</v>
      </c>
      <c r="E1967" s="2">
        <v>4980</v>
      </c>
      <c r="F1967" s="2" t="s">
        <v>100</v>
      </c>
      <c r="H1967" s="2" t="s">
        <v>35</v>
      </c>
    </row>
    <row r="1968" spans="1:8" ht="13" hidden="1">
      <c r="A1968" s="15">
        <v>45634.825210891198</v>
      </c>
      <c r="B1968" s="16">
        <v>45633</v>
      </c>
      <c r="C1968" s="2" t="s">
        <v>841</v>
      </c>
      <c r="D1968" s="2" t="s">
        <v>38</v>
      </c>
      <c r="E1968" s="2">
        <v>1580</v>
      </c>
      <c r="F1968" s="2" t="s">
        <v>102</v>
      </c>
      <c r="G1968" s="2" t="s">
        <v>667</v>
      </c>
      <c r="H1968" s="2" t="s">
        <v>35</v>
      </c>
    </row>
    <row r="1969" spans="1:8" ht="13" hidden="1">
      <c r="A1969" s="15">
        <v>45641.752404861109</v>
      </c>
      <c r="B1969" s="16">
        <v>45633</v>
      </c>
      <c r="C1969" s="2" t="s">
        <v>350</v>
      </c>
      <c r="D1969" s="2" t="s">
        <v>40</v>
      </c>
      <c r="E1969" s="2">
        <v>1000</v>
      </c>
      <c r="F1969" s="2" t="s">
        <v>100</v>
      </c>
      <c r="H1969" s="2" t="s">
        <v>35</v>
      </c>
    </row>
    <row r="1970" spans="1:8" ht="13" hidden="1">
      <c r="A1970" s="15">
        <v>45641.753110011574</v>
      </c>
      <c r="B1970" s="16">
        <v>45633</v>
      </c>
      <c r="C1970" s="2" t="s">
        <v>807</v>
      </c>
      <c r="D1970" s="2" t="s">
        <v>152</v>
      </c>
      <c r="E1970" s="2">
        <v>2016</v>
      </c>
      <c r="F1970" s="2" t="s">
        <v>100</v>
      </c>
      <c r="H1970" s="2" t="s">
        <v>35</v>
      </c>
    </row>
    <row r="1971" spans="1:8" ht="13" hidden="1">
      <c r="A1971" s="15">
        <v>45641.753422708338</v>
      </c>
      <c r="B1971" s="16">
        <v>45633</v>
      </c>
      <c r="C1971" s="2" t="s">
        <v>116</v>
      </c>
      <c r="D1971" s="2" t="s">
        <v>38</v>
      </c>
      <c r="E1971" s="2">
        <v>1216</v>
      </c>
      <c r="F1971" s="2" t="s">
        <v>100</v>
      </c>
      <c r="G1971" s="2" t="s">
        <v>652</v>
      </c>
      <c r="H1971" s="2" t="s">
        <v>35</v>
      </c>
    </row>
    <row r="1972" spans="1:8" ht="13" hidden="1">
      <c r="A1972" s="15">
        <v>45634.826091006944</v>
      </c>
      <c r="B1972" s="16">
        <v>45634</v>
      </c>
      <c r="C1972" s="2" t="s">
        <v>204</v>
      </c>
      <c r="D1972" s="2" t="s">
        <v>45</v>
      </c>
      <c r="E1972" s="2">
        <v>3700</v>
      </c>
      <c r="F1972" s="2" t="s">
        <v>102</v>
      </c>
      <c r="G1972" s="2" t="s">
        <v>692</v>
      </c>
      <c r="H1972" s="2" t="s">
        <v>35</v>
      </c>
    </row>
    <row r="1973" spans="1:8" ht="13" hidden="1">
      <c r="A1973" s="15">
        <v>45634.826486018515</v>
      </c>
      <c r="B1973" s="16">
        <v>45634</v>
      </c>
      <c r="C1973" s="2" t="s">
        <v>280</v>
      </c>
      <c r="D1973" s="2" t="s">
        <v>46</v>
      </c>
      <c r="E1973" s="2">
        <v>1155</v>
      </c>
      <c r="F1973" s="2" t="s">
        <v>102</v>
      </c>
      <c r="G1973" s="2" t="s">
        <v>306</v>
      </c>
      <c r="H1973" s="2" t="s">
        <v>35</v>
      </c>
    </row>
    <row r="1974" spans="1:8" ht="13" hidden="1">
      <c r="A1974" s="15">
        <v>45641.753798576392</v>
      </c>
      <c r="B1974" s="16">
        <v>45634</v>
      </c>
      <c r="C1974" s="2" t="s">
        <v>12</v>
      </c>
      <c r="D1974" s="2" t="s">
        <v>39</v>
      </c>
      <c r="E1974" s="2">
        <v>1320</v>
      </c>
      <c r="F1974" s="2" t="s">
        <v>100</v>
      </c>
      <c r="H1974" s="2" t="s">
        <v>35</v>
      </c>
    </row>
    <row r="1975" spans="1:8" ht="13" hidden="1">
      <c r="A1975" s="15">
        <v>45641.754149918983</v>
      </c>
      <c r="B1975" s="16">
        <v>45634</v>
      </c>
      <c r="C1975" s="2" t="s">
        <v>277</v>
      </c>
      <c r="D1975" s="2" t="s">
        <v>46</v>
      </c>
      <c r="E1975" s="2">
        <v>1336</v>
      </c>
      <c r="F1975" s="2" t="s">
        <v>100</v>
      </c>
      <c r="G1975" s="2" t="s">
        <v>129</v>
      </c>
      <c r="H1975" s="2" t="s">
        <v>35</v>
      </c>
    </row>
    <row r="1976" spans="1:8" ht="13" hidden="1">
      <c r="A1976" s="15">
        <v>45641.754477407405</v>
      </c>
      <c r="B1976" s="16">
        <v>45634</v>
      </c>
      <c r="C1976" s="2" t="s">
        <v>654</v>
      </c>
      <c r="D1976" s="2" t="s">
        <v>48</v>
      </c>
      <c r="E1976" s="2">
        <v>130</v>
      </c>
      <c r="F1976" s="2" t="s">
        <v>100</v>
      </c>
      <c r="H1976" s="2" t="s">
        <v>35</v>
      </c>
    </row>
    <row r="1977" spans="1:8" ht="13" hidden="1">
      <c r="A1977" s="15">
        <v>45641.754796828704</v>
      </c>
      <c r="B1977" s="16">
        <v>45634</v>
      </c>
      <c r="C1977" s="2" t="s">
        <v>116</v>
      </c>
      <c r="D1977" s="2" t="s">
        <v>38</v>
      </c>
      <c r="E1977" s="2">
        <v>1805</v>
      </c>
      <c r="F1977" s="2" t="s">
        <v>100</v>
      </c>
      <c r="G1977" s="2" t="s">
        <v>652</v>
      </c>
      <c r="H1977" s="2" t="s">
        <v>35</v>
      </c>
    </row>
    <row r="1978" spans="1:8" ht="13" hidden="1">
      <c r="A1978" s="15">
        <v>45641.743557060181</v>
      </c>
      <c r="B1978" s="16">
        <v>45635</v>
      </c>
      <c r="C1978" s="2" t="s">
        <v>436</v>
      </c>
      <c r="D1978" s="2" t="s">
        <v>38</v>
      </c>
      <c r="E1978" s="2">
        <v>180</v>
      </c>
      <c r="F1978" s="2" t="s">
        <v>102</v>
      </c>
      <c r="G1978" s="2" t="s">
        <v>356</v>
      </c>
      <c r="H1978" s="2" t="s">
        <v>35</v>
      </c>
    </row>
    <row r="1979" spans="1:8" ht="13" hidden="1">
      <c r="A1979" s="15">
        <v>45641.743773483795</v>
      </c>
      <c r="B1979" s="16">
        <v>45635</v>
      </c>
      <c r="C1979" s="2" t="s">
        <v>842</v>
      </c>
      <c r="D1979" s="2" t="s">
        <v>39</v>
      </c>
      <c r="E1979" s="2">
        <v>6000</v>
      </c>
      <c r="F1979" s="2" t="s">
        <v>102</v>
      </c>
      <c r="H1979" s="2" t="s">
        <v>35</v>
      </c>
    </row>
    <row r="1980" spans="1:8" ht="13" hidden="1">
      <c r="A1980" s="15">
        <v>45641.755066099533</v>
      </c>
      <c r="B1980" s="16">
        <v>45635</v>
      </c>
      <c r="C1980" s="2" t="s">
        <v>418</v>
      </c>
      <c r="D1980" s="2" t="s">
        <v>39</v>
      </c>
      <c r="E1980" s="2">
        <v>4779</v>
      </c>
      <c r="F1980" s="2" t="s">
        <v>100</v>
      </c>
      <c r="H1980" s="2" t="s">
        <v>35</v>
      </c>
    </row>
    <row r="1981" spans="1:8" ht="13" hidden="1">
      <c r="A1981" s="15">
        <v>45641.755311122688</v>
      </c>
      <c r="B1981" s="16">
        <v>45635</v>
      </c>
      <c r="C1981" s="2" t="s">
        <v>15</v>
      </c>
      <c r="D1981" s="2" t="s">
        <v>48</v>
      </c>
      <c r="E1981" s="2">
        <v>880</v>
      </c>
      <c r="F1981" s="2" t="s">
        <v>100</v>
      </c>
      <c r="H1981" s="2" t="s">
        <v>35</v>
      </c>
    </row>
    <row r="1982" spans="1:8" ht="13" hidden="1">
      <c r="A1982" s="15">
        <v>45641.744080335644</v>
      </c>
      <c r="B1982" s="16">
        <v>45636</v>
      </c>
      <c r="C1982" s="2" t="s">
        <v>114</v>
      </c>
      <c r="D1982" s="2" t="s">
        <v>38</v>
      </c>
      <c r="E1982" s="2">
        <v>185</v>
      </c>
      <c r="F1982" s="2" t="s">
        <v>102</v>
      </c>
      <c r="G1982" s="2" t="s">
        <v>356</v>
      </c>
      <c r="H1982" s="2" t="s">
        <v>35</v>
      </c>
    </row>
    <row r="1983" spans="1:8" ht="13" hidden="1">
      <c r="A1983" s="15">
        <v>45641.755696284723</v>
      </c>
      <c r="B1983" s="16">
        <v>45636</v>
      </c>
      <c r="C1983" s="2" t="s">
        <v>843</v>
      </c>
      <c r="D1983" s="2" t="s">
        <v>45</v>
      </c>
      <c r="E1983" s="2">
        <v>2280</v>
      </c>
      <c r="F1983" s="2" t="s">
        <v>100</v>
      </c>
      <c r="G1983" s="2" t="s">
        <v>129</v>
      </c>
      <c r="H1983" s="2" t="s">
        <v>35</v>
      </c>
    </row>
    <row r="1984" spans="1:8" ht="13" hidden="1">
      <c r="A1984" s="15">
        <v>45641.756000000001</v>
      </c>
      <c r="B1984" s="16">
        <v>45636</v>
      </c>
      <c r="C1984" s="2" t="s">
        <v>240</v>
      </c>
      <c r="D1984" s="2" t="s">
        <v>42</v>
      </c>
      <c r="E1984" s="2">
        <v>462</v>
      </c>
      <c r="F1984" s="2" t="s">
        <v>100</v>
      </c>
      <c r="H1984" s="2" t="s">
        <v>35</v>
      </c>
    </row>
    <row r="1985" spans="1:8" ht="13" hidden="1">
      <c r="A1985" s="15">
        <v>45641.744376620365</v>
      </c>
      <c r="B1985" s="16">
        <v>45637</v>
      </c>
      <c r="C1985" s="2" t="s">
        <v>844</v>
      </c>
      <c r="D1985" s="2" t="s">
        <v>38</v>
      </c>
      <c r="E1985" s="2">
        <v>160</v>
      </c>
      <c r="F1985" s="2" t="s">
        <v>102</v>
      </c>
      <c r="G1985" s="2" t="s">
        <v>103</v>
      </c>
      <c r="H1985" s="2" t="s">
        <v>35</v>
      </c>
    </row>
    <row r="1986" spans="1:8" ht="13" hidden="1">
      <c r="A1986" s="15">
        <v>45641.745111261574</v>
      </c>
      <c r="B1986" s="16">
        <v>45637</v>
      </c>
      <c r="C1986" s="2" t="s">
        <v>845</v>
      </c>
      <c r="D1986" s="2" t="s">
        <v>38</v>
      </c>
      <c r="E1986" s="2">
        <v>500</v>
      </c>
      <c r="F1986" s="2" t="s">
        <v>102</v>
      </c>
      <c r="H1986" s="2" t="s">
        <v>35</v>
      </c>
    </row>
    <row r="1987" spans="1:8" ht="13" hidden="1">
      <c r="A1987" s="15">
        <v>45641.756261469913</v>
      </c>
      <c r="B1987" s="16">
        <v>45637</v>
      </c>
      <c r="C1987" s="2" t="s">
        <v>18</v>
      </c>
      <c r="D1987" s="2" t="s">
        <v>41</v>
      </c>
      <c r="E1987" s="2">
        <v>5868</v>
      </c>
      <c r="F1987" s="2" t="s">
        <v>100</v>
      </c>
      <c r="H1987" s="2" t="s">
        <v>35</v>
      </c>
    </row>
    <row r="1988" spans="1:8" ht="13" hidden="1">
      <c r="A1988" s="15">
        <v>45641.744701157411</v>
      </c>
      <c r="B1988" s="16">
        <v>45638</v>
      </c>
      <c r="C1988" s="2" t="s">
        <v>106</v>
      </c>
      <c r="D1988" s="2" t="s">
        <v>38</v>
      </c>
      <c r="E1988" s="2">
        <v>1270</v>
      </c>
      <c r="F1988" s="2" t="s">
        <v>102</v>
      </c>
      <c r="G1988" s="2" t="s">
        <v>191</v>
      </c>
      <c r="H1988" s="2" t="s">
        <v>35</v>
      </c>
    </row>
    <row r="1989" spans="1:8" ht="13" hidden="1">
      <c r="A1989" s="15">
        <v>45641.745781192134</v>
      </c>
      <c r="B1989" s="16">
        <v>45638</v>
      </c>
      <c r="C1989" s="2" t="s">
        <v>846</v>
      </c>
      <c r="D1989" s="2" t="s">
        <v>38</v>
      </c>
      <c r="E1989" s="2">
        <v>1180</v>
      </c>
      <c r="F1989" s="2" t="s">
        <v>102</v>
      </c>
      <c r="G1989" s="2" t="s">
        <v>199</v>
      </c>
      <c r="H1989" s="2" t="s">
        <v>35</v>
      </c>
    </row>
    <row r="1990" spans="1:8" ht="13" hidden="1">
      <c r="A1990" s="15">
        <v>45641.746098194446</v>
      </c>
      <c r="B1990" s="16">
        <v>45639</v>
      </c>
      <c r="C1990" s="2" t="s">
        <v>233</v>
      </c>
      <c r="D1990" s="2" t="s">
        <v>39</v>
      </c>
      <c r="E1990" s="2">
        <v>4300</v>
      </c>
      <c r="F1990" s="2" t="s">
        <v>102</v>
      </c>
      <c r="G1990" s="2" t="s">
        <v>385</v>
      </c>
      <c r="H1990" s="2" t="s">
        <v>35</v>
      </c>
    </row>
    <row r="1991" spans="1:8" ht="13" hidden="1">
      <c r="A1991" s="15">
        <v>45651.66926761574</v>
      </c>
      <c r="B1991" s="16">
        <v>45639</v>
      </c>
      <c r="C1991" s="2" t="s">
        <v>240</v>
      </c>
      <c r="D1991" s="2" t="s">
        <v>42</v>
      </c>
      <c r="E1991" s="2">
        <v>990</v>
      </c>
      <c r="F1991" s="2" t="s">
        <v>100</v>
      </c>
      <c r="H1991" s="2" t="s">
        <v>35</v>
      </c>
    </row>
    <row r="1992" spans="1:8" ht="13" hidden="1">
      <c r="A1992" s="15">
        <v>45651.669599525463</v>
      </c>
      <c r="B1992" s="16">
        <v>45639</v>
      </c>
      <c r="C1992" s="2" t="s">
        <v>847</v>
      </c>
      <c r="D1992" s="2" t="s">
        <v>44</v>
      </c>
      <c r="E1992" s="2">
        <v>2580</v>
      </c>
      <c r="F1992" s="2" t="s">
        <v>100</v>
      </c>
      <c r="G1992" s="2" t="s">
        <v>132</v>
      </c>
      <c r="H1992" s="2" t="s">
        <v>35</v>
      </c>
    </row>
    <row r="1993" spans="1:8" ht="13" hidden="1">
      <c r="A1993" s="15">
        <v>45651.669890648147</v>
      </c>
      <c r="B1993" s="16">
        <v>45639</v>
      </c>
      <c r="C1993" s="2" t="s">
        <v>106</v>
      </c>
      <c r="D1993" s="2" t="s">
        <v>38</v>
      </c>
      <c r="E1993" s="2">
        <v>1000</v>
      </c>
      <c r="F1993" s="2" t="s">
        <v>100</v>
      </c>
      <c r="G1993" s="2" t="s">
        <v>848</v>
      </c>
      <c r="H1993" s="2" t="s">
        <v>35</v>
      </c>
    </row>
    <row r="1994" spans="1:8" ht="13" hidden="1">
      <c r="A1994" s="15">
        <v>45651.670168495373</v>
      </c>
      <c r="B1994" s="16">
        <v>45639</v>
      </c>
      <c r="C1994" s="2" t="s">
        <v>350</v>
      </c>
      <c r="D1994" s="2" t="s">
        <v>40</v>
      </c>
      <c r="E1994" s="2">
        <v>2000</v>
      </c>
      <c r="F1994" s="2" t="s">
        <v>100</v>
      </c>
      <c r="H1994" s="2" t="s">
        <v>35</v>
      </c>
    </row>
    <row r="1995" spans="1:8" ht="13" hidden="1">
      <c r="A1995" s="15">
        <v>45651.670973379631</v>
      </c>
      <c r="B1995" s="16">
        <v>45639</v>
      </c>
      <c r="C1995" s="2" t="s">
        <v>849</v>
      </c>
      <c r="D1995" s="2" t="s">
        <v>38</v>
      </c>
      <c r="E1995" s="2">
        <v>832</v>
      </c>
      <c r="F1995" s="2" t="s">
        <v>100</v>
      </c>
      <c r="H1995" s="2" t="s">
        <v>35</v>
      </c>
    </row>
    <row r="1996" spans="1:8" ht="13" hidden="1">
      <c r="A1996" s="15">
        <v>45651.671364374997</v>
      </c>
      <c r="B1996" s="16">
        <v>45639</v>
      </c>
      <c r="C1996" s="2" t="s">
        <v>418</v>
      </c>
      <c r="D1996" s="2" t="s">
        <v>39</v>
      </c>
      <c r="E1996" s="2">
        <v>8000</v>
      </c>
      <c r="F1996" s="2" t="s">
        <v>100</v>
      </c>
      <c r="H1996" s="2" t="s">
        <v>35</v>
      </c>
    </row>
    <row r="1997" spans="1:8" ht="13" hidden="1">
      <c r="A1997" s="15">
        <v>45641.746364027778</v>
      </c>
      <c r="B1997" s="16">
        <v>45640</v>
      </c>
      <c r="C1997" s="2" t="s">
        <v>110</v>
      </c>
      <c r="D1997" s="2" t="s">
        <v>38</v>
      </c>
      <c r="E1997" s="2">
        <v>390</v>
      </c>
      <c r="F1997" s="2" t="s">
        <v>102</v>
      </c>
      <c r="G1997" s="2" t="s">
        <v>593</v>
      </c>
      <c r="H1997" s="2" t="s">
        <v>35</v>
      </c>
    </row>
    <row r="1998" spans="1:8" ht="13" hidden="1">
      <c r="A1998" s="15">
        <v>45641.746669930551</v>
      </c>
      <c r="B1998" s="16">
        <v>45640</v>
      </c>
      <c r="C1998" s="2" t="s">
        <v>850</v>
      </c>
      <c r="D1998" s="2" t="s">
        <v>39</v>
      </c>
      <c r="E1998" s="2">
        <v>4700</v>
      </c>
      <c r="F1998" s="2" t="s">
        <v>102</v>
      </c>
      <c r="H1998" s="2" t="s">
        <v>35</v>
      </c>
    </row>
    <row r="1999" spans="1:8" ht="13" hidden="1">
      <c r="A1999" s="15">
        <v>45641.746917349534</v>
      </c>
      <c r="B1999" s="16">
        <v>45640</v>
      </c>
      <c r="C1999" s="2" t="s">
        <v>112</v>
      </c>
      <c r="D1999" s="2" t="s">
        <v>38</v>
      </c>
      <c r="E1999" s="2">
        <v>450</v>
      </c>
      <c r="F1999" s="2" t="s">
        <v>102</v>
      </c>
      <c r="G1999" s="2" t="s">
        <v>851</v>
      </c>
      <c r="H1999" s="2" t="s">
        <v>35</v>
      </c>
    </row>
    <row r="2000" spans="1:8" ht="13" hidden="1">
      <c r="A2000" s="15">
        <v>45641.747200127313</v>
      </c>
      <c r="B2000" s="16">
        <v>45640</v>
      </c>
      <c r="C2000" s="2" t="s">
        <v>430</v>
      </c>
      <c r="D2000" s="2" t="s">
        <v>39</v>
      </c>
      <c r="E2000" s="2">
        <v>200</v>
      </c>
      <c r="F2000" s="2" t="s">
        <v>102</v>
      </c>
      <c r="H2000" s="2" t="s">
        <v>35</v>
      </c>
    </row>
    <row r="2001" spans="1:8" ht="13" hidden="1">
      <c r="A2001" s="15">
        <v>45641.747509236113</v>
      </c>
      <c r="B2001" s="16">
        <v>45640</v>
      </c>
      <c r="C2001" s="2" t="s">
        <v>207</v>
      </c>
      <c r="D2001" s="2" t="s">
        <v>39</v>
      </c>
      <c r="E2001" s="2">
        <v>396</v>
      </c>
      <c r="F2001" s="2" t="s">
        <v>102</v>
      </c>
      <c r="H2001" s="2" t="s">
        <v>35</v>
      </c>
    </row>
    <row r="2002" spans="1:8" ht="13" hidden="1">
      <c r="A2002" s="15">
        <v>45641.747784340274</v>
      </c>
      <c r="B2002" s="16">
        <v>45640</v>
      </c>
      <c r="C2002" s="2" t="s">
        <v>852</v>
      </c>
      <c r="D2002" s="2" t="s">
        <v>39</v>
      </c>
      <c r="E2002" s="2">
        <v>8900</v>
      </c>
      <c r="F2002" s="2" t="s">
        <v>102</v>
      </c>
      <c r="H2002" s="2" t="s">
        <v>35</v>
      </c>
    </row>
    <row r="2003" spans="1:8" ht="13" hidden="1">
      <c r="A2003" s="15">
        <v>45641.748538078704</v>
      </c>
      <c r="B2003" s="16">
        <v>45640</v>
      </c>
      <c r="C2003" s="2" t="s">
        <v>294</v>
      </c>
      <c r="D2003" s="2" t="s">
        <v>39</v>
      </c>
      <c r="E2003" s="2">
        <v>600</v>
      </c>
      <c r="F2003" s="2" t="s">
        <v>102</v>
      </c>
      <c r="G2003" s="2" t="s">
        <v>853</v>
      </c>
      <c r="H2003" s="2" t="s">
        <v>35</v>
      </c>
    </row>
    <row r="2004" spans="1:8" ht="13" hidden="1">
      <c r="A2004" s="15">
        <v>45651.671730312504</v>
      </c>
      <c r="B2004" s="16">
        <v>45640</v>
      </c>
      <c r="C2004" s="2" t="s">
        <v>581</v>
      </c>
      <c r="D2004" s="2" t="s">
        <v>48</v>
      </c>
      <c r="E2004" s="2">
        <v>3144</v>
      </c>
      <c r="F2004" s="2" t="s">
        <v>100</v>
      </c>
      <c r="H2004" s="2" t="s">
        <v>35</v>
      </c>
    </row>
    <row r="2005" spans="1:8" ht="13" hidden="1">
      <c r="A2005" s="15">
        <v>45641.748217280096</v>
      </c>
      <c r="B2005" s="16">
        <v>45641</v>
      </c>
      <c r="C2005" s="2" t="s">
        <v>398</v>
      </c>
      <c r="D2005" s="2" t="s">
        <v>38</v>
      </c>
      <c r="E2005" s="2">
        <v>108</v>
      </c>
      <c r="F2005" s="2" t="s">
        <v>102</v>
      </c>
      <c r="G2005" s="2" t="s">
        <v>356</v>
      </c>
      <c r="H2005" s="2" t="s">
        <v>35</v>
      </c>
    </row>
    <row r="2006" spans="1:8" ht="13" hidden="1">
      <c r="A2006" s="15">
        <v>45641.74885340278</v>
      </c>
      <c r="B2006" s="16">
        <v>45641</v>
      </c>
      <c r="C2006" s="2" t="s">
        <v>110</v>
      </c>
      <c r="D2006" s="2" t="s">
        <v>38</v>
      </c>
      <c r="E2006" s="2">
        <v>500</v>
      </c>
      <c r="F2006" s="2" t="s">
        <v>102</v>
      </c>
      <c r="G2006" s="2" t="s">
        <v>441</v>
      </c>
      <c r="H2006" s="2" t="s">
        <v>35</v>
      </c>
    </row>
    <row r="2007" spans="1:8" ht="13" hidden="1">
      <c r="A2007" s="15">
        <v>45641.749255925926</v>
      </c>
      <c r="B2007" s="16">
        <v>45641</v>
      </c>
      <c r="C2007" s="2" t="s">
        <v>854</v>
      </c>
      <c r="D2007" s="2" t="s">
        <v>38</v>
      </c>
      <c r="E2007" s="2">
        <v>2580</v>
      </c>
      <c r="F2007" s="2" t="s">
        <v>102</v>
      </c>
      <c r="G2007" s="2" t="s">
        <v>855</v>
      </c>
      <c r="H2007" s="2" t="s">
        <v>35</v>
      </c>
    </row>
    <row r="2008" spans="1:8" ht="13" hidden="1">
      <c r="A2008" s="15">
        <v>45641.749548368054</v>
      </c>
      <c r="B2008" s="16">
        <v>45641</v>
      </c>
      <c r="C2008" s="2" t="s">
        <v>856</v>
      </c>
      <c r="D2008" s="2" t="s">
        <v>38</v>
      </c>
      <c r="E2008" s="2">
        <v>273</v>
      </c>
      <c r="F2008" s="2" t="s">
        <v>102</v>
      </c>
      <c r="G2008" s="2" t="s">
        <v>107</v>
      </c>
      <c r="H2008" s="2" t="s">
        <v>35</v>
      </c>
    </row>
    <row r="2009" spans="1:8" ht="13" hidden="1">
      <c r="A2009" s="15">
        <v>45641.749893506945</v>
      </c>
      <c r="B2009" s="16">
        <v>45641</v>
      </c>
      <c r="C2009" s="2" t="s">
        <v>857</v>
      </c>
      <c r="D2009" s="2" t="s">
        <v>38</v>
      </c>
      <c r="E2009" s="2">
        <v>897</v>
      </c>
      <c r="F2009" s="2" t="s">
        <v>102</v>
      </c>
      <c r="G2009" s="2" t="s">
        <v>285</v>
      </c>
      <c r="H2009" s="2" t="s">
        <v>35</v>
      </c>
    </row>
    <row r="2010" spans="1:8" ht="13" hidden="1">
      <c r="A2010" s="15">
        <v>45651.672944814811</v>
      </c>
      <c r="B2010" s="16">
        <v>45641</v>
      </c>
      <c r="C2010" s="2" t="s">
        <v>207</v>
      </c>
      <c r="D2010" s="2" t="s">
        <v>39</v>
      </c>
      <c r="E2010" s="2">
        <v>1080</v>
      </c>
      <c r="F2010" s="2" t="s">
        <v>100</v>
      </c>
      <c r="H2010" s="2" t="s">
        <v>35</v>
      </c>
    </row>
    <row r="2011" spans="1:8" ht="13" hidden="1">
      <c r="A2011" s="15">
        <v>45651.673655231483</v>
      </c>
      <c r="B2011" s="16">
        <v>45641</v>
      </c>
      <c r="C2011" s="2" t="s">
        <v>116</v>
      </c>
      <c r="D2011" s="2" t="s">
        <v>38</v>
      </c>
      <c r="E2011" s="2">
        <v>1775</v>
      </c>
      <c r="F2011" s="2" t="s">
        <v>100</v>
      </c>
      <c r="G2011" s="2" t="s">
        <v>652</v>
      </c>
      <c r="H2011" s="2" t="s">
        <v>35</v>
      </c>
    </row>
    <row r="2012" spans="1:8" ht="13" hidden="1">
      <c r="A2012" s="15">
        <v>45651.67390627315</v>
      </c>
      <c r="B2012" s="16">
        <v>45641</v>
      </c>
      <c r="C2012" s="2" t="s">
        <v>240</v>
      </c>
      <c r="D2012" s="2" t="s">
        <v>42</v>
      </c>
      <c r="E2012" s="2">
        <v>990</v>
      </c>
      <c r="F2012" s="2" t="s">
        <v>100</v>
      </c>
      <c r="H2012" s="2" t="s">
        <v>35</v>
      </c>
    </row>
    <row r="2013" spans="1:8" ht="13" hidden="1">
      <c r="A2013" s="15">
        <v>45651.674152997686</v>
      </c>
      <c r="B2013" s="16">
        <v>45641</v>
      </c>
      <c r="C2013" s="2" t="s">
        <v>350</v>
      </c>
      <c r="D2013" s="2" t="s">
        <v>40</v>
      </c>
      <c r="E2013" s="2">
        <v>1000</v>
      </c>
      <c r="F2013" s="2" t="s">
        <v>100</v>
      </c>
      <c r="H2013" s="2" t="s">
        <v>35</v>
      </c>
    </row>
    <row r="2014" spans="1:8" ht="13" hidden="1">
      <c r="A2014" s="15">
        <v>45651.674492210645</v>
      </c>
      <c r="B2014" s="16">
        <v>45641</v>
      </c>
      <c r="C2014" s="2" t="s">
        <v>308</v>
      </c>
      <c r="D2014" s="2" t="s">
        <v>40</v>
      </c>
      <c r="E2014" s="2">
        <v>12130</v>
      </c>
      <c r="F2014" s="2" t="s">
        <v>100</v>
      </c>
      <c r="H2014" s="2" t="s">
        <v>35</v>
      </c>
    </row>
    <row r="2015" spans="1:8" ht="13" hidden="1">
      <c r="A2015" s="15">
        <v>45651.674794953702</v>
      </c>
      <c r="B2015" s="16">
        <v>45642</v>
      </c>
      <c r="C2015" s="2" t="s">
        <v>20</v>
      </c>
      <c r="D2015" s="2" t="s">
        <v>39</v>
      </c>
      <c r="E2015" s="2">
        <v>1590</v>
      </c>
      <c r="F2015" s="2" t="s">
        <v>100</v>
      </c>
      <c r="H2015" s="2" t="s">
        <v>35</v>
      </c>
    </row>
    <row r="2016" spans="1:8" ht="13" hidden="1">
      <c r="A2016" s="15">
        <v>45651.67517934028</v>
      </c>
      <c r="B2016" s="16">
        <v>45642</v>
      </c>
      <c r="C2016" s="2" t="s">
        <v>22</v>
      </c>
      <c r="D2016" s="2" t="s">
        <v>39</v>
      </c>
      <c r="E2016" s="2">
        <v>2310</v>
      </c>
      <c r="F2016" s="2" t="s">
        <v>100</v>
      </c>
      <c r="H2016" s="2" t="s">
        <v>35</v>
      </c>
    </row>
    <row r="2017" spans="1:8" ht="13" hidden="1">
      <c r="A2017" s="15">
        <v>45651.675544502315</v>
      </c>
      <c r="B2017" s="16">
        <v>45643</v>
      </c>
      <c r="C2017" s="2" t="s">
        <v>106</v>
      </c>
      <c r="D2017" s="2" t="s">
        <v>38</v>
      </c>
      <c r="E2017" s="2">
        <v>1300</v>
      </c>
      <c r="F2017" s="2" t="s">
        <v>100</v>
      </c>
      <c r="G2017" s="2" t="s">
        <v>599</v>
      </c>
      <c r="H2017" s="2" t="s">
        <v>35</v>
      </c>
    </row>
    <row r="2018" spans="1:8" ht="13" hidden="1">
      <c r="A2018" s="15">
        <v>45651.661070312504</v>
      </c>
      <c r="B2018" s="16">
        <v>45644</v>
      </c>
      <c r="C2018" s="2" t="s">
        <v>836</v>
      </c>
      <c r="D2018" s="2" t="s">
        <v>45</v>
      </c>
      <c r="E2018" s="2">
        <v>560</v>
      </c>
      <c r="F2018" s="2" t="s">
        <v>102</v>
      </c>
      <c r="G2018" s="2" t="s">
        <v>285</v>
      </c>
      <c r="H2018" s="2" t="s">
        <v>35</v>
      </c>
    </row>
    <row r="2019" spans="1:8" ht="13" hidden="1">
      <c r="A2019" s="15">
        <v>45651.667828761572</v>
      </c>
      <c r="B2019" s="16">
        <v>45644</v>
      </c>
      <c r="C2019" s="2" t="s">
        <v>87</v>
      </c>
      <c r="E2019" s="2">
        <v>30000</v>
      </c>
      <c r="H2019" s="2" t="s">
        <v>34</v>
      </c>
    </row>
    <row r="2020" spans="1:8" ht="13" hidden="1">
      <c r="A2020" s="15">
        <v>45651.675918981477</v>
      </c>
      <c r="B2020" s="16">
        <v>45644</v>
      </c>
      <c r="C2020" s="2" t="s">
        <v>116</v>
      </c>
      <c r="D2020" s="2" t="s">
        <v>38</v>
      </c>
      <c r="E2020" s="2">
        <v>734</v>
      </c>
      <c r="F2020" s="2" t="s">
        <v>100</v>
      </c>
      <c r="G2020" s="2" t="s">
        <v>652</v>
      </c>
      <c r="H2020" s="2" t="s">
        <v>35</v>
      </c>
    </row>
    <row r="2021" spans="1:8" ht="13" hidden="1">
      <c r="A2021" s="15">
        <v>45670.574183842589</v>
      </c>
      <c r="B2021" s="16">
        <v>45644</v>
      </c>
      <c r="C2021" s="2" t="s">
        <v>26</v>
      </c>
      <c r="D2021" s="2" t="s">
        <v>41</v>
      </c>
      <c r="E2021" s="2">
        <v>7098</v>
      </c>
      <c r="F2021" s="2" t="s">
        <v>100</v>
      </c>
      <c r="H2021" s="2" t="s">
        <v>35</v>
      </c>
    </row>
    <row r="2022" spans="1:8" ht="13" hidden="1">
      <c r="A2022" s="15">
        <v>45651.661414745366</v>
      </c>
      <c r="B2022" s="16">
        <v>45645</v>
      </c>
      <c r="C2022" s="2" t="s">
        <v>812</v>
      </c>
      <c r="D2022" s="2" t="s">
        <v>45</v>
      </c>
      <c r="E2022" s="2">
        <v>2447</v>
      </c>
      <c r="F2022" s="2" t="s">
        <v>102</v>
      </c>
      <c r="G2022" s="2" t="s">
        <v>285</v>
      </c>
      <c r="H2022" s="2" t="s">
        <v>35</v>
      </c>
    </row>
    <row r="2023" spans="1:8" ht="13" hidden="1">
      <c r="A2023" s="15">
        <v>45651.661793321764</v>
      </c>
      <c r="B2023" s="16">
        <v>45645</v>
      </c>
      <c r="C2023" s="2" t="s">
        <v>114</v>
      </c>
      <c r="D2023" s="2" t="s">
        <v>38</v>
      </c>
      <c r="E2023" s="2">
        <v>140</v>
      </c>
      <c r="F2023" s="2" t="s">
        <v>102</v>
      </c>
      <c r="G2023" s="2" t="s">
        <v>356</v>
      </c>
      <c r="H2023" s="2" t="s">
        <v>35</v>
      </c>
    </row>
    <row r="2024" spans="1:8" ht="13" hidden="1">
      <c r="A2024" s="15">
        <v>45651.676357962962</v>
      </c>
      <c r="B2024" s="16">
        <v>45645</v>
      </c>
      <c r="C2024" s="2" t="s">
        <v>183</v>
      </c>
      <c r="D2024" s="2" t="s">
        <v>46</v>
      </c>
      <c r="E2024" s="2">
        <v>841</v>
      </c>
      <c r="F2024" s="2" t="s">
        <v>100</v>
      </c>
      <c r="G2024" s="2" t="s">
        <v>129</v>
      </c>
      <c r="H2024" s="2" t="s">
        <v>35</v>
      </c>
    </row>
    <row r="2025" spans="1:8" ht="13" hidden="1">
      <c r="A2025" s="15">
        <v>45651.662113541664</v>
      </c>
      <c r="B2025" s="16">
        <v>45646</v>
      </c>
      <c r="C2025" s="2" t="s">
        <v>236</v>
      </c>
      <c r="D2025" s="2" t="s">
        <v>43</v>
      </c>
      <c r="E2025" s="2">
        <v>321</v>
      </c>
      <c r="F2025" s="2" t="s">
        <v>102</v>
      </c>
      <c r="G2025" s="2" t="s">
        <v>285</v>
      </c>
      <c r="H2025" s="2" t="s">
        <v>35</v>
      </c>
    </row>
    <row r="2026" spans="1:8" ht="13" hidden="1">
      <c r="A2026" s="15">
        <v>45651.667279525464</v>
      </c>
      <c r="B2026" s="16">
        <v>45646</v>
      </c>
      <c r="C2026" s="2" t="s">
        <v>448</v>
      </c>
      <c r="D2026" s="2" t="s">
        <v>38</v>
      </c>
      <c r="E2026" s="2">
        <v>1100</v>
      </c>
      <c r="F2026" s="2" t="s">
        <v>102</v>
      </c>
      <c r="G2026" s="2" t="s">
        <v>256</v>
      </c>
      <c r="H2026" s="2" t="s">
        <v>35</v>
      </c>
    </row>
    <row r="2027" spans="1:8" ht="13" hidden="1">
      <c r="A2027" s="15">
        <v>45651.676654143521</v>
      </c>
      <c r="B2027" s="16">
        <v>45646</v>
      </c>
      <c r="C2027" s="2" t="s">
        <v>24</v>
      </c>
      <c r="D2027" s="2" t="s">
        <v>49</v>
      </c>
      <c r="E2027" s="2">
        <v>1100</v>
      </c>
      <c r="F2027" s="2" t="s">
        <v>100</v>
      </c>
      <c r="H2027" s="2" t="s">
        <v>35</v>
      </c>
    </row>
    <row r="2028" spans="1:8" ht="13" hidden="1">
      <c r="A2028" s="15">
        <v>45651.662415104161</v>
      </c>
      <c r="B2028" s="16">
        <v>45647</v>
      </c>
      <c r="C2028" s="2" t="s">
        <v>858</v>
      </c>
      <c r="D2028" s="2" t="s">
        <v>39</v>
      </c>
      <c r="E2028" s="2">
        <v>5000</v>
      </c>
      <c r="F2028" s="2" t="s">
        <v>102</v>
      </c>
      <c r="H2028" s="2" t="s">
        <v>35</v>
      </c>
    </row>
    <row r="2029" spans="1:8" ht="13" hidden="1">
      <c r="A2029" s="15">
        <v>45651.664976319444</v>
      </c>
      <c r="B2029" s="16">
        <v>45647</v>
      </c>
      <c r="C2029" s="2" t="s">
        <v>858</v>
      </c>
      <c r="D2029" s="2" t="s">
        <v>39</v>
      </c>
      <c r="E2029" s="2">
        <v>6300</v>
      </c>
      <c r="F2029" s="2" t="s">
        <v>102</v>
      </c>
      <c r="H2029" s="2" t="s">
        <v>35</v>
      </c>
    </row>
    <row r="2030" spans="1:8" ht="13" hidden="1">
      <c r="A2030" s="15">
        <v>45651.676868148148</v>
      </c>
      <c r="B2030" s="16">
        <v>45647</v>
      </c>
      <c r="C2030" s="2" t="s">
        <v>105</v>
      </c>
      <c r="D2030" s="2" t="s">
        <v>40</v>
      </c>
      <c r="E2030" s="2">
        <v>4400</v>
      </c>
      <c r="F2030" s="2" t="s">
        <v>100</v>
      </c>
      <c r="H2030" s="2" t="s">
        <v>35</v>
      </c>
    </row>
    <row r="2031" spans="1:8" ht="13" hidden="1">
      <c r="A2031" s="15">
        <v>45651.663879421292</v>
      </c>
      <c r="B2031" s="16">
        <v>45648</v>
      </c>
      <c r="C2031" s="2" t="s">
        <v>859</v>
      </c>
      <c r="D2031" s="2" t="s">
        <v>38</v>
      </c>
      <c r="E2031" s="2">
        <v>2440</v>
      </c>
      <c r="F2031" s="2" t="s">
        <v>102</v>
      </c>
      <c r="G2031" s="2" t="s">
        <v>186</v>
      </c>
      <c r="H2031" s="2" t="s">
        <v>35</v>
      </c>
    </row>
    <row r="2032" spans="1:8" ht="13" hidden="1">
      <c r="A2032" s="15">
        <v>45651.664193888893</v>
      </c>
      <c r="B2032" s="16">
        <v>45648</v>
      </c>
      <c r="C2032" s="2" t="s">
        <v>860</v>
      </c>
      <c r="D2032" s="2" t="s">
        <v>38</v>
      </c>
      <c r="E2032" s="2">
        <v>480</v>
      </c>
      <c r="F2032" s="2" t="s">
        <v>102</v>
      </c>
      <c r="G2032" s="2" t="s">
        <v>861</v>
      </c>
      <c r="H2032" s="2" t="s">
        <v>35</v>
      </c>
    </row>
    <row r="2033" spans="1:8" ht="13" hidden="1">
      <c r="A2033" s="15">
        <v>45651.664469745374</v>
      </c>
      <c r="B2033" s="16">
        <v>45648</v>
      </c>
      <c r="C2033" s="2" t="s">
        <v>830</v>
      </c>
      <c r="D2033" s="2" t="s">
        <v>38</v>
      </c>
      <c r="E2033" s="2">
        <v>650</v>
      </c>
      <c r="F2033" s="2" t="s">
        <v>102</v>
      </c>
      <c r="H2033" s="2" t="s">
        <v>35</v>
      </c>
    </row>
    <row r="2034" spans="1:8" ht="13" hidden="1">
      <c r="A2034" s="15">
        <v>45651.664726909723</v>
      </c>
      <c r="B2034" s="16">
        <v>45648</v>
      </c>
      <c r="C2034" s="2" t="s">
        <v>321</v>
      </c>
      <c r="D2034" s="2" t="s">
        <v>39</v>
      </c>
      <c r="E2034" s="2">
        <v>6500</v>
      </c>
      <c r="F2034" s="2" t="s">
        <v>102</v>
      </c>
      <c r="H2034" s="2" t="s">
        <v>35</v>
      </c>
    </row>
    <row r="2035" spans="1:8" ht="13" hidden="1">
      <c r="A2035" s="15">
        <v>45651.67715732639</v>
      </c>
      <c r="B2035" s="16">
        <v>45648</v>
      </c>
      <c r="C2035" s="2" t="s">
        <v>116</v>
      </c>
      <c r="D2035" s="2" t="s">
        <v>38</v>
      </c>
      <c r="E2035" s="2">
        <v>1982</v>
      </c>
      <c r="F2035" s="2" t="s">
        <v>100</v>
      </c>
      <c r="G2035" s="2" t="s">
        <v>652</v>
      </c>
      <c r="H2035" s="2" t="s">
        <v>35</v>
      </c>
    </row>
    <row r="2036" spans="1:8" ht="13" hidden="1">
      <c r="A2036" s="15">
        <v>45670.568687488427</v>
      </c>
      <c r="B2036" s="16">
        <v>45648</v>
      </c>
      <c r="C2036" s="2" t="s">
        <v>350</v>
      </c>
      <c r="D2036" s="2" t="s">
        <v>40</v>
      </c>
      <c r="E2036" s="2">
        <v>1000</v>
      </c>
      <c r="F2036" s="2" t="s">
        <v>100</v>
      </c>
      <c r="H2036" s="2" t="s">
        <v>35</v>
      </c>
    </row>
    <row r="2037" spans="1:8" ht="13" hidden="1">
      <c r="A2037" s="15">
        <v>45670.568988310188</v>
      </c>
      <c r="B2037" s="16">
        <v>45648</v>
      </c>
      <c r="C2037" s="2" t="s">
        <v>240</v>
      </c>
      <c r="D2037" s="2" t="s">
        <v>42</v>
      </c>
      <c r="E2037" s="2">
        <v>990</v>
      </c>
      <c r="F2037" s="2" t="s">
        <v>100</v>
      </c>
      <c r="H2037" s="2" t="s">
        <v>35</v>
      </c>
    </row>
    <row r="2038" spans="1:8" ht="13" hidden="1">
      <c r="A2038" s="15">
        <v>45651.6652525463</v>
      </c>
      <c r="B2038" s="16">
        <v>45650</v>
      </c>
      <c r="C2038" s="2" t="s">
        <v>862</v>
      </c>
      <c r="D2038" s="2" t="s">
        <v>38</v>
      </c>
      <c r="E2038" s="2">
        <v>1800</v>
      </c>
      <c r="F2038" s="2" t="s">
        <v>102</v>
      </c>
      <c r="G2038" s="2" t="s">
        <v>593</v>
      </c>
      <c r="H2038" s="2" t="s">
        <v>35</v>
      </c>
    </row>
    <row r="2039" spans="1:8" ht="13" hidden="1">
      <c r="A2039" s="15">
        <v>45651.665446377316</v>
      </c>
      <c r="B2039" s="16">
        <v>45650</v>
      </c>
      <c r="C2039" s="2" t="s">
        <v>400</v>
      </c>
      <c r="D2039" s="2" t="s">
        <v>38</v>
      </c>
      <c r="E2039" s="2">
        <v>850</v>
      </c>
      <c r="F2039" s="2" t="s">
        <v>102</v>
      </c>
      <c r="H2039" s="2" t="s">
        <v>35</v>
      </c>
    </row>
    <row r="2040" spans="1:8" ht="13" hidden="1">
      <c r="A2040" s="15">
        <v>45670.56945998843</v>
      </c>
      <c r="B2040" s="16">
        <v>45650</v>
      </c>
      <c r="C2040" s="2" t="s">
        <v>350</v>
      </c>
      <c r="D2040" s="2" t="s">
        <v>40</v>
      </c>
      <c r="E2040" s="2">
        <v>1000</v>
      </c>
      <c r="F2040" s="2" t="s">
        <v>100</v>
      </c>
      <c r="H2040" s="2" t="s">
        <v>35</v>
      </c>
    </row>
    <row r="2041" spans="1:8" ht="13" hidden="1">
      <c r="A2041" s="15">
        <v>45627.491312997685</v>
      </c>
      <c r="B2041" s="16">
        <v>45651</v>
      </c>
      <c r="C2041" s="2" t="s">
        <v>530</v>
      </c>
      <c r="D2041" s="2" t="s">
        <v>47</v>
      </c>
      <c r="E2041" s="2">
        <v>30000</v>
      </c>
      <c r="F2041" s="2" t="s">
        <v>102</v>
      </c>
      <c r="H2041" s="2" t="s">
        <v>35</v>
      </c>
    </row>
    <row r="2042" spans="1:8" ht="13" hidden="1">
      <c r="A2042" s="15">
        <v>45651.665742928242</v>
      </c>
      <c r="B2042" s="16">
        <v>45651</v>
      </c>
      <c r="C2042" s="2" t="s">
        <v>727</v>
      </c>
      <c r="D2042" s="2" t="s">
        <v>45</v>
      </c>
      <c r="E2042" s="2">
        <v>434</v>
      </c>
      <c r="F2042" s="2" t="s">
        <v>102</v>
      </c>
      <c r="G2042" s="2" t="s">
        <v>285</v>
      </c>
      <c r="H2042" s="2" t="s">
        <v>35</v>
      </c>
    </row>
    <row r="2043" spans="1:8" ht="13" hidden="1">
      <c r="A2043" s="15">
        <v>45651.668076886577</v>
      </c>
      <c r="B2043" s="16">
        <v>45651</v>
      </c>
      <c r="C2043" s="2" t="s">
        <v>403</v>
      </c>
      <c r="E2043" s="2">
        <v>356924</v>
      </c>
      <c r="H2043" s="2" t="s">
        <v>34</v>
      </c>
    </row>
    <row r="2044" spans="1:8" ht="13" hidden="1">
      <c r="A2044" s="15">
        <v>45662.699450381944</v>
      </c>
      <c r="B2044" s="16">
        <v>45651</v>
      </c>
      <c r="C2044" s="2" t="s">
        <v>674</v>
      </c>
      <c r="D2044" s="2" t="s">
        <v>39</v>
      </c>
      <c r="E2044" s="2">
        <v>4300</v>
      </c>
      <c r="F2044" s="2" t="s">
        <v>102</v>
      </c>
      <c r="H2044" s="2" t="s">
        <v>35</v>
      </c>
    </row>
    <row r="2045" spans="1:8" ht="13" hidden="1">
      <c r="A2045" s="15">
        <v>45627.491645775459</v>
      </c>
      <c r="B2045" s="16">
        <v>45652</v>
      </c>
      <c r="C2045" s="2" t="s">
        <v>146</v>
      </c>
      <c r="D2045" s="2" t="s">
        <v>47</v>
      </c>
      <c r="E2045" s="2">
        <v>3400</v>
      </c>
      <c r="F2045" s="2" t="s">
        <v>102</v>
      </c>
      <c r="H2045" s="2" t="s">
        <v>35</v>
      </c>
    </row>
    <row r="2046" spans="1:8" ht="13" hidden="1">
      <c r="A2046" s="15">
        <v>45662.699709768523</v>
      </c>
      <c r="B2046" s="16">
        <v>45652</v>
      </c>
      <c r="C2046" s="2" t="s">
        <v>114</v>
      </c>
      <c r="D2046" s="2" t="s">
        <v>38</v>
      </c>
      <c r="E2046" s="2">
        <v>138</v>
      </c>
      <c r="F2046" s="2" t="s">
        <v>102</v>
      </c>
      <c r="G2046" s="2" t="s">
        <v>356</v>
      </c>
      <c r="H2046" s="2" t="s">
        <v>35</v>
      </c>
    </row>
    <row r="2047" spans="1:8" ht="13" hidden="1">
      <c r="A2047" s="15">
        <v>45670.569926006945</v>
      </c>
      <c r="B2047" s="16">
        <v>45652</v>
      </c>
      <c r="C2047" s="2" t="s">
        <v>863</v>
      </c>
      <c r="D2047" s="2" t="s">
        <v>49</v>
      </c>
      <c r="E2047" s="2">
        <v>1850</v>
      </c>
      <c r="F2047" s="2" t="s">
        <v>100</v>
      </c>
      <c r="H2047" s="2" t="s">
        <v>35</v>
      </c>
    </row>
    <row r="2048" spans="1:8" ht="13" hidden="1">
      <c r="A2048" s="15">
        <v>45627.491985775458</v>
      </c>
      <c r="B2048" s="16">
        <v>45653</v>
      </c>
      <c r="C2048" s="2" t="s">
        <v>9</v>
      </c>
      <c r="D2048" s="2" t="s">
        <v>47</v>
      </c>
      <c r="E2048" s="2">
        <v>13600</v>
      </c>
      <c r="F2048" s="2" t="s">
        <v>102</v>
      </c>
      <c r="H2048" s="2" t="s">
        <v>35</v>
      </c>
    </row>
    <row r="2049" spans="1:8" ht="13" hidden="1">
      <c r="A2049" s="15">
        <v>45627.492273865741</v>
      </c>
      <c r="B2049" s="16">
        <v>45653</v>
      </c>
      <c r="C2049" s="2" t="s">
        <v>17</v>
      </c>
      <c r="D2049" s="2" t="s">
        <v>45</v>
      </c>
      <c r="E2049" s="2">
        <v>8470</v>
      </c>
      <c r="F2049" s="2" t="s">
        <v>102</v>
      </c>
      <c r="H2049" s="2" t="s">
        <v>35</v>
      </c>
    </row>
    <row r="2050" spans="1:8" ht="13" hidden="1">
      <c r="A2050" s="15">
        <v>45627.49254230324</v>
      </c>
      <c r="B2050" s="16">
        <v>45653</v>
      </c>
      <c r="C2050" s="2" t="s">
        <v>408</v>
      </c>
      <c r="D2050" s="2" t="s">
        <v>152</v>
      </c>
      <c r="E2050" s="2">
        <v>10000</v>
      </c>
      <c r="F2050" s="2" t="s">
        <v>102</v>
      </c>
      <c r="H2050" s="2" t="s">
        <v>35</v>
      </c>
    </row>
    <row r="2051" spans="1:8" ht="13" hidden="1">
      <c r="A2051" s="15">
        <v>45627.492818379629</v>
      </c>
      <c r="B2051" s="16">
        <v>45653</v>
      </c>
      <c r="C2051" s="2" t="s">
        <v>405</v>
      </c>
      <c r="D2051" s="2" t="s">
        <v>5</v>
      </c>
      <c r="E2051" s="2">
        <v>93000</v>
      </c>
      <c r="F2051" s="2" t="s">
        <v>102</v>
      </c>
      <c r="H2051" s="2" t="s">
        <v>35</v>
      </c>
    </row>
    <row r="2052" spans="1:8" ht="13" hidden="1">
      <c r="A2052" s="15">
        <v>45627.493066261573</v>
      </c>
      <c r="B2052" s="16">
        <v>45653</v>
      </c>
      <c r="C2052" s="2" t="s">
        <v>133</v>
      </c>
      <c r="D2052" s="2" t="s">
        <v>47</v>
      </c>
      <c r="E2052" s="2">
        <v>20000</v>
      </c>
      <c r="F2052" s="2" t="s">
        <v>102</v>
      </c>
      <c r="H2052" s="2" t="s">
        <v>35</v>
      </c>
    </row>
    <row r="2053" spans="1:8" ht="13" hidden="1">
      <c r="A2053" s="15">
        <v>45670.571123020833</v>
      </c>
      <c r="B2053" s="16">
        <v>45653</v>
      </c>
      <c r="C2053" s="2" t="s">
        <v>864</v>
      </c>
      <c r="D2053" s="2" t="s">
        <v>45</v>
      </c>
      <c r="E2053" s="2">
        <v>5138</v>
      </c>
      <c r="F2053" s="2" t="s">
        <v>100</v>
      </c>
      <c r="G2053" s="2" t="s">
        <v>129</v>
      </c>
      <c r="H2053" s="2" t="s">
        <v>35</v>
      </c>
    </row>
    <row r="2054" spans="1:8" ht="13" hidden="1">
      <c r="A2054" s="15">
        <v>45670.57191165509</v>
      </c>
      <c r="B2054" s="16">
        <v>45653</v>
      </c>
      <c r="C2054" s="2" t="s">
        <v>368</v>
      </c>
      <c r="D2054" s="2" t="s">
        <v>39</v>
      </c>
      <c r="E2054" s="2">
        <v>1180</v>
      </c>
      <c r="F2054" s="2" t="s">
        <v>100</v>
      </c>
      <c r="H2054" s="2" t="s">
        <v>35</v>
      </c>
    </row>
    <row r="2055" spans="1:8" ht="13" hidden="1">
      <c r="A2055" s="15">
        <v>45670.572384780091</v>
      </c>
      <c r="B2055" s="16">
        <v>45653</v>
      </c>
      <c r="C2055" s="2" t="s">
        <v>116</v>
      </c>
      <c r="D2055" s="2" t="s">
        <v>38</v>
      </c>
      <c r="E2055" s="2">
        <v>1323</v>
      </c>
      <c r="F2055" s="2" t="s">
        <v>100</v>
      </c>
      <c r="G2055" s="2" t="s">
        <v>652</v>
      </c>
      <c r="H2055" s="2" t="s">
        <v>35</v>
      </c>
    </row>
    <row r="2056" spans="1:8" ht="13" hidden="1">
      <c r="A2056" s="15">
        <v>45662.700019131946</v>
      </c>
      <c r="B2056" s="16">
        <v>45654</v>
      </c>
      <c r="C2056" s="2" t="s">
        <v>865</v>
      </c>
      <c r="D2056" s="2" t="s">
        <v>38</v>
      </c>
      <c r="E2056" s="2">
        <v>738</v>
      </c>
      <c r="F2056" s="2" t="s">
        <v>102</v>
      </c>
      <c r="G2056" s="2" t="s">
        <v>866</v>
      </c>
      <c r="H2056" s="2" t="s">
        <v>35</v>
      </c>
    </row>
    <row r="2057" spans="1:8" ht="13" hidden="1">
      <c r="A2057" s="15">
        <v>45670.5744524537</v>
      </c>
      <c r="B2057" s="16">
        <v>45654</v>
      </c>
      <c r="C2057" s="2" t="s">
        <v>158</v>
      </c>
      <c r="D2057" s="2" t="s">
        <v>49</v>
      </c>
      <c r="E2057" s="2">
        <v>4980</v>
      </c>
      <c r="F2057" s="2" t="s">
        <v>100</v>
      </c>
      <c r="H2057" s="2" t="s">
        <v>35</v>
      </c>
    </row>
    <row r="2058" spans="1:8" ht="13" hidden="1">
      <c r="A2058" s="15">
        <v>45670.574912951386</v>
      </c>
      <c r="B2058" s="16">
        <v>45654</v>
      </c>
      <c r="C2058" s="2" t="s">
        <v>116</v>
      </c>
      <c r="D2058" s="2" t="s">
        <v>38</v>
      </c>
      <c r="E2058" s="2">
        <v>1274</v>
      </c>
      <c r="F2058" s="2" t="s">
        <v>100</v>
      </c>
      <c r="G2058" s="2" t="s">
        <v>652</v>
      </c>
      <c r="H2058" s="2" t="s">
        <v>35</v>
      </c>
    </row>
    <row r="2059" spans="1:8" ht="13" hidden="1">
      <c r="A2059" s="15">
        <v>45670.57539662037</v>
      </c>
      <c r="B2059" s="16">
        <v>45654</v>
      </c>
      <c r="C2059" s="2" t="s">
        <v>867</v>
      </c>
      <c r="D2059" s="2" t="s">
        <v>45</v>
      </c>
      <c r="E2059" s="2">
        <v>2835</v>
      </c>
      <c r="F2059" s="2" t="s">
        <v>100</v>
      </c>
      <c r="G2059" s="2" t="s">
        <v>129</v>
      </c>
      <c r="H2059" s="2" t="s">
        <v>35</v>
      </c>
    </row>
    <row r="2060" spans="1:8" ht="13" hidden="1">
      <c r="A2060" s="15">
        <v>45655.960868900467</v>
      </c>
      <c r="B2060" s="16">
        <v>45655</v>
      </c>
      <c r="C2060" s="2" t="s">
        <v>868</v>
      </c>
      <c r="E2060" s="2">
        <v>2120</v>
      </c>
      <c r="H2060" s="2" t="s">
        <v>34</v>
      </c>
    </row>
    <row r="2061" spans="1:8" ht="13" hidden="1">
      <c r="A2061" s="15">
        <v>45662.700315624999</v>
      </c>
      <c r="B2061" s="16">
        <v>45655</v>
      </c>
      <c r="C2061" s="2" t="s">
        <v>280</v>
      </c>
      <c r="D2061" s="2" t="s">
        <v>46</v>
      </c>
      <c r="E2061" s="2">
        <v>1375</v>
      </c>
      <c r="F2061" s="2" t="s">
        <v>102</v>
      </c>
      <c r="G2061" s="2" t="s">
        <v>306</v>
      </c>
      <c r="H2061" s="2" t="s">
        <v>35</v>
      </c>
    </row>
    <row r="2062" spans="1:8" ht="13" hidden="1">
      <c r="A2062" s="15">
        <v>45662.700637650458</v>
      </c>
      <c r="B2062" s="16">
        <v>45655</v>
      </c>
      <c r="C2062" s="2" t="s">
        <v>682</v>
      </c>
      <c r="D2062" s="2" t="s">
        <v>45</v>
      </c>
      <c r="E2062" s="2">
        <v>678</v>
      </c>
      <c r="F2062" s="2" t="s">
        <v>102</v>
      </c>
      <c r="G2062" s="2" t="s">
        <v>285</v>
      </c>
      <c r="H2062" s="2" t="s">
        <v>35</v>
      </c>
    </row>
    <row r="2063" spans="1:8" ht="13" hidden="1">
      <c r="A2063" s="15">
        <v>45662.700903599536</v>
      </c>
      <c r="B2063" s="16">
        <v>45655</v>
      </c>
      <c r="C2063" s="2" t="s">
        <v>869</v>
      </c>
      <c r="D2063" s="2" t="s">
        <v>45</v>
      </c>
      <c r="E2063" s="2">
        <v>220</v>
      </c>
      <c r="F2063" s="2" t="s">
        <v>102</v>
      </c>
      <c r="G2063" s="2" t="s">
        <v>136</v>
      </c>
      <c r="H2063" s="2" t="s">
        <v>35</v>
      </c>
    </row>
    <row r="2064" spans="1:8" ht="13" hidden="1">
      <c r="A2064" s="15">
        <v>45662.701263368057</v>
      </c>
      <c r="B2064" s="16">
        <v>45656</v>
      </c>
      <c r="C2064" s="2" t="s">
        <v>163</v>
      </c>
      <c r="D2064" s="2" t="s">
        <v>38</v>
      </c>
      <c r="E2064" s="2">
        <v>1960</v>
      </c>
      <c r="F2064" s="2" t="s">
        <v>102</v>
      </c>
      <c r="G2064" s="2" t="s">
        <v>164</v>
      </c>
      <c r="H2064" s="2" t="s">
        <v>35</v>
      </c>
    </row>
    <row r="2065" spans="1:8" ht="13" hidden="1">
      <c r="A2065" s="15">
        <v>45662.701589826393</v>
      </c>
      <c r="B2065" s="16">
        <v>45656</v>
      </c>
      <c r="C2065" s="2" t="s">
        <v>870</v>
      </c>
      <c r="D2065" s="2" t="s">
        <v>38</v>
      </c>
      <c r="E2065" s="2">
        <v>418</v>
      </c>
      <c r="F2065" s="2" t="s">
        <v>102</v>
      </c>
      <c r="G2065" s="2" t="s">
        <v>356</v>
      </c>
      <c r="H2065" s="2" t="s">
        <v>35</v>
      </c>
    </row>
    <row r="2066" spans="1:8" ht="13" hidden="1">
      <c r="A2066" s="15">
        <v>45670.575699004628</v>
      </c>
      <c r="B2066" s="16">
        <v>45656</v>
      </c>
      <c r="C2066" s="2" t="s">
        <v>247</v>
      </c>
      <c r="D2066" s="2" t="s">
        <v>39</v>
      </c>
      <c r="E2066" s="2">
        <v>8360</v>
      </c>
      <c r="F2066" s="2" t="s">
        <v>100</v>
      </c>
      <c r="H2066" s="2" t="s">
        <v>35</v>
      </c>
    </row>
    <row r="2067" spans="1:8" ht="13" hidden="1">
      <c r="A2067" s="15">
        <v>45670.575996481479</v>
      </c>
      <c r="B2067" s="16">
        <v>45656</v>
      </c>
      <c r="C2067" s="2" t="s">
        <v>116</v>
      </c>
      <c r="D2067" s="2" t="s">
        <v>38</v>
      </c>
      <c r="E2067" s="2">
        <v>1474</v>
      </c>
      <c r="F2067" s="2" t="s">
        <v>100</v>
      </c>
      <c r="G2067" s="2" t="s">
        <v>116</v>
      </c>
      <c r="H2067" s="2" t="s">
        <v>35</v>
      </c>
    </row>
    <row r="2068" spans="1:8" ht="13" hidden="1">
      <c r="A2068" s="15">
        <v>45670.57631971065</v>
      </c>
      <c r="B2068" s="16">
        <v>45656</v>
      </c>
      <c r="C2068" s="2" t="s">
        <v>871</v>
      </c>
      <c r="D2068" s="2" t="s">
        <v>46</v>
      </c>
      <c r="E2068" s="2">
        <v>2600</v>
      </c>
      <c r="F2068" s="2" t="s">
        <v>100</v>
      </c>
      <c r="G2068" s="2" t="s">
        <v>129</v>
      </c>
      <c r="H2068" s="2" t="s">
        <v>35</v>
      </c>
    </row>
    <row r="2069" spans="1:8" ht="13" hidden="1">
      <c r="A2069" s="15">
        <v>45662.702018553246</v>
      </c>
      <c r="B2069" s="16">
        <v>45657</v>
      </c>
      <c r="C2069" s="2" t="s">
        <v>872</v>
      </c>
      <c r="D2069" s="2" t="s">
        <v>39</v>
      </c>
      <c r="E2069" s="2">
        <v>2090</v>
      </c>
      <c r="F2069" s="2" t="s">
        <v>102</v>
      </c>
      <c r="G2069" s="2" t="s">
        <v>873</v>
      </c>
      <c r="H2069" s="2" t="s">
        <v>35</v>
      </c>
    </row>
    <row r="2070" spans="1:8" ht="13" hidden="1">
      <c r="A2070" s="15">
        <v>45662.702302905091</v>
      </c>
      <c r="B2070" s="16">
        <v>45657</v>
      </c>
      <c r="C2070" s="2" t="s">
        <v>112</v>
      </c>
      <c r="D2070" s="2" t="s">
        <v>39</v>
      </c>
      <c r="E2070" s="2">
        <v>1200</v>
      </c>
      <c r="F2070" s="2" t="s">
        <v>102</v>
      </c>
      <c r="G2070" s="2" t="s">
        <v>874</v>
      </c>
      <c r="H2070" s="2" t="s">
        <v>35</v>
      </c>
    </row>
    <row r="2071" spans="1:8" ht="13" hidden="1">
      <c r="A2071" s="15">
        <v>45662.702612118053</v>
      </c>
      <c r="B2071" s="16">
        <v>45657</v>
      </c>
      <c r="C2071" s="2" t="s">
        <v>875</v>
      </c>
      <c r="D2071" s="2" t="s">
        <v>38</v>
      </c>
      <c r="E2071" s="2">
        <v>2765</v>
      </c>
      <c r="F2071" s="2" t="s">
        <v>102</v>
      </c>
      <c r="G2071" s="2" t="s">
        <v>332</v>
      </c>
      <c r="H2071" s="2" t="s">
        <v>35</v>
      </c>
    </row>
    <row r="2072" spans="1:8" ht="13" hidden="1">
      <c r="A2072" s="15">
        <v>45662.703122037041</v>
      </c>
      <c r="B2072" s="16">
        <v>45657</v>
      </c>
      <c r="C2072" s="2" t="s">
        <v>876</v>
      </c>
      <c r="D2072" s="2" t="s">
        <v>45</v>
      </c>
      <c r="E2072" s="2">
        <v>110</v>
      </c>
      <c r="F2072" s="2" t="s">
        <v>102</v>
      </c>
      <c r="G2072" s="2" t="s">
        <v>136</v>
      </c>
      <c r="H2072" s="2" t="s">
        <v>35</v>
      </c>
    </row>
    <row r="2073" spans="1:8" ht="13" hidden="1">
      <c r="A2073" s="15">
        <v>45662.703418182871</v>
      </c>
      <c r="B2073" s="16">
        <v>45657</v>
      </c>
      <c r="C2073" s="2" t="s">
        <v>877</v>
      </c>
      <c r="D2073" s="2" t="s">
        <v>38</v>
      </c>
      <c r="E2073" s="2">
        <v>764</v>
      </c>
      <c r="F2073" s="2" t="s">
        <v>102</v>
      </c>
      <c r="G2073" s="2" t="s">
        <v>356</v>
      </c>
      <c r="H2073" s="2" t="s">
        <v>35</v>
      </c>
    </row>
    <row r="2074" spans="1:8" ht="13" hidden="1">
      <c r="A2074" s="15">
        <v>45670.576576412037</v>
      </c>
      <c r="B2074" s="16">
        <v>45657</v>
      </c>
      <c r="C2074" s="2" t="s">
        <v>240</v>
      </c>
      <c r="D2074" s="2" t="s">
        <v>42</v>
      </c>
      <c r="E2074" s="2">
        <v>990</v>
      </c>
      <c r="F2074" s="2" t="s">
        <v>100</v>
      </c>
      <c r="H2074" s="2" t="s">
        <v>35</v>
      </c>
    </row>
    <row r="2075" spans="1:8" ht="13" hidden="1">
      <c r="A2075" s="15">
        <v>45670.576914594909</v>
      </c>
      <c r="B2075" s="16">
        <v>45657</v>
      </c>
      <c r="C2075" s="2" t="s">
        <v>277</v>
      </c>
      <c r="D2075" s="2" t="s">
        <v>46</v>
      </c>
      <c r="E2075" s="2">
        <v>385</v>
      </c>
      <c r="F2075" s="2" t="s">
        <v>100</v>
      </c>
      <c r="G2075" s="2" t="s">
        <v>129</v>
      </c>
      <c r="H2075" s="2" t="s">
        <v>35</v>
      </c>
    </row>
    <row r="2076" spans="1:8" ht="13" hidden="1">
      <c r="A2076" s="15">
        <v>45662.70368579861</v>
      </c>
      <c r="B2076" s="16">
        <v>45658</v>
      </c>
      <c r="C2076" s="2" t="s">
        <v>878</v>
      </c>
      <c r="D2076" s="2" t="s">
        <v>38</v>
      </c>
      <c r="E2076" s="2">
        <v>265</v>
      </c>
      <c r="F2076" s="2" t="s">
        <v>102</v>
      </c>
      <c r="G2076" s="2" t="s">
        <v>107</v>
      </c>
      <c r="H2076" s="2" t="s">
        <v>35</v>
      </c>
    </row>
    <row r="2077" spans="1:8" ht="13" hidden="1">
      <c r="A2077" s="15">
        <v>45662.703977962963</v>
      </c>
      <c r="B2077" s="16">
        <v>45658</v>
      </c>
      <c r="C2077" s="2" t="s">
        <v>879</v>
      </c>
      <c r="D2077" s="2" t="s">
        <v>38</v>
      </c>
      <c r="E2077" s="2">
        <v>780</v>
      </c>
      <c r="F2077" s="2" t="s">
        <v>102</v>
      </c>
      <c r="G2077" s="2" t="s">
        <v>880</v>
      </c>
      <c r="H2077" s="2" t="s">
        <v>35</v>
      </c>
    </row>
    <row r="2078" spans="1:8" ht="13" hidden="1">
      <c r="A2078" s="15">
        <v>45662.70422349537</v>
      </c>
      <c r="B2078" s="16">
        <v>45658</v>
      </c>
      <c r="C2078" s="2" t="s">
        <v>881</v>
      </c>
      <c r="D2078" s="2" t="s">
        <v>38</v>
      </c>
      <c r="E2078" s="2">
        <v>2740</v>
      </c>
      <c r="F2078" s="2" t="s">
        <v>102</v>
      </c>
      <c r="H2078" s="2" t="s">
        <v>35</v>
      </c>
    </row>
    <row r="2079" spans="1:8" ht="13" hidden="1">
      <c r="A2079" s="15">
        <v>45670.577167974538</v>
      </c>
      <c r="B2079" s="16">
        <v>45658</v>
      </c>
      <c r="C2079" s="2" t="s">
        <v>240</v>
      </c>
      <c r="D2079" s="2" t="s">
        <v>42</v>
      </c>
      <c r="E2079" s="2">
        <v>330</v>
      </c>
      <c r="F2079" s="2" t="s">
        <v>100</v>
      </c>
      <c r="H2079" s="2" t="s">
        <v>35</v>
      </c>
    </row>
    <row r="2080" spans="1:8" ht="13" hidden="1">
      <c r="A2080" s="15">
        <v>45670.577486192131</v>
      </c>
      <c r="B2080" s="16">
        <v>45658</v>
      </c>
      <c r="C2080" s="2" t="s">
        <v>248</v>
      </c>
      <c r="D2080" s="2" t="s">
        <v>49</v>
      </c>
      <c r="E2080" s="2">
        <v>700</v>
      </c>
      <c r="F2080" s="2" t="s">
        <v>100</v>
      </c>
      <c r="G2080" s="2" t="s">
        <v>179</v>
      </c>
      <c r="H2080" s="2" t="s">
        <v>35</v>
      </c>
    </row>
    <row r="2081" spans="1:8" ht="13" hidden="1">
      <c r="A2081" s="15">
        <v>45670.57775809028</v>
      </c>
      <c r="B2081" s="16">
        <v>45658</v>
      </c>
      <c r="C2081" s="2" t="s">
        <v>721</v>
      </c>
      <c r="D2081" s="2" t="s">
        <v>49</v>
      </c>
      <c r="E2081" s="2">
        <v>2500</v>
      </c>
      <c r="F2081" s="2" t="s">
        <v>100</v>
      </c>
      <c r="H2081" s="2" t="s">
        <v>35</v>
      </c>
    </row>
    <row r="2082" spans="1:8" ht="13" hidden="1">
      <c r="A2082" s="15">
        <v>45670.578083333334</v>
      </c>
      <c r="B2082" s="16">
        <v>45658</v>
      </c>
      <c r="C2082" s="2" t="s">
        <v>10</v>
      </c>
      <c r="D2082" s="2" t="s">
        <v>45</v>
      </c>
      <c r="E2082" s="2">
        <v>280</v>
      </c>
      <c r="F2082" s="2" t="s">
        <v>100</v>
      </c>
      <c r="H2082" s="2" t="s">
        <v>35</v>
      </c>
    </row>
    <row r="2083" spans="1:8" ht="13" hidden="1">
      <c r="A2083" s="15">
        <v>45670.578382407402</v>
      </c>
      <c r="B2083" s="16">
        <v>45658</v>
      </c>
      <c r="C2083" s="2" t="s">
        <v>350</v>
      </c>
      <c r="D2083" s="2" t="s">
        <v>40</v>
      </c>
      <c r="E2083" s="2">
        <v>1000</v>
      </c>
      <c r="F2083" s="2" t="s">
        <v>100</v>
      </c>
      <c r="H2083" s="2" t="s">
        <v>35</v>
      </c>
    </row>
    <row r="2084" spans="1:8" ht="13" hidden="1">
      <c r="A2084" s="15">
        <v>45670.580133784722</v>
      </c>
      <c r="B2084" s="16">
        <v>45664</v>
      </c>
      <c r="C2084" s="2" t="s">
        <v>882</v>
      </c>
      <c r="D2084" s="2" t="s">
        <v>45</v>
      </c>
      <c r="E2084" s="2">
        <v>82920</v>
      </c>
      <c r="F2084" s="2" t="s">
        <v>100</v>
      </c>
      <c r="H2084" s="2" t="s">
        <v>35</v>
      </c>
    </row>
    <row r="2085" spans="1:8" ht="13" hidden="1">
      <c r="A2085" s="15">
        <v>45662.70449103009</v>
      </c>
      <c r="B2085" s="16">
        <v>45660</v>
      </c>
      <c r="C2085" s="2" t="s">
        <v>112</v>
      </c>
      <c r="D2085" s="2" t="s">
        <v>38</v>
      </c>
      <c r="E2085" s="2">
        <v>200</v>
      </c>
      <c r="F2085" s="2" t="s">
        <v>102</v>
      </c>
      <c r="G2085" s="2" t="s">
        <v>107</v>
      </c>
      <c r="H2085" s="2" t="s">
        <v>35</v>
      </c>
    </row>
    <row r="2086" spans="1:8" ht="13" hidden="1">
      <c r="A2086" s="15">
        <v>45662.736094537038</v>
      </c>
      <c r="B2086" s="16">
        <v>45660</v>
      </c>
      <c r="C2086" s="2" t="s">
        <v>294</v>
      </c>
      <c r="D2086" s="2" t="s">
        <v>38</v>
      </c>
      <c r="E2086" s="2">
        <v>900</v>
      </c>
      <c r="F2086" s="2" t="s">
        <v>102</v>
      </c>
      <c r="G2086" s="2" t="s">
        <v>883</v>
      </c>
      <c r="H2086" s="2" t="s">
        <v>35</v>
      </c>
    </row>
    <row r="2087" spans="1:8" ht="13" hidden="1">
      <c r="A2087" s="15">
        <v>45662.704811493051</v>
      </c>
      <c r="B2087" s="16">
        <v>45661</v>
      </c>
      <c r="C2087" s="2" t="s">
        <v>884</v>
      </c>
      <c r="D2087" s="2" t="s">
        <v>38</v>
      </c>
      <c r="E2087" s="2">
        <v>235</v>
      </c>
      <c r="F2087" s="2" t="s">
        <v>102</v>
      </c>
      <c r="G2087" s="2" t="s">
        <v>107</v>
      </c>
      <c r="H2087" s="2" t="s">
        <v>35</v>
      </c>
    </row>
    <row r="2088" spans="1:8" ht="13" hidden="1">
      <c r="A2088" s="15">
        <v>45662.705060243054</v>
      </c>
      <c r="B2088" s="16">
        <v>45661</v>
      </c>
      <c r="C2088" s="2" t="s">
        <v>885</v>
      </c>
      <c r="D2088" s="2" t="s">
        <v>152</v>
      </c>
      <c r="E2088" s="2">
        <v>210</v>
      </c>
      <c r="F2088" s="2" t="s">
        <v>102</v>
      </c>
      <c r="H2088" s="2" t="s">
        <v>35</v>
      </c>
    </row>
    <row r="2089" spans="1:8" ht="13" hidden="1">
      <c r="A2089" s="15">
        <v>45662.735151863424</v>
      </c>
      <c r="B2089" s="16">
        <v>45661</v>
      </c>
      <c r="C2089" s="2" t="s">
        <v>400</v>
      </c>
      <c r="D2089" s="2" t="s">
        <v>38</v>
      </c>
      <c r="E2089" s="2">
        <v>1133</v>
      </c>
      <c r="F2089" s="2" t="s">
        <v>102</v>
      </c>
      <c r="G2089" s="2" t="s">
        <v>886</v>
      </c>
      <c r="H2089" s="2" t="s">
        <v>35</v>
      </c>
    </row>
    <row r="2090" spans="1:8" ht="13" hidden="1">
      <c r="A2090" s="15">
        <v>45662.705312569444</v>
      </c>
      <c r="B2090" s="16">
        <v>45662</v>
      </c>
      <c r="C2090" s="2" t="s">
        <v>114</v>
      </c>
      <c r="D2090" s="2" t="s">
        <v>38</v>
      </c>
      <c r="E2090" s="2">
        <v>805</v>
      </c>
      <c r="F2090" s="2" t="s">
        <v>102</v>
      </c>
      <c r="G2090" s="2" t="s">
        <v>887</v>
      </c>
      <c r="H2090" s="2" t="s">
        <v>35</v>
      </c>
    </row>
    <row r="2091" spans="1:8" ht="13" hidden="1">
      <c r="A2091" s="15">
        <v>45662.735435532406</v>
      </c>
      <c r="B2091" s="16">
        <v>45662</v>
      </c>
      <c r="C2091" s="2" t="s">
        <v>106</v>
      </c>
      <c r="D2091" s="2" t="s">
        <v>38</v>
      </c>
      <c r="E2091" s="2">
        <v>1150</v>
      </c>
      <c r="F2091" s="2" t="s">
        <v>102</v>
      </c>
      <c r="G2091" s="2" t="s">
        <v>888</v>
      </c>
      <c r="H2091" s="2" t="s">
        <v>35</v>
      </c>
    </row>
    <row r="2092" spans="1:8" ht="13" hidden="1">
      <c r="A2092" s="15">
        <v>45662.735709606481</v>
      </c>
      <c r="B2092" s="16">
        <v>45662</v>
      </c>
      <c r="C2092" s="2" t="s">
        <v>286</v>
      </c>
      <c r="D2092" s="2" t="s">
        <v>38</v>
      </c>
      <c r="E2092" s="2">
        <v>356</v>
      </c>
      <c r="F2092" s="2" t="s">
        <v>102</v>
      </c>
      <c r="G2092" s="2" t="s">
        <v>107</v>
      </c>
      <c r="H2092" s="2" t="s">
        <v>35</v>
      </c>
    </row>
    <row r="2093" spans="1:8" ht="13" hidden="1">
      <c r="A2093" s="15">
        <v>45670.579224560184</v>
      </c>
      <c r="B2093" s="16">
        <v>45662</v>
      </c>
      <c r="C2093" s="2" t="s">
        <v>247</v>
      </c>
      <c r="D2093" s="2" t="s">
        <v>39</v>
      </c>
      <c r="E2093" s="2">
        <v>1100</v>
      </c>
      <c r="F2093" s="2" t="s">
        <v>100</v>
      </c>
      <c r="H2093" s="2" t="s">
        <v>35</v>
      </c>
    </row>
    <row r="2094" spans="1:8" ht="13" hidden="1">
      <c r="A2094" s="15">
        <v>45663.632258240745</v>
      </c>
      <c r="B2094" s="16">
        <v>45663</v>
      </c>
      <c r="C2094" s="2" t="s">
        <v>889</v>
      </c>
      <c r="D2094" s="2" t="s">
        <v>152</v>
      </c>
      <c r="E2094" s="2">
        <v>3000</v>
      </c>
      <c r="F2094" s="2" t="s">
        <v>102</v>
      </c>
      <c r="H2094" s="2" t="s">
        <v>35</v>
      </c>
    </row>
    <row r="2095" spans="1:8" ht="13" hidden="1">
      <c r="A2095" s="15">
        <v>45670.563458356482</v>
      </c>
      <c r="B2095" s="16">
        <v>45663</v>
      </c>
      <c r="C2095" s="2" t="s">
        <v>890</v>
      </c>
      <c r="D2095" s="2" t="s">
        <v>38</v>
      </c>
      <c r="E2095" s="2">
        <v>719</v>
      </c>
      <c r="F2095" s="2" t="s">
        <v>102</v>
      </c>
      <c r="G2095" s="2" t="s">
        <v>107</v>
      </c>
      <c r="H2095" s="2" t="s">
        <v>35</v>
      </c>
    </row>
    <row r="2096" spans="1:8" ht="13" hidden="1">
      <c r="A2096" s="15">
        <v>45670.563771747686</v>
      </c>
      <c r="B2096" s="16">
        <v>45663</v>
      </c>
      <c r="C2096" s="2" t="s">
        <v>878</v>
      </c>
      <c r="D2096" s="2" t="s">
        <v>38</v>
      </c>
      <c r="E2096" s="2">
        <v>248</v>
      </c>
      <c r="F2096" s="2" t="s">
        <v>102</v>
      </c>
      <c r="G2096" s="2" t="s">
        <v>356</v>
      </c>
      <c r="H2096" s="2" t="s">
        <v>35</v>
      </c>
    </row>
    <row r="2097" spans="1:8" ht="13" hidden="1">
      <c r="A2097" s="15">
        <v>45670.579522835644</v>
      </c>
      <c r="B2097" s="16">
        <v>45663</v>
      </c>
      <c r="C2097" s="2" t="s">
        <v>240</v>
      </c>
      <c r="D2097" s="2" t="s">
        <v>42</v>
      </c>
      <c r="E2097" s="2">
        <v>990</v>
      </c>
      <c r="F2097" s="2" t="s">
        <v>100</v>
      </c>
      <c r="H2097" s="2" t="s">
        <v>35</v>
      </c>
    </row>
    <row r="2098" spans="1:8" ht="13" hidden="1">
      <c r="A2098" s="15">
        <v>45670.564115763889</v>
      </c>
      <c r="B2098" s="16">
        <v>45664</v>
      </c>
      <c r="C2098" s="2" t="s">
        <v>891</v>
      </c>
      <c r="D2098" s="2" t="s">
        <v>39</v>
      </c>
      <c r="E2098" s="2">
        <v>600</v>
      </c>
      <c r="F2098" s="2" t="s">
        <v>102</v>
      </c>
      <c r="H2098" s="2" t="s">
        <v>35</v>
      </c>
    </row>
    <row r="2099" spans="1:8" ht="13" hidden="1">
      <c r="A2099" s="15">
        <v>45844.96068423611</v>
      </c>
      <c r="B2099" s="16">
        <v>45811</v>
      </c>
      <c r="C2099" s="2" t="s">
        <v>413</v>
      </c>
      <c r="D2099" s="2" t="s">
        <v>45</v>
      </c>
      <c r="E2099" s="2">
        <v>14900</v>
      </c>
      <c r="F2099" s="2" t="s">
        <v>100</v>
      </c>
      <c r="G2099" s="2" t="s">
        <v>129</v>
      </c>
      <c r="H2099" s="2" t="s">
        <v>35</v>
      </c>
    </row>
    <row r="2100" spans="1:8" ht="13" hidden="1">
      <c r="A2100" s="15">
        <v>45746.73769480324</v>
      </c>
      <c r="B2100" s="16">
        <v>45742</v>
      </c>
      <c r="C2100" s="2" t="s">
        <v>613</v>
      </c>
      <c r="D2100" s="2" t="s">
        <v>45</v>
      </c>
      <c r="E2100" s="2">
        <v>11884</v>
      </c>
      <c r="F2100" s="2" t="s">
        <v>100</v>
      </c>
      <c r="G2100" s="2" t="s">
        <v>129</v>
      </c>
      <c r="H2100" s="2" t="s">
        <v>35</v>
      </c>
    </row>
    <row r="2101" spans="1:8" ht="13" hidden="1">
      <c r="A2101" s="15">
        <v>45670.580426562505</v>
      </c>
      <c r="B2101" s="16">
        <v>45664</v>
      </c>
      <c r="C2101" s="2" t="s">
        <v>350</v>
      </c>
      <c r="D2101" s="2" t="s">
        <v>40</v>
      </c>
      <c r="E2101" s="2">
        <v>1000</v>
      </c>
      <c r="F2101" s="2" t="s">
        <v>100</v>
      </c>
      <c r="H2101" s="2" t="s">
        <v>35</v>
      </c>
    </row>
    <row r="2102" spans="1:8" ht="13" hidden="1">
      <c r="A2102" s="15">
        <v>45670.57983638889</v>
      </c>
      <c r="B2102" s="16">
        <v>45664</v>
      </c>
      <c r="C2102" s="2" t="s">
        <v>892</v>
      </c>
      <c r="D2102" s="2" t="s">
        <v>45</v>
      </c>
      <c r="E2102" s="2">
        <v>10000</v>
      </c>
      <c r="F2102" s="2" t="s">
        <v>100</v>
      </c>
      <c r="G2102" s="2" t="s">
        <v>129</v>
      </c>
      <c r="H2102" s="2" t="s">
        <v>35</v>
      </c>
    </row>
    <row r="2103" spans="1:8" ht="13" hidden="1">
      <c r="A2103" s="15">
        <v>45670.580728229164</v>
      </c>
      <c r="B2103" s="16">
        <v>45665</v>
      </c>
      <c r="C2103" s="2" t="s">
        <v>654</v>
      </c>
      <c r="D2103" s="2" t="s">
        <v>42</v>
      </c>
      <c r="E2103" s="2">
        <v>150</v>
      </c>
      <c r="F2103" s="2" t="s">
        <v>100</v>
      </c>
      <c r="H2103" s="2" t="s">
        <v>35</v>
      </c>
    </row>
    <row r="2104" spans="1:8" ht="13" hidden="1">
      <c r="A2104" s="15">
        <v>45670.5809878125</v>
      </c>
      <c r="B2104" s="16">
        <v>45665</v>
      </c>
      <c r="C2104" s="2" t="s">
        <v>116</v>
      </c>
      <c r="D2104" s="2" t="s">
        <v>38</v>
      </c>
      <c r="E2104" s="2">
        <v>1179</v>
      </c>
      <c r="F2104" s="2" t="s">
        <v>100</v>
      </c>
      <c r="G2104" s="2" t="s">
        <v>652</v>
      </c>
      <c r="H2104" s="2" t="s">
        <v>35</v>
      </c>
    </row>
    <row r="2105" spans="1:8" ht="13" hidden="1">
      <c r="A2105" s="15">
        <v>45670.584162812505</v>
      </c>
      <c r="B2105" s="16">
        <v>45665</v>
      </c>
      <c r="C2105" s="2" t="s">
        <v>258</v>
      </c>
      <c r="E2105" s="2">
        <v>11396</v>
      </c>
      <c r="H2105" s="2" t="s">
        <v>34</v>
      </c>
    </row>
    <row r="2106" spans="1:8" ht="13" hidden="1">
      <c r="A2106" s="15">
        <v>45670.564841574072</v>
      </c>
      <c r="B2106" s="16">
        <v>45666</v>
      </c>
      <c r="C2106" s="2" t="s">
        <v>106</v>
      </c>
      <c r="D2106" s="2" t="s">
        <v>38</v>
      </c>
      <c r="E2106" s="2">
        <v>1000</v>
      </c>
      <c r="F2106" s="2" t="s">
        <v>102</v>
      </c>
      <c r="G2106" s="2" t="s">
        <v>194</v>
      </c>
      <c r="H2106" s="2" t="s">
        <v>35</v>
      </c>
    </row>
    <row r="2107" spans="1:8" ht="13" hidden="1">
      <c r="A2107" s="15">
        <v>45670.581319803241</v>
      </c>
      <c r="B2107" s="16">
        <v>45666</v>
      </c>
      <c r="C2107" s="2" t="s">
        <v>893</v>
      </c>
      <c r="D2107" s="2" t="s">
        <v>38</v>
      </c>
      <c r="E2107" s="2">
        <v>537</v>
      </c>
      <c r="F2107" s="2" t="s">
        <v>100</v>
      </c>
      <c r="G2107" s="2" t="s">
        <v>652</v>
      </c>
      <c r="H2107" s="2" t="s">
        <v>35</v>
      </c>
    </row>
    <row r="2108" spans="1:8" ht="13" hidden="1">
      <c r="A2108" s="15">
        <v>45670.581611307869</v>
      </c>
      <c r="B2108" s="16">
        <v>45666</v>
      </c>
      <c r="C2108" s="2" t="s">
        <v>15</v>
      </c>
      <c r="D2108" s="2" t="s">
        <v>48</v>
      </c>
      <c r="E2108" s="2">
        <v>880</v>
      </c>
      <c r="F2108" s="2" t="s">
        <v>100</v>
      </c>
      <c r="H2108" s="2" t="s">
        <v>35</v>
      </c>
    </row>
    <row r="2109" spans="1:8" ht="13" hidden="1">
      <c r="A2109" s="15">
        <v>45676.429654270833</v>
      </c>
      <c r="B2109" s="16">
        <v>45667</v>
      </c>
      <c r="C2109" s="2" t="s">
        <v>240</v>
      </c>
      <c r="D2109" s="2" t="s">
        <v>42</v>
      </c>
      <c r="E2109" s="2">
        <v>88</v>
      </c>
      <c r="F2109" s="2" t="s">
        <v>100</v>
      </c>
      <c r="H2109" s="2" t="s">
        <v>35</v>
      </c>
    </row>
    <row r="2110" spans="1:8" ht="13" hidden="1">
      <c r="A2110" s="15">
        <v>45676.430061956024</v>
      </c>
      <c r="B2110" s="16">
        <v>45667</v>
      </c>
      <c r="C2110" s="2" t="s">
        <v>116</v>
      </c>
      <c r="D2110" s="2" t="s">
        <v>38</v>
      </c>
      <c r="E2110" s="2">
        <v>2055</v>
      </c>
      <c r="F2110" s="2" t="s">
        <v>100</v>
      </c>
      <c r="G2110" s="2" t="s">
        <v>652</v>
      </c>
      <c r="H2110" s="2" t="s">
        <v>35</v>
      </c>
    </row>
    <row r="2111" spans="1:8" ht="13" hidden="1">
      <c r="A2111" s="15">
        <v>45803.827304050923</v>
      </c>
      <c r="B2111" s="16">
        <v>45788</v>
      </c>
      <c r="C2111" s="2" t="s">
        <v>894</v>
      </c>
      <c r="D2111" s="2" t="s">
        <v>45</v>
      </c>
      <c r="E2111" s="2">
        <v>9405</v>
      </c>
      <c r="F2111" s="2" t="s">
        <v>100</v>
      </c>
      <c r="H2111" s="2" t="s">
        <v>35</v>
      </c>
    </row>
    <row r="2112" spans="1:8" ht="13" hidden="1">
      <c r="A2112" s="15">
        <v>45670.565547407408</v>
      </c>
      <c r="B2112" s="16">
        <v>45668</v>
      </c>
      <c r="C2112" s="2" t="s">
        <v>116</v>
      </c>
      <c r="D2112" s="2" t="s">
        <v>38</v>
      </c>
      <c r="E2112" s="2">
        <v>855</v>
      </c>
      <c r="F2112" s="2" t="s">
        <v>102</v>
      </c>
      <c r="G2112" s="2" t="s">
        <v>661</v>
      </c>
      <c r="H2112" s="2" t="s">
        <v>35</v>
      </c>
    </row>
    <row r="2113" spans="1:8" ht="13" hidden="1">
      <c r="A2113" s="15">
        <v>45670.581971782405</v>
      </c>
      <c r="B2113" s="16">
        <v>45668</v>
      </c>
      <c r="C2113" s="2" t="s">
        <v>18</v>
      </c>
      <c r="D2113" s="2" t="s">
        <v>41</v>
      </c>
      <c r="E2113" s="2">
        <v>5868</v>
      </c>
      <c r="F2113" s="2" t="s">
        <v>100</v>
      </c>
      <c r="H2113" s="2" t="s">
        <v>35</v>
      </c>
    </row>
    <row r="2114" spans="1:8" ht="13" hidden="1">
      <c r="A2114" s="15">
        <v>45676.430551435187</v>
      </c>
      <c r="B2114" s="16">
        <v>45668</v>
      </c>
      <c r="C2114" s="2" t="s">
        <v>499</v>
      </c>
      <c r="D2114" s="2" t="s">
        <v>38</v>
      </c>
      <c r="E2114" s="2">
        <v>3591</v>
      </c>
      <c r="F2114" s="2" t="s">
        <v>100</v>
      </c>
      <c r="G2114" s="2" t="s">
        <v>129</v>
      </c>
      <c r="H2114" s="2" t="s">
        <v>35</v>
      </c>
    </row>
    <row r="2115" spans="1:8" ht="13" hidden="1">
      <c r="A2115" s="15">
        <v>45676.431033703702</v>
      </c>
      <c r="B2115" s="16">
        <v>45668</v>
      </c>
      <c r="C2115" s="2" t="s">
        <v>116</v>
      </c>
      <c r="D2115" s="2" t="s">
        <v>38</v>
      </c>
      <c r="E2115" s="2">
        <v>827</v>
      </c>
      <c r="F2115" s="2" t="s">
        <v>100</v>
      </c>
      <c r="G2115" s="2" t="s">
        <v>652</v>
      </c>
      <c r="H2115" s="2" t="s">
        <v>35</v>
      </c>
    </row>
    <row r="2116" spans="1:8" ht="13" hidden="1">
      <c r="A2116" s="15">
        <v>45670.565866701392</v>
      </c>
      <c r="B2116" s="16">
        <v>45669</v>
      </c>
      <c r="C2116" s="2" t="s">
        <v>112</v>
      </c>
      <c r="D2116" s="2" t="s">
        <v>38</v>
      </c>
      <c r="E2116" s="2">
        <v>700</v>
      </c>
      <c r="F2116" s="2" t="s">
        <v>102</v>
      </c>
      <c r="G2116" s="2" t="s">
        <v>186</v>
      </c>
      <c r="H2116" s="2" t="s">
        <v>35</v>
      </c>
    </row>
    <row r="2117" spans="1:8" ht="13" hidden="1">
      <c r="A2117" s="15">
        <v>45683.618448530091</v>
      </c>
      <c r="B2117" s="16">
        <v>45684</v>
      </c>
      <c r="C2117" s="2" t="s">
        <v>17</v>
      </c>
      <c r="D2117" s="2" t="s">
        <v>45</v>
      </c>
      <c r="E2117" s="2">
        <v>8470</v>
      </c>
      <c r="F2117" s="2" t="s">
        <v>102</v>
      </c>
      <c r="H2117" s="2" t="s">
        <v>35</v>
      </c>
    </row>
    <row r="2118" spans="1:8" ht="13" hidden="1">
      <c r="A2118" s="15">
        <v>45670.566490081022</v>
      </c>
      <c r="B2118" s="16">
        <v>45669</v>
      </c>
      <c r="C2118" s="2" t="s">
        <v>895</v>
      </c>
      <c r="D2118" s="2" t="s">
        <v>39</v>
      </c>
      <c r="E2118" s="2">
        <v>7500</v>
      </c>
      <c r="F2118" s="2" t="s">
        <v>102</v>
      </c>
      <c r="H2118" s="2" t="s">
        <v>35</v>
      </c>
    </row>
    <row r="2119" spans="1:8" ht="13" hidden="1">
      <c r="A2119" s="15">
        <v>45731.585643576385</v>
      </c>
      <c r="B2119" s="16">
        <v>45715</v>
      </c>
      <c r="C2119" s="2" t="s">
        <v>17</v>
      </c>
      <c r="D2119" s="2" t="s">
        <v>45</v>
      </c>
      <c r="E2119" s="2">
        <v>8470</v>
      </c>
      <c r="F2119" s="2" t="s">
        <v>102</v>
      </c>
      <c r="H2119" s="2" t="s">
        <v>35</v>
      </c>
    </row>
    <row r="2120" spans="1:8" ht="13" hidden="1">
      <c r="A2120" s="15">
        <v>45746.74002271991</v>
      </c>
      <c r="B2120" s="16">
        <v>45743</v>
      </c>
      <c r="C2120" s="2" t="s">
        <v>17</v>
      </c>
      <c r="D2120" s="2" t="s">
        <v>45</v>
      </c>
      <c r="E2120" s="2">
        <v>8470</v>
      </c>
      <c r="F2120" s="2" t="s">
        <v>102</v>
      </c>
      <c r="H2120" s="2" t="s">
        <v>35</v>
      </c>
    </row>
    <row r="2121" spans="1:8" ht="13" hidden="1">
      <c r="A2121" s="15">
        <v>45676.432190798616</v>
      </c>
      <c r="B2121" s="16">
        <v>45669</v>
      </c>
      <c r="C2121" s="2" t="s">
        <v>350</v>
      </c>
      <c r="D2121" s="2" t="s">
        <v>40</v>
      </c>
      <c r="E2121" s="2">
        <v>1000</v>
      </c>
      <c r="F2121" s="2" t="s">
        <v>100</v>
      </c>
      <c r="H2121" s="2" t="s">
        <v>35</v>
      </c>
    </row>
    <row r="2122" spans="1:8" ht="13" hidden="1">
      <c r="A2122" s="15">
        <v>45766.713695648148</v>
      </c>
      <c r="B2122" s="16">
        <v>45775</v>
      </c>
      <c r="C2122" s="2" t="s">
        <v>17</v>
      </c>
      <c r="D2122" s="2" t="s">
        <v>45</v>
      </c>
      <c r="E2122" s="2">
        <v>8470</v>
      </c>
      <c r="F2122" s="2" t="s">
        <v>102</v>
      </c>
      <c r="H2122" s="2" t="s">
        <v>35</v>
      </c>
    </row>
    <row r="2123" spans="1:8" ht="13" hidden="1">
      <c r="A2123" s="15">
        <v>45803.863791400465</v>
      </c>
      <c r="B2123" s="16">
        <v>45797</v>
      </c>
      <c r="C2123" s="2" t="s">
        <v>17</v>
      </c>
      <c r="D2123" s="2" t="s">
        <v>45</v>
      </c>
      <c r="E2123" s="2">
        <v>8140</v>
      </c>
      <c r="F2123" s="2" t="s">
        <v>100</v>
      </c>
      <c r="H2123" s="2" t="s">
        <v>35</v>
      </c>
    </row>
    <row r="2124" spans="1:8" ht="13" hidden="1">
      <c r="A2124" s="15">
        <v>45676.432889363423</v>
      </c>
      <c r="B2124" s="16">
        <v>45670</v>
      </c>
      <c r="C2124" s="2" t="s">
        <v>116</v>
      </c>
      <c r="D2124" s="2" t="s">
        <v>38</v>
      </c>
      <c r="E2124" s="2">
        <v>1698</v>
      </c>
      <c r="F2124" s="2" t="s">
        <v>100</v>
      </c>
      <c r="G2124" s="2" t="s">
        <v>652</v>
      </c>
      <c r="H2124" s="2" t="s">
        <v>35</v>
      </c>
    </row>
    <row r="2125" spans="1:8" ht="13" hidden="1">
      <c r="A2125" s="15">
        <v>45676.42617997685</v>
      </c>
      <c r="B2125" s="16">
        <v>45671</v>
      </c>
      <c r="C2125" s="2" t="s">
        <v>896</v>
      </c>
      <c r="D2125" s="2" t="s">
        <v>39</v>
      </c>
      <c r="E2125" s="2">
        <v>9190</v>
      </c>
      <c r="F2125" s="2" t="s">
        <v>102</v>
      </c>
      <c r="H2125" s="2" t="s">
        <v>35</v>
      </c>
    </row>
    <row r="2126" spans="1:8" ht="13" hidden="1">
      <c r="A2126" s="15">
        <v>45676.426366446758</v>
      </c>
      <c r="B2126" s="16">
        <v>45671</v>
      </c>
      <c r="C2126" s="2" t="s">
        <v>897</v>
      </c>
      <c r="E2126" s="2">
        <v>4000</v>
      </c>
      <c r="H2126" s="2" t="s">
        <v>34</v>
      </c>
    </row>
    <row r="2127" spans="1:8" ht="13" hidden="1">
      <c r="A2127" s="15">
        <v>45676.433195266203</v>
      </c>
      <c r="B2127" s="16">
        <v>45671</v>
      </c>
      <c r="C2127" s="2" t="s">
        <v>240</v>
      </c>
      <c r="D2127" s="2" t="s">
        <v>42</v>
      </c>
      <c r="E2127" s="2">
        <v>990</v>
      </c>
      <c r="F2127" s="2" t="s">
        <v>100</v>
      </c>
      <c r="H2127" s="2" t="s">
        <v>35</v>
      </c>
    </row>
    <row r="2128" spans="1:8" ht="13" hidden="1">
      <c r="A2128" s="15">
        <v>45676.433481342596</v>
      </c>
      <c r="B2128" s="16">
        <v>45671</v>
      </c>
      <c r="C2128" s="2" t="s">
        <v>662</v>
      </c>
      <c r="D2128" s="2" t="s">
        <v>48</v>
      </c>
      <c r="E2128" s="2">
        <v>3552</v>
      </c>
      <c r="F2128" s="2" t="s">
        <v>100</v>
      </c>
      <c r="H2128" s="2" t="s">
        <v>35</v>
      </c>
    </row>
    <row r="2129" spans="1:8" ht="13" hidden="1">
      <c r="A2129" s="15">
        <v>45676.426764490738</v>
      </c>
      <c r="B2129" s="16">
        <v>45673</v>
      </c>
      <c r="C2129" s="2" t="s">
        <v>112</v>
      </c>
      <c r="D2129" s="2" t="s">
        <v>38</v>
      </c>
      <c r="E2129" s="2">
        <v>120</v>
      </c>
      <c r="F2129" s="2" t="s">
        <v>102</v>
      </c>
      <c r="G2129" s="2" t="s">
        <v>103</v>
      </c>
      <c r="H2129" s="2" t="s">
        <v>35</v>
      </c>
    </row>
    <row r="2130" spans="1:8" ht="13" hidden="1">
      <c r="A2130" s="15">
        <v>45676.433730405093</v>
      </c>
      <c r="B2130" s="16">
        <v>45673</v>
      </c>
      <c r="C2130" s="2" t="s">
        <v>20</v>
      </c>
      <c r="D2130" s="2" t="s">
        <v>39</v>
      </c>
      <c r="E2130" s="2">
        <v>1590</v>
      </c>
      <c r="F2130" s="2" t="s">
        <v>100</v>
      </c>
      <c r="H2130" s="2" t="s">
        <v>35</v>
      </c>
    </row>
    <row r="2131" spans="1:8" ht="13" hidden="1">
      <c r="A2131" s="15">
        <v>45683.613849247689</v>
      </c>
      <c r="B2131" s="16">
        <v>45673</v>
      </c>
      <c r="C2131" s="2" t="s">
        <v>308</v>
      </c>
      <c r="D2131" s="2" t="s">
        <v>40</v>
      </c>
      <c r="E2131" s="2">
        <v>12130</v>
      </c>
      <c r="F2131" s="2" t="s">
        <v>100</v>
      </c>
      <c r="H2131" s="2" t="s">
        <v>35</v>
      </c>
    </row>
    <row r="2132" spans="1:8" ht="13" hidden="1">
      <c r="A2132" s="15">
        <v>45676.427778518519</v>
      </c>
      <c r="B2132" s="16">
        <v>45674</v>
      </c>
      <c r="C2132" s="2" t="s">
        <v>706</v>
      </c>
      <c r="D2132" s="2" t="s">
        <v>39</v>
      </c>
      <c r="E2132" s="2">
        <v>3000</v>
      </c>
      <c r="F2132" s="2" t="s">
        <v>102</v>
      </c>
      <c r="H2132" s="2" t="s">
        <v>35</v>
      </c>
    </row>
    <row r="2133" spans="1:8" ht="13" hidden="1">
      <c r="A2133" s="15">
        <v>45676.433960173614</v>
      </c>
      <c r="B2133" s="16">
        <v>45674</v>
      </c>
      <c r="C2133" s="2" t="s">
        <v>368</v>
      </c>
      <c r="D2133" s="2" t="s">
        <v>39</v>
      </c>
      <c r="E2133" s="2">
        <v>1180</v>
      </c>
      <c r="F2133" s="2" t="s">
        <v>100</v>
      </c>
      <c r="H2133" s="2" t="s">
        <v>35</v>
      </c>
    </row>
    <row r="2134" spans="1:8" ht="13" hidden="1">
      <c r="A2134" s="15">
        <v>45845.893507534725</v>
      </c>
      <c r="B2134" s="16">
        <v>45828</v>
      </c>
      <c r="C2134" s="2" t="s">
        <v>142</v>
      </c>
      <c r="D2134" s="2" t="s">
        <v>45</v>
      </c>
      <c r="E2134" s="2">
        <v>8140</v>
      </c>
      <c r="F2134" s="2" t="s">
        <v>100</v>
      </c>
      <c r="H2134" s="2" t="s">
        <v>35</v>
      </c>
    </row>
    <row r="2135" spans="1:8" ht="13" hidden="1">
      <c r="A2135" s="15">
        <v>45676.427510868059</v>
      </c>
      <c r="B2135" s="16">
        <v>45675</v>
      </c>
      <c r="C2135" s="2" t="s">
        <v>898</v>
      </c>
      <c r="D2135" s="2" t="s">
        <v>38</v>
      </c>
      <c r="E2135" s="2">
        <v>278</v>
      </c>
      <c r="F2135" s="2" t="s">
        <v>102</v>
      </c>
      <c r="G2135" s="2" t="s">
        <v>356</v>
      </c>
      <c r="H2135" s="2" t="s">
        <v>35</v>
      </c>
    </row>
    <row r="2136" spans="1:8" ht="13" hidden="1">
      <c r="A2136" s="15">
        <v>45676.428028981478</v>
      </c>
      <c r="B2136" s="16">
        <v>45675</v>
      </c>
      <c r="C2136" s="2" t="s">
        <v>899</v>
      </c>
      <c r="D2136" s="2" t="s">
        <v>39</v>
      </c>
      <c r="E2136" s="2">
        <v>800</v>
      </c>
      <c r="F2136" s="2" t="s">
        <v>102</v>
      </c>
      <c r="H2136" s="2" t="s">
        <v>35</v>
      </c>
    </row>
    <row r="2137" spans="1:8" ht="13" hidden="1">
      <c r="A2137" s="15">
        <v>45676.428270625001</v>
      </c>
      <c r="B2137" s="16">
        <v>45675</v>
      </c>
      <c r="C2137" s="2" t="s">
        <v>900</v>
      </c>
      <c r="D2137" s="2" t="s">
        <v>39</v>
      </c>
      <c r="E2137" s="2">
        <v>5000</v>
      </c>
      <c r="F2137" s="2" t="s">
        <v>102</v>
      </c>
      <c r="H2137" s="2" t="s">
        <v>35</v>
      </c>
    </row>
    <row r="2138" spans="1:8" ht="13" hidden="1">
      <c r="A2138" s="15">
        <v>45676.428670300927</v>
      </c>
      <c r="B2138" s="16">
        <v>45675</v>
      </c>
      <c r="C2138" s="2" t="s">
        <v>87</v>
      </c>
      <c r="E2138" s="2">
        <v>30000</v>
      </c>
      <c r="H2138" s="2" t="s">
        <v>34</v>
      </c>
    </row>
    <row r="2139" spans="1:8" ht="13" hidden="1">
      <c r="A2139" s="15">
        <v>45683.614128773144</v>
      </c>
      <c r="B2139" s="16">
        <v>45675</v>
      </c>
      <c r="C2139" s="2" t="s">
        <v>247</v>
      </c>
      <c r="D2139" s="2" t="s">
        <v>39</v>
      </c>
      <c r="E2139" s="2">
        <v>1100</v>
      </c>
      <c r="F2139" s="2" t="s">
        <v>100</v>
      </c>
      <c r="H2139" s="2" t="s">
        <v>35</v>
      </c>
    </row>
    <row r="2140" spans="1:8" ht="13" hidden="1">
      <c r="A2140" s="15">
        <v>45683.614596203704</v>
      </c>
      <c r="B2140" s="16">
        <v>45675</v>
      </c>
      <c r="C2140" s="2" t="s">
        <v>116</v>
      </c>
      <c r="D2140" s="2" t="s">
        <v>38</v>
      </c>
      <c r="E2140" s="2">
        <v>734</v>
      </c>
      <c r="F2140" s="2" t="s">
        <v>102</v>
      </c>
      <c r="G2140" s="2" t="s">
        <v>652</v>
      </c>
      <c r="H2140" s="2" t="s">
        <v>35</v>
      </c>
    </row>
    <row r="2141" spans="1:8" ht="13" hidden="1">
      <c r="A2141" s="15">
        <v>45683.614946921298</v>
      </c>
      <c r="B2141" s="16">
        <v>45675</v>
      </c>
      <c r="C2141" s="2" t="s">
        <v>371</v>
      </c>
      <c r="D2141" s="2" t="s">
        <v>39</v>
      </c>
      <c r="E2141" s="2">
        <v>2310</v>
      </c>
      <c r="F2141" s="2" t="s">
        <v>100</v>
      </c>
      <c r="H2141" s="2" t="s">
        <v>35</v>
      </c>
    </row>
    <row r="2142" spans="1:8" ht="13" hidden="1">
      <c r="A2142" s="15">
        <v>45683.615350034721</v>
      </c>
      <c r="B2142" s="16">
        <v>45676</v>
      </c>
      <c r="C2142" s="2" t="s">
        <v>116</v>
      </c>
      <c r="D2142" s="2" t="s">
        <v>38</v>
      </c>
      <c r="E2142" s="2">
        <v>1686</v>
      </c>
      <c r="F2142" s="2" t="s">
        <v>100</v>
      </c>
      <c r="G2142" s="2" t="s">
        <v>652</v>
      </c>
      <c r="H2142" s="2" t="s">
        <v>35</v>
      </c>
    </row>
    <row r="2143" spans="1:8" ht="13" hidden="1">
      <c r="A2143" s="15">
        <v>45683.615773275465</v>
      </c>
      <c r="B2143" s="16">
        <v>45677</v>
      </c>
      <c r="C2143" s="2" t="s">
        <v>277</v>
      </c>
      <c r="D2143" s="2" t="s">
        <v>46</v>
      </c>
      <c r="E2143" s="2">
        <v>2156</v>
      </c>
      <c r="F2143" s="2" t="s">
        <v>100</v>
      </c>
      <c r="G2143" s="2" t="s">
        <v>129</v>
      </c>
      <c r="H2143" s="2" t="s">
        <v>35</v>
      </c>
    </row>
    <row r="2144" spans="1:8" ht="13" hidden="1">
      <c r="A2144" s="15">
        <v>45683.616134143522</v>
      </c>
      <c r="B2144" s="16">
        <v>45677</v>
      </c>
      <c r="C2144" s="2" t="s">
        <v>24</v>
      </c>
      <c r="D2144" s="2" t="s">
        <v>49</v>
      </c>
      <c r="E2144" s="2">
        <v>1100</v>
      </c>
      <c r="F2144" s="2" t="s">
        <v>100</v>
      </c>
      <c r="H2144" s="2" t="s">
        <v>35</v>
      </c>
    </row>
    <row r="2145" spans="1:8" ht="13" hidden="1">
      <c r="A2145" s="15">
        <v>45683.607614814813</v>
      </c>
      <c r="B2145" s="16">
        <v>45678</v>
      </c>
      <c r="C2145" s="2" t="s">
        <v>112</v>
      </c>
      <c r="D2145" s="2" t="s">
        <v>38</v>
      </c>
      <c r="E2145" s="2">
        <v>140</v>
      </c>
      <c r="F2145" s="2" t="s">
        <v>102</v>
      </c>
      <c r="G2145" s="2" t="s">
        <v>103</v>
      </c>
      <c r="H2145" s="2" t="s">
        <v>35</v>
      </c>
    </row>
    <row r="2146" spans="1:8" ht="13" hidden="1">
      <c r="A2146" s="15">
        <v>45683.611367627316</v>
      </c>
      <c r="B2146" s="16">
        <v>45678</v>
      </c>
      <c r="C2146" s="2" t="s">
        <v>901</v>
      </c>
      <c r="D2146" s="2" t="s">
        <v>38</v>
      </c>
      <c r="E2146" s="2">
        <v>1500</v>
      </c>
      <c r="F2146" s="2" t="s">
        <v>102</v>
      </c>
      <c r="G2146" s="2" t="s">
        <v>726</v>
      </c>
      <c r="H2146" s="2" t="s">
        <v>35</v>
      </c>
    </row>
    <row r="2147" spans="1:8" ht="13" hidden="1">
      <c r="A2147" s="15">
        <v>45683.616421354163</v>
      </c>
      <c r="B2147" s="16">
        <v>45678</v>
      </c>
      <c r="C2147" s="2" t="s">
        <v>116</v>
      </c>
      <c r="D2147" s="2" t="s">
        <v>38</v>
      </c>
      <c r="E2147" s="2">
        <v>419</v>
      </c>
      <c r="F2147" s="2" t="s">
        <v>100</v>
      </c>
      <c r="G2147" s="2" t="s">
        <v>652</v>
      </c>
      <c r="H2147" s="2" t="s">
        <v>35</v>
      </c>
    </row>
    <row r="2148" spans="1:8" ht="13" hidden="1">
      <c r="A2148" s="15">
        <v>45683.607905937504</v>
      </c>
      <c r="B2148" s="16">
        <v>45679</v>
      </c>
      <c r="C2148" s="2" t="s">
        <v>112</v>
      </c>
      <c r="D2148" s="2" t="s">
        <v>38</v>
      </c>
      <c r="E2148" s="2">
        <v>140</v>
      </c>
      <c r="F2148" s="2" t="s">
        <v>102</v>
      </c>
      <c r="G2148" s="2" t="s">
        <v>103</v>
      </c>
      <c r="H2148" s="2" t="s">
        <v>35</v>
      </c>
    </row>
    <row r="2149" spans="1:8" ht="13" hidden="1">
      <c r="A2149" s="15">
        <v>45683.608131944449</v>
      </c>
      <c r="B2149" s="16">
        <v>45679</v>
      </c>
      <c r="C2149" s="2" t="s">
        <v>674</v>
      </c>
      <c r="D2149" s="2" t="s">
        <v>39</v>
      </c>
      <c r="E2149" s="2">
        <v>2050</v>
      </c>
      <c r="F2149" s="2" t="s">
        <v>102</v>
      </c>
      <c r="H2149" s="2" t="s">
        <v>35</v>
      </c>
    </row>
    <row r="2150" spans="1:8" ht="13" hidden="1">
      <c r="A2150" s="15">
        <v>45683.611683159717</v>
      </c>
      <c r="B2150" s="16">
        <v>45679</v>
      </c>
      <c r="C2150" s="2" t="s">
        <v>106</v>
      </c>
      <c r="D2150" s="2" t="s">
        <v>38</v>
      </c>
      <c r="E2150" s="2">
        <v>1100</v>
      </c>
      <c r="F2150" s="2" t="s">
        <v>102</v>
      </c>
      <c r="G2150" s="2" t="s">
        <v>256</v>
      </c>
      <c r="H2150" s="2" t="s">
        <v>35</v>
      </c>
    </row>
    <row r="2151" spans="1:8" ht="13" hidden="1">
      <c r="A2151" s="15">
        <v>45683.616727546294</v>
      </c>
      <c r="B2151" s="16">
        <v>45679</v>
      </c>
      <c r="C2151" s="2" t="s">
        <v>350</v>
      </c>
      <c r="D2151" s="2" t="s">
        <v>40</v>
      </c>
      <c r="E2151" s="2">
        <v>1000</v>
      </c>
      <c r="F2151" s="2" t="s">
        <v>100</v>
      </c>
      <c r="H2151" s="2" t="s">
        <v>35</v>
      </c>
    </row>
    <row r="2152" spans="1:8" ht="13" hidden="1">
      <c r="A2152" s="15">
        <v>45683.608738541661</v>
      </c>
      <c r="B2152" s="16">
        <v>45681</v>
      </c>
      <c r="C2152" s="2" t="s">
        <v>902</v>
      </c>
      <c r="D2152" s="2" t="s">
        <v>38</v>
      </c>
      <c r="E2152" s="2">
        <v>323</v>
      </c>
      <c r="F2152" s="2" t="s">
        <v>102</v>
      </c>
      <c r="G2152" s="2" t="s">
        <v>356</v>
      </c>
      <c r="H2152" s="2" t="s">
        <v>35</v>
      </c>
    </row>
    <row r="2153" spans="1:8" ht="13" hidden="1">
      <c r="A2153" s="15">
        <v>45683.609035474539</v>
      </c>
      <c r="B2153" s="16">
        <v>45681</v>
      </c>
      <c r="C2153" s="2" t="s">
        <v>903</v>
      </c>
      <c r="D2153" s="2" t="s">
        <v>152</v>
      </c>
      <c r="E2153" s="2">
        <v>327</v>
      </c>
      <c r="F2153" s="2" t="s">
        <v>102</v>
      </c>
      <c r="G2153" s="2" t="s">
        <v>103</v>
      </c>
      <c r="H2153" s="2" t="s">
        <v>35</v>
      </c>
    </row>
    <row r="2154" spans="1:8" ht="13" hidden="1">
      <c r="A2154" s="15">
        <v>45683.61252657407</v>
      </c>
      <c r="B2154" s="16">
        <v>45681</v>
      </c>
      <c r="C2154" s="2" t="s">
        <v>904</v>
      </c>
      <c r="E2154" s="2">
        <v>340997</v>
      </c>
      <c r="H2154" s="2" t="s">
        <v>34</v>
      </c>
    </row>
    <row r="2155" spans="1:8" ht="13" hidden="1">
      <c r="A2155" s="15">
        <v>45690.547617256947</v>
      </c>
      <c r="B2155" s="16">
        <v>45681</v>
      </c>
      <c r="C2155" s="2" t="s">
        <v>240</v>
      </c>
      <c r="D2155" s="2" t="s">
        <v>42</v>
      </c>
      <c r="E2155" s="2">
        <v>990</v>
      </c>
      <c r="F2155" s="2" t="s">
        <v>100</v>
      </c>
      <c r="H2155" s="2" t="s">
        <v>35</v>
      </c>
    </row>
    <row r="2156" spans="1:8" ht="13" hidden="1">
      <c r="A2156" s="15">
        <v>45865.673481377315</v>
      </c>
      <c r="B2156" s="16">
        <v>45858</v>
      </c>
      <c r="C2156" s="2" t="s">
        <v>142</v>
      </c>
      <c r="D2156" s="2" t="s">
        <v>45</v>
      </c>
      <c r="E2156" s="2">
        <v>8140</v>
      </c>
      <c r="F2156" s="2" t="s">
        <v>100</v>
      </c>
      <c r="H2156" s="2" t="s">
        <v>35</v>
      </c>
    </row>
    <row r="2157" spans="1:8" ht="13" hidden="1">
      <c r="A2157" s="15">
        <v>45683.609792233794</v>
      </c>
      <c r="B2157" s="16">
        <v>45682</v>
      </c>
      <c r="C2157" s="2" t="s">
        <v>905</v>
      </c>
      <c r="D2157" s="2" t="s">
        <v>38</v>
      </c>
      <c r="E2157" s="2">
        <v>900</v>
      </c>
      <c r="F2157" s="2" t="s">
        <v>102</v>
      </c>
      <c r="H2157" s="2" t="s">
        <v>35</v>
      </c>
    </row>
    <row r="2158" spans="1:8" ht="13" hidden="1">
      <c r="A2158" s="15">
        <v>45683.610045960653</v>
      </c>
      <c r="B2158" s="16">
        <v>45682</v>
      </c>
      <c r="C2158" s="2" t="s">
        <v>601</v>
      </c>
      <c r="D2158" s="2" t="s">
        <v>38</v>
      </c>
      <c r="E2158" s="2">
        <v>200</v>
      </c>
      <c r="F2158" s="2" t="s">
        <v>102</v>
      </c>
      <c r="H2158" s="2" t="s">
        <v>35</v>
      </c>
    </row>
    <row r="2159" spans="1:8" ht="13" hidden="1">
      <c r="A2159" s="15">
        <v>45683.612148958331</v>
      </c>
      <c r="B2159" s="16">
        <v>45682</v>
      </c>
      <c r="C2159" s="2" t="s">
        <v>542</v>
      </c>
      <c r="D2159" s="2" t="s">
        <v>39</v>
      </c>
      <c r="E2159" s="2">
        <v>500</v>
      </c>
      <c r="F2159" s="2" t="s">
        <v>102</v>
      </c>
      <c r="H2159" s="2" t="s">
        <v>35</v>
      </c>
    </row>
    <row r="2160" spans="1:8" ht="13" hidden="1">
      <c r="A2160" s="15">
        <v>45690.548996296297</v>
      </c>
      <c r="B2160" s="16">
        <v>45682</v>
      </c>
      <c r="C2160" s="2" t="s">
        <v>350</v>
      </c>
      <c r="D2160" s="2" t="s">
        <v>40</v>
      </c>
      <c r="E2160" s="2">
        <v>1000</v>
      </c>
      <c r="F2160" s="2" t="s">
        <v>100</v>
      </c>
      <c r="H2160" s="2" t="s">
        <v>35</v>
      </c>
    </row>
    <row r="2161" spans="1:8" ht="13" hidden="1">
      <c r="A2161" s="15">
        <v>45690.549330937502</v>
      </c>
      <c r="B2161" s="16">
        <v>45682</v>
      </c>
      <c r="C2161" s="2" t="s">
        <v>105</v>
      </c>
      <c r="D2161" s="2" t="s">
        <v>40</v>
      </c>
      <c r="E2161" s="2">
        <v>5100</v>
      </c>
      <c r="F2161" s="2" t="s">
        <v>100</v>
      </c>
      <c r="H2161" s="2" t="s">
        <v>35</v>
      </c>
    </row>
    <row r="2162" spans="1:8" ht="13" hidden="1">
      <c r="A2162" s="15">
        <v>45902.884591747686</v>
      </c>
      <c r="B2162" s="16">
        <v>45889</v>
      </c>
      <c r="C2162" s="2" t="s">
        <v>142</v>
      </c>
      <c r="D2162" s="2" t="s">
        <v>45</v>
      </c>
      <c r="E2162" s="2">
        <v>8140</v>
      </c>
      <c r="F2162" s="2" t="s">
        <v>100</v>
      </c>
      <c r="H2162" s="2" t="s">
        <v>35</v>
      </c>
    </row>
    <row r="2163" spans="1:8" ht="13" hidden="1">
      <c r="A2163" s="15">
        <v>45683.610668900466</v>
      </c>
      <c r="B2163" s="16">
        <v>45683</v>
      </c>
      <c r="C2163" s="2" t="s">
        <v>163</v>
      </c>
      <c r="D2163" s="2" t="s">
        <v>38</v>
      </c>
      <c r="E2163" s="2">
        <v>1880</v>
      </c>
      <c r="F2163" s="2" t="s">
        <v>102</v>
      </c>
      <c r="G2163" s="2" t="s">
        <v>164</v>
      </c>
      <c r="H2163" s="2" t="s">
        <v>35</v>
      </c>
    </row>
    <row r="2164" spans="1:8" ht="13" hidden="1">
      <c r="A2164" s="15">
        <v>45683.610934363431</v>
      </c>
      <c r="B2164" s="16">
        <v>45683</v>
      </c>
      <c r="C2164" s="2" t="s">
        <v>906</v>
      </c>
      <c r="D2164" s="2" t="s">
        <v>38</v>
      </c>
      <c r="E2164" s="2">
        <v>430</v>
      </c>
      <c r="F2164" s="2" t="s">
        <v>102</v>
      </c>
      <c r="G2164" s="2" t="s">
        <v>199</v>
      </c>
      <c r="H2164" s="2" t="s">
        <v>35</v>
      </c>
    </row>
    <row r="2165" spans="1:8" ht="13" hidden="1">
      <c r="A2165" s="15">
        <v>45690.549742314819</v>
      </c>
      <c r="B2165" s="16">
        <v>45683</v>
      </c>
      <c r="C2165" s="2" t="s">
        <v>116</v>
      </c>
      <c r="D2165" s="2" t="s">
        <v>38</v>
      </c>
      <c r="E2165" s="2">
        <v>1886</v>
      </c>
      <c r="F2165" s="2" t="s">
        <v>100</v>
      </c>
      <c r="G2165" s="2" t="s">
        <v>652</v>
      </c>
      <c r="H2165" s="2" t="s">
        <v>35</v>
      </c>
    </row>
    <row r="2166" spans="1:8" ht="13" hidden="1">
      <c r="A2166" s="15">
        <v>45683.617546782407</v>
      </c>
      <c r="B2166" s="16">
        <v>45684</v>
      </c>
      <c r="C2166" s="2" t="s">
        <v>530</v>
      </c>
      <c r="D2166" s="2" t="s">
        <v>47</v>
      </c>
      <c r="E2166" s="2">
        <v>30000</v>
      </c>
      <c r="F2166" s="2" t="s">
        <v>102</v>
      </c>
      <c r="H2166" s="2" t="s">
        <v>35</v>
      </c>
    </row>
    <row r="2167" spans="1:8" ht="13" hidden="1">
      <c r="A2167" s="15">
        <v>45683.617840798615</v>
      </c>
      <c r="B2167" s="16">
        <v>45684</v>
      </c>
      <c r="C2167" s="2" t="s">
        <v>146</v>
      </c>
      <c r="D2167" s="2" t="s">
        <v>47</v>
      </c>
      <c r="E2167" s="2">
        <v>3400</v>
      </c>
      <c r="F2167" s="2" t="s">
        <v>102</v>
      </c>
      <c r="H2167" s="2" t="s">
        <v>35</v>
      </c>
    </row>
    <row r="2168" spans="1:8" ht="13" hidden="1">
      <c r="A2168" s="15">
        <v>45683.618156261575</v>
      </c>
      <c r="B2168" s="16">
        <v>45684</v>
      </c>
      <c r="C2168" s="2" t="s">
        <v>9</v>
      </c>
      <c r="D2168" s="2" t="s">
        <v>47</v>
      </c>
      <c r="E2168" s="2">
        <v>13600</v>
      </c>
      <c r="F2168" s="2" t="s">
        <v>102</v>
      </c>
      <c r="H2168" s="2" t="s">
        <v>35</v>
      </c>
    </row>
    <row r="2169" spans="1:8" ht="13" hidden="1">
      <c r="A2169" s="15">
        <v>45845.8931337963</v>
      </c>
      <c r="B2169" s="16">
        <v>45828</v>
      </c>
      <c r="C2169" s="2" t="s">
        <v>907</v>
      </c>
      <c r="D2169" s="2" t="s">
        <v>45</v>
      </c>
      <c r="E2169" s="2">
        <v>5900</v>
      </c>
      <c r="F2169" s="2" t="s">
        <v>100</v>
      </c>
      <c r="H2169" s="2" t="s">
        <v>35</v>
      </c>
    </row>
    <row r="2170" spans="1:8" ht="13" hidden="1">
      <c r="A2170" s="15">
        <v>45683.618950393517</v>
      </c>
      <c r="B2170" s="16">
        <v>45684</v>
      </c>
      <c r="C2170" s="2" t="s">
        <v>408</v>
      </c>
      <c r="D2170" s="2" t="s">
        <v>152</v>
      </c>
      <c r="E2170" s="2">
        <v>10000</v>
      </c>
      <c r="F2170" s="2" t="s">
        <v>100</v>
      </c>
      <c r="H2170" s="2" t="s">
        <v>35</v>
      </c>
    </row>
    <row r="2171" spans="1:8" ht="13" hidden="1">
      <c r="A2171" s="15">
        <v>45683.619205057868</v>
      </c>
      <c r="B2171" s="16">
        <v>45684</v>
      </c>
      <c r="C2171" s="2" t="s">
        <v>908</v>
      </c>
      <c r="D2171" s="2" t="s">
        <v>5</v>
      </c>
      <c r="E2171" s="2">
        <v>93000</v>
      </c>
      <c r="F2171" s="2" t="s">
        <v>102</v>
      </c>
      <c r="H2171" s="2" t="s">
        <v>35</v>
      </c>
    </row>
    <row r="2172" spans="1:8" ht="13" hidden="1">
      <c r="A2172" s="15">
        <v>45683.619483425922</v>
      </c>
      <c r="B2172" s="16">
        <v>45684</v>
      </c>
      <c r="C2172" s="2" t="s">
        <v>133</v>
      </c>
      <c r="D2172" s="2" t="s">
        <v>47</v>
      </c>
      <c r="E2172" s="2">
        <v>20000</v>
      </c>
      <c r="F2172" s="2" t="s">
        <v>102</v>
      </c>
      <c r="H2172" s="2" t="s">
        <v>35</v>
      </c>
    </row>
    <row r="2173" spans="1:8" ht="13" hidden="1">
      <c r="A2173" s="15">
        <v>45802.901565057866</v>
      </c>
      <c r="B2173" s="16">
        <v>45785</v>
      </c>
      <c r="C2173" s="2" t="s">
        <v>909</v>
      </c>
      <c r="D2173" s="2" t="s">
        <v>45</v>
      </c>
      <c r="E2173" s="2">
        <v>5165</v>
      </c>
      <c r="F2173" s="2" t="s">
        <v>100</v>
      </c>
      <c r="G2173" s="2" t="s">
        <v>129</v>
      </c>
      <c r="H2173" s="2" t="s">
        <v>35</v>
      </c>
    </row>
    <row r="2174" spans="1:8" ht="13" hidden="1">
      <c r="A2174" s="15">
        <v>45690.550068888886</v>
      </c>
      <c r="B2174" s="16">
        <v>45684</v>
      </c>
      <c r="C2174" s="2" t="s">
        <v>116</v>
      </c>
      <c r="D2174" s="2" t="s">
        <v>38</v>
      </c>
      <c r="E2174" s="2">
        <v>1672</v>
      </c>
      <c r="F2174" s="2" t="s">
        <v>100</v>
      </c>
      <c r="G2174" s="2" t="s">
        <v>652</v>
      </c>
      <c r="H2174" s="2" t="s">
        <v>35</v>
      </c>
    </row>
    <row r="2175" spans="1:8" ht="13" hidden="1">
      <c r="A2175" s="15">
        <v>45690.543199675929</v>
      </c>
      <c r="B2175" s="16">
        <v>45685</v>
      </c>
      <c r="C2175" s="2" t="s">
        <v>106</v>
      </c>
      <c r="D2175" s="2" t="s">
        <v>38</v>
      </c>
      <c r="E2175" s="2">
        <v>1470</v>
      </c>
      <c r="F2175" s="2" t="s">
        <v>102</v>
      </c>
      <c r="G2175" s="2" t="s">
        <v>191</v>
      </c>
      <c r="H2175" s="2" t="s">
        <v>35</v>
      </c>
    </row>
    <row r="2176" spans="1:8" ht="13" hidden="1">
      <c r="A2176" s="15">
        <v>45690.543589664347</v>
      </c>
      <c r="B2176" s="16">
        <v>45685</v>
      </c>
      <c r="C2176" s="2" t="s">
        <v>286</v>
      </c>
      <c r="D2176" s="2" t="s">
        <v>38</v>
      </c>
      <c r="E2176" s="2">
        <v>275</v>
      </c>
      <c r="F2176" s="2" t="s">
        <v>102</v>
      </c>
      <c r="G2176" s="2" t="s">
        <v>103</v>
      </c>
      <c r="H2176" s="2" t="s">
        <v>35</v>
      </c>
    </row>
    <row r="2177" spans="1:8" ht="13" hidden="1">
      <c r="A2177" s="15">
        <v>45690.543885243053</v>
      </c>
      <c r="B2177" s="16">
        <v>45685</v>
      </c>
      <c r="C2177" s="2" t="s">
        <v>910</v>
      </c>
      <c r="D2177" s="2" t="s">
        <v>38</v>
      </c>
      <c r="E2177" s="2">
        <v>1100</v>
      </c>
      <c r="F2177" s="2" t="s">
        <v>102</v>
      </c>
      <c r="G2177" s="2" t="s">
        <v>199</v>
      </c>
      <c r="H2177" s="2" t="s">
        <v>35</v>
      </c>
    </row>
    <row r="2178" spans="1:8" ht="13" hidden="1">
      <c r="A2178" s="15">
        <v>45699.792972430558</v>
      </c>
      <c r="B2178" s="16">
        <v>45685</v>
      </c>
      <c r="C2178" s="2" t="s">
        <v>158</v>
      </c>
      <c r="D2178" s="2" t="s">
        <v>49</v>
      </c>
      <c r="E2178" s="2">
        <v>4980</v>
      </c>
      <c r="F2178" s="2" t="s">
        <v>100</v>
      </c>
      <c r="H2178" s="2" t="s">
        <v>35</v>
      </c>
    </row>
    <row r="2179" spans="1:8" ht="13" hidden="1">
      <c r="A2179" s="15">
        <v>45699.797466099539</v>
      </c>
      <c r="B2179" s="16">
        <v>45695</v>
      </c>
      <c r="C2179" s="2" t="s">
        <v>911</v>
      </c>
      <c r="D2179" s="2" t="s">
        <v>45</v>
      </c>
      <c r="E2179" s="2">
        <v>4998</v>
      </c>
      <c r="F2179" s="2" t="s">
        <v>100</v>
      </c>
      <c r="G2179" s="2" t="s">
        <v>129</v>
      </c>
      <c r="H2179" s="2" t="s">
        <v>35</v>
      </c>
    </row>
    <row r="2180" spans="1:8" ht="13" hidden="1">
      <c r="A2180" s="15">
        <v>45690.544166458334</v>
      </c>
      <c r="B2180" s="16">
        <v>45686</v>
      </c>
      <c r="C2180" s="2" t="s">
        <v>106</v>
      </c>
      <c r="D2180" s="2" t="s">
        <v>38</v>
      </c>
      <c r="E2180" s="2">
        <v>1300</v>
      </c>
      <c r="F2180" s="2" t="s">
        <v>102</v>
      </c>
      <c r="G2180" s="2" t="s">
        <v>329</v>
      </c>
      <c r="H2180" s="2" t="s">
        <v>35</v>
      </c>
    </row>
    <row r="2181" spans="1:8" ht="13" hidden="1">
      <c r="A2181" s="15">
        <v>45690.544462939812</v>
      </c>
      <c r="B2181" s="16">
        <v>45686</v>
      </c>
      <c r="C2181" s="2" t="s">
        <v>112</v>
      </c>
      <c r="D2181" s="2" t="s">
        <v>38</v>
      </c>
      <c r="E2181" s="2">
        <v>140</v>
      </c>
      <c r="F2181" s="2" t="s">
        <v>102</v>
      </c>
      <c r="G2181" s="2" t="s">
        <v>103</v>
      </c>
      <c r="H2181" s="2" t="s">
        <v>35</v>
      </c>
    </row>
    <row r="2182" spans="1:8" ht="13" hidden="1">
      <c r="A2182" s="15">
        <v>45699.794129444446</v>
      </c>
      <c r="B2182" s="16">
        <v>45687</v>
      </c>
      <c r="C2182" s="2" t="s">
        <v>350</v>
      </c>
      <c r="D2182" s="2" t="s">
        <v>40</v>
      </c>
      <c r="E2182" s="2">
        <v>1000</v>
      </c>
      <c r="F2182" s="2" t="s">
        <v>100</v>
      </c>
      <c r="H2182" s="2" t="s">
        <v>35</v>
      </c>
    </row>
    <row r="2183" spans="1:8" ht="13" hidden="1">
      <c r="A2183" s="15">
        <v>45699.794493472218</v>
      </c>
      <c r="B2183" s="16">
        <v>45687</v>
      </c>
      <c r="C2183" s="2" t="s">
        <v>240</v>
      </c>
      <c r="D2183" s="2" t="s">
        <v>42</v>
      </c>
      <c r="E2183" s="2">
        <v>990</v>
      </c>
      <c r="F2183" s="2" t="s">
        <v>100</v>
      </c>
      <c r="H2183" s="2" t="s">
        <v>35</v>
      </c>
    </row>
    <row r="2184" spans="1:8" ht="13" hidden="1">
      <c r="A2184" s="15">
        <v>45690.544899664354</v>
      </c>
      <c r="B2184" s="16">
        <v>45688</v>
      </c>
      <c r="C2184" s="2" t="s">
        <v>106</v>
      </c>
      <c r="D2184" s="2" t="s">
        <v>38</v>
      </c>
      <c r="E2184" s="2">
        <v>1300</v>
      </c>
      <c r="F2184" s="2" t="s">
        <v>102</v>
      </c>
      <c r="G2184" s="2" t="s">
        <v>256</v>
      </c>
      <c r="H2184" s="2" t="s">
        <v>35</v>
      </c>
    </row>
    <row r="2185" spans="1:8" ht="13" hidden="1">
      <c r="A2185" s="15">
        <v>45690.545226076385</v>
      </c>
      <c r="B2185" s="16">
        <v>45688</v>
      </c>
      <c r="C2185" s="2" t="s">
        <v>280</v>
      </c>
      <c r="D2185" s="2" t="s">
        <v>46</v>
      </c>
      <c r="E2185" s="2">
        <v>1305</v>
      </c>
      <c r="F2185" s="2" t="s">
        <v>102</v>
      </c>
      <c r="G2185" s="2" t="s">
        <v>306</v>
      </c>
      <c r="H2185" s="2" t="s">
        <v>35</v>
      </c>
    </row>
    <row r="2186" spans="1:8" ht="13" hidden="1">
      <c r="A2186" s="15">
        <v>45699.79488184028</v>
      </c>
      <c r="B2186" s="16">
        <v>45688</v>
      </c>
      <c r="C2186" s="2" t="s">
        <v>105</v>
      </c>
      <c r="D2186" s="2" t="s">
        <v>40</v>
      </c>
      <c r="E2186" s="2">
        <v>4200</v>
      </c>
      <c r="F2186" s="2" t="s">
        <v>100</v>
      </c>
      <c r="H2186" s="2" t="s">
        <v>35</v>
      </c>
    </row>
    <row r="2187" spans="1:8" ht="13" hidden="1">
      <c r="A2187" s="15">
        <v>45690.545561377316</v>
      </c>
      <c r="B2187" s="16">
        <v>45689</v>
      </c>
      <c r="C2187" s="2" t="s">
        <v>912</v>
      </c>
      <c r="D2187" s="2" t="s">
        <v>38</v>
      </c>
      <c r="E2187" s="2">
        <v>241</v>
      </c>
      <c r="F2187" s="2" t="s">
        <v>102</v>
      </c>
      <c r="G2187" s="2" t="s">
        <v>107</v>
      </c>
      <c r="H2187" s="2" t="s">
        <v>35</v>
      </c>
    </row>
    <row r="2188" spans="1:8" ht="13" hidden="1">
      <c r="A2188" s="15">
        <v>45891.898884675931</v>
      </c>
      <c r="B2188" s="16">
        <v>45888</v>
      </c>
      <c r="C2188" s="2" t="s">
        <v>204</v>
      </c>
      <c r="D2188" s="2" t="s">
        <v>45</v>
      </c>
      <c r="E2188" s="2">
        <v>4980</v>
      </c>
      <c r="F2188" s="2" t="s">
        <v>102</v>
      </c>
      <c r="H2188" s="2" t="s">
        <v>35</v>
      </c>
    </row>
    <row r="2189" spans="1:8" ht="13" hidden="1">
      <c r="A2189" s="15">
        <v>45699.795725416669</v>
      </c>
      <c r="B2189" s="16">
        <v>45689</v>
      </c>
      <c r="C2189" s="2" t="s">
        <v>248</v>
      </c>
      <c r="D2189" s="2" t="s">
        <v>49</v>
      </c>
      <c r="E2189" s="2">
        <v>700</v>
      </c>
      <c r="F2189" s="2" t="s">
        <v>100</v>
      </c>
      <c r="H2189" s="2" t="s">
        <v>35</v>
      </c>
    </row>
    <row r="2190" spans="1:8" ht="13" hidden="1">
      <c r="A2190" s="15">
        <v>45830.967281168982</v>
      </c>
      <c r="B2190" s="16">
        <v>45808</v>
      </c>
      <c r="C2190" s="2" t="s">
        <v>150</v>
      </c>
      <c r="D2190" s="2" t="s">
        <v>45</v>
      </c>
      <c r="E2190" s="2">
        <v>4887</v>
      </c>
      <c r="F2190" s="2" t="s">
        <v>100</v>
      </c>
      <c r="G2190" s="2" t="s">
        <v>150</v>
      </c>
      <c r="H2190" s="2" t="s">
        <v>35</v>
      </c>
    </row>
    <row r="2191" spans="1:8" ht="13" hidden="1">
      <c r="A2191" s="15">
        <v>45690.546203530088</v>
      </c>
      <c r="B2191" s="16">
        <v>45690</v>
      </c>
      <c r="C2191" s="2" t="s">
        <v>913</v>
      </c>
      <c r="D2191" s="2" t="s">
        <v>38</v>
      </c>
      <c r="E2191" s="2">
        <v>550</v>
      </c>
      <c r="F2191" s="2" t="s">
        <v>102</v>
      </c>
      <c r="G2191" s="2" t="s">
        <v>356</v>
      </c>
      <c r="H2191" s="2" t="s">
        <v>35</v>
      </c>
    </row>
    <row r="2192" spans="1:8" ht="13" hidden="1">
      <c r="A2192" s="15">
        <v>45699.796198888886</v>
      </c>
      <c r="B2192" s="16">
        <v>45690</v>
      </c>
      <c r="C2192" s="2" t="s">
        <v>116</v>
      </c>
      <c r="D2192" s="2" t="s">
        <v>38</v>
      </c>
      <c r="E2192" s="2">
        <v>2119</v>
      </c>
      <c r="F2192" s="2" t="s">
        <v>100</v>
      </c>
      <c r="G2192" s="2" t="s">
        <v>652</v>
      </c>
      <c r="H2192" s="2" t="s">
        <v>35</v>
      </c>
    </row>
    <row r="2193" spans="1:8" ht="13" hidden="1">
      <c r="A2193" s="15">
        <v>45699.796482719903</v>
      </c>
      <c r="B2193" s="16">
        <v>45690</v>
      </c>
      <c r="C2193" s="2" t="s">
        <v>914</v>
      </c>
      <c r="D2193" s="2" t="s">
        <v>39</v>
      </c>
      <c r="E2193" s="2">
        <v>6440</v>
      </c>
      <c r="F2193" s="2" t="s">
        <v>100</v>
      </c>
      <c r="H2193" s="2" t="s">
        <v>35</v>
      </c>
    </row>
    <row r="2194" spans="1:8" ht="13" hidden="1">
      <c r="A2194" s="15">
        <v>45697.629830706021</v>
      </c>
      <c r="B2194" s="16">
        <v>45691</v>
      </c>
      <c r="C2194" s="2" t="s">
        <v>357</v>
      </c>
      <c r="D2194" s="2" t="s">
        <v>38</v>
      </c>
      <c r="E2194" s="2">
        <v>560</v>
      </c>
      <c r="F2194" s="2" t="s">
        <v>102</v>
      </c>
      <c r="G2194" s="2" t="s">
        <v>356</v>
      </c>
      <c r="H2194" s="2" t="s">
        <v>35</v>
      </c>
    </row>
    <row r="2195" spans="1:8" ht="13" hidden="1">
      <c r="A2195" s="15">
        <v>45844.964065486114</v>
      </c>
      <c r="B2195" s="16">
        <v>45812</v>
      </c>
      <c r="C2195" s="2" t="s">
        <v>911</v>
      </c>
      <c r="D2195" s="2" t="s">
        <v>45</v>
      </c>
      <c r="E2195" s="2">
        <v>4499</v>
      </c>
      <c r="F2195" s="2" t="s">
        <v>100</v>
      </c>
      <c r="G2195" s="2" t="s">
        <v>129</v>
      </c>
      <c r="H2195" s="2" t="s">
        <v>35</v>
      </c>
    </row>
    <row r="2196" spans="1:8" ht="13" hidden="1">
      <c r="A2196" s="15">
        <v>45697.634088726852</v>
      </c>
      <c r="B2196" s="16">
        <v>45691</v>
      </c>
      <c r="C2196" s="2" t="s">
        <v>258</v>
      </c>
      <c r="E2196" s="2">
        <v>16436</v>
      </c>
      <c r="H2196" s="2" t="s">
        <v>34</v>
      </c>
    </row>
    <row r="2197" spans="1:8" ht="13" hidden="1">
      <c r="A2197" s="15">
        <v>45902.730116701394</v>
      </c>
      <c r="B2197" s="16">
        <v>45880</v>
      </c>
      <c r="C2197" s="2" t="s">
        <v>915</v>
      </c>
      <c r="D2197" s="2" t="s">
        <v>45</v>
      </c>
      <c r="E2197" s="2">
        <v>4400</v>
      </c>
      <c r="F2197" s="2" t="s">
        <v>100</v>
      </c>
      <c r="H2197" s="2" t="s">
        <v>35</v>
      </c>
    </row>
    <row r="2198" spans="1:8" ht="13" hidden="1">
      <c r="A2198" s="15">
        <v>45699.796855243054</v>
      </c>
      <c r="B2198" s="16">
        <v>45693</v>
      </c>
      <c r="C2198" s="2" t="s">
        <v>350</v>
      </c>
      <c r="D2198" s="2" t="s">
        <v>40</v>
      </c>
      <c r="E2198" s="2">
        <v>1000</v>
      </c>
      <c r="F2198" s="2" t="s">
        <v>100</v>
      </c>
      <c r="H2198" s="2" t="s">
        <v>35</v>
      </c>
    </row>
    <row r="2199" spans="1:8" ht="13" hidden="1">
      <c r="A2199" s="15">
        <v>45699.79710585648</v>
      </c>
      <c r="B2199" s="16">
        <v>45694</v>
      </c>
      <c r="C2199" s="2" t="s">
        <v>176</v>
      </c>
      <c r="D2199" s="2" t="s">
        <v>41</v>
      </c>
      <c r="E2199" s="2">
        <v>3414</v>
      </c>
      <c r="F2199" s="2" t="s">
        <v>100</v>
      </c>
      <c r="H2199" s="2" t="s">
        <v>35</v>
      </c>
    </row>
    <row r="2200" spans="1:8" ht="13" hidden="1">
      <c r="A2200" s="15">
        <v>45891.900087337963</v>
      </c>
      <c r="B2200" s="16">
        <v>45890</v>
      </c>
      <c r="C2200" s="2" t="s">
        <v>45</v>
      </c>
      <c r="D2200" s="2" t="s">
        <v>45</v>
      </c>
      <c r="E2200" s="2">
        <v>782</v>
      </c>
      <c r="F2200" s="2" t="s">
        <v>102</v>
      </c>
      <c r="G2200" s="2" t="s">
        <v>285</v>
      </c>
      <c r="H2200" s="2" t="s">
        <v>35</v>
      </c>
    </row>
    <row r="2201" spans="1:8" ht="13" hidden="1">
      <c r="A2201" s="15">
        <v>45699.797763750001</v>
      </c>
      <c r="B2201" s="16">
        <v>45695</v>
      </c>
      <c r="C2201" s="2" t="s">
        <v>357</v>
      </c>
      <c r="D2201" s="2" t="s">
        <v>38</v>
      </c>
      <c r="E2201" s="2">
        <v>1058</v>
      </c>
      <c r="F2201" s="2" t="s">
        <v>100</v>
      </c>
      <c r="H2201" s="2" t="s">
        <v>35</v>
      </c>
    </row>
    <row r="2202" spans="1:8" ht="13" hidden="1">
      <c r="A2202" s="15">
        <v>45699.799323819447</v>
      </c>
      <c r="B2202" s="16">
        <v>45695</v>
      </c>
      <c r="C2202" s="2" t="s">
        <v>916</v>
      </c>
      <c r="D2202" s="2" t="s">
        <v>39</v>
      </c>
      <c r="E2202" s="2">
        <v>8250</v>
      </c>
      <c r="F2202" s="2" t="s">
        <v>102</v>
      </c>
      <c r="H2202" s="2" t="s">
        <v>35</v>
      </c>
    </row>
    <row r="2203" spans="1:8" ht="13" hidden="1">
      <c r="A2203" s="15">
        <v>45697.631665416666</v>
      </c>
      <c r="B2203" s="16">
        <v>45696</v>
      </c>
      <c r="C2203" s="2" t="s">
        <v>917</v>
      </c>
      <c r="D2203" s="2" t="s">
        <v>39</v>
      </c>
      <c r="E2203" s="2">
        <v>3660</v>
      </c>
      <c r="F2203" s="2" t="s">
        <v>102</v>
      </c>
      <c r="H2203" s="2" t="s">
        <v>35</v>
      </c>
    </row>
    <row r="2204" spans="1:8" ht="13" hidden="1">
      <c r="A2204" s="15">
        <v>45697.632254189812</v>
      </c>
      <c r="B2204" s="16">
        <v>45696</v>
      </c>
      <c r="C2204" s="2" t="s">
        <v>918</v>
      </c>
      <c r="E2204" s="2">
        <v>1000</v>
      </c>
      <c r="H2204" s="2" t="s">
        <v>34</v>
      </c>
    </row>
    <row r="2205" spans="1:8" ht="13" hidden="1">
      <c r="A2205" s="15">
        <v>45697.632623090278</v>
      </c>
      <c r="B2205" s="16">
        <v>45696</v>
      </c>
      <c r="C2205" s="2" t="s">
        <v>919</v>
      </c>
      <c r="D2205" s="2" t="s">
        <v>39</v>
      </c>
      <c r="E2205" s="2">
        <v>1950</v>
      </c>
      <c r="F2205" s="2" t="s">
        <v>102</v>
      </c>
      <c r="G2205" s="2" t="s">
        <v>797</v>
      </c>
      <c r="H2205" s="2" t="s">
        <v>35</v>
      </c>
    </row>
    <row r="2206" spans="1:8" ht="13" hidden="1">
      <c r="A2206" s="15">
        <v>45699.798129236107</v>
      </c>
      <c r="B2206" s="16">
        <v>45696</v>
      </c>
      <c r="C2206" s="2" t="s">
        <v>116</v>
      </c>
      <c r="D2206" s="2" t="s">
        <v>38</v>
      </c>
      <c r="E2206" s="2">
        <v>2459</v>
      </c>
      <c r="F2206" s="2" t="s">
        <v>100</v>
      </c>
      <c r="G2206" s="2" t="s">
        <v>652</v>
      </c>
      <c r="H2206" s="2" t="s">
        <v>35</v>
      </c>
    </row>
    <row r="2207" spans="1:8" ht="13" hidden="1">
      <c r="A2207" s="15">
        <v>45803.827978715279</v>
      </c>
      <c r="B2207" s="16">
        <v>45791</v>
      </c>
      <c r="C2207" s="2" t="s">
        <v>920</v>
      </c>
      <c r="D2207" s="2" t="s">
        <v>45</v>
      </c>
      <c r="E2207" s="2">
        <v>4000</v>
      </c>
      <c r="F2207" s="2" t="s">
        <v>100</v>
      </c>
      <c r="G2207" s="2" t="s">
        <v>129</v>
      </c>
      <c r="H2207" s="2" t="s">
        <v>35</v>
      </c>
    </row>
    <row r="2208" spans="1:8" ht="13" hidden="1">
      <c r="A2208" s="15">
        <v>45797.963062569441</v>
      </c>
      <c r="B2208" s="16">
        <v>45796</v>
      </c>
      <c r="C2208" s="2" t="s">
        <v>921</v>
      </c>
      <c r="D2208" s="2" t="s">
        <v>45</v>
      </c>
      <c r="E2208" s="2">
        <v>3750</v>
      </c>
      <c r="F2208" s="2" t="s">
        <v>102</v>
      </c>
      <c r="H2208" s="2" t="s">
        <v>35</v>
      </c>
    </row>
    <row r="2209" spans="1:8" ht="13" hidden="1">
      <c r="A2209" s="15">
        <v>45699.798595578701</v>
      </c>
      <c r="B2209" s="16">
        <v>45697</v>
      </c>
      <c r="C2209" s="2" t="s">
        <v>197</v>
      </c>
      <c r="D2209" s="2" t="s">
        <v>48</v>
      </c>
      <c r="E2209" s="2">
        <v>880</v>
      </c>
      <c r="F2209" s="2" t="s">
        <v>100</v>
      </c>
      <c r="H2209" s="2" t="s">
        <v>35</v>
      </c>
    </row>
    <row r="2210" spans="1:8" ht="13" hidden="1">
      <c r="A2210" s="15">
        <v>45699.79879533565</v>
      </c>
      <c r="B2210" s="16">
        <v>45697</v>
      </c>
      <c r="C2210" s="2" t="s">
        <v>922</v>
      </c>
      <c r="E2210" s="2">
        <v>3000</v>
      </c>
      <c r="H2210" s="2" t="s">
        <v>34</v>
      </c>
    </row>
    <row r="2211" spans="1:8" ht="13" hidden="1">
      <c r="A2211" s="15">
        <v>45710.861119976849</v>
      </c>
      <c r="B2211" s="16">
        <v>45697</v>
      </c>
      <c r="C2211" s="2" t="s">
        <v>923</v>
      </c>
      <c r="D2211" s="2" t="s">
        <v>39</v>
      </c>
      <c r="E2211" s="2">
        <v>10220</v>
      </c>
      <c r="F2211" s="2" t="s">
        <v>102</v>
      </c>
      <c r="H2211" s="2" t="s">
        <v>35</v>
      </c>
    </row>
    <row r="2212" spans="1:8" ht="13" hidden="1">
      <c r="A2212" s="15">
        <v>45710.861444224538</v>
      </c>
      <c r="B2212" s="16">
        <v>45697</v>
      </c>
      <c r="C2212" s="2" t="s">
        <v>533</v>
      </c>
      <c r="D2212" s="2" t="s">
        <v>46</v>
      </c>
      <c r="E2212" s="2">
        <v>737</v>
      </c>
      <c r="F2212" s="2" t="s">
        <v>102</v>
      </c>
      <c r="G2212" s="2" t="s">
        <v>924</v>
      </c>
      <c r="H2212" s="2" t="s">
        <v>35</v>
      </c>
    </row>
    <row r="2213" spans="1:8" ht="13" hidden="1">
      <c r="A2213" s="15">
        <v>45710.872023391203</v>
      </c>
      <c r="B2213" s="16">
        <v>45697</v>
      </c>
      <c r="C2213" s="2" t="s">
        <v>526</v>
      </c>
      <c r="D2213" s="2" t="s">
        <v>40</v>
      </c>
      <c r="E2213" s="2">
        <v>1000</v>
      </c>
      <c r="F2213" s="2" t="s">
        <v>102</v>
      </c>
      <c r="H2213" s="2" t="s">
        <v>35</v>
      </c>
    </row>
    <row r="2214" spans="1:8" ht="13" hidden="1">
      <c r="A2214" s="15">
        <v>45670.870403009263</v>
      </c>
      <c r="B2214" s="16">
        <v>45670</v>
      </c>
      <c r="C2214" s="2" t="s">
        <v>204</v>
      </c>
      <c r="D2214" s="2" t="s">
        <v>45</v>
      </c>
      <c r="E2214" s="2">
        <v>3700</v>
      </c>
      <c r="F2214" s="2" t="s">
        <v>102</v>
      </c>
      <c r="G2214" s="2" t="s">
        <v>692</v>
      </c>
      <c r="H2214" s="2" t="s">
        <v>35</v>
      </c>
    </row>
    <row r="2215" spans="1:8" ht="13" hidden="1">
      <c r="A2215" s="15">
        <v>45710.861805624998</v>
      </c>
      <c r="B2215" s="16">
        <v>45698</v>
      </c>
      <c r="C2215" s="2" t="s">
        <v>357</v>
      </c>
      <c r="D2215" s="2" t="s">
        <v>38</v>
      </c>
      <c r="E2215" s="2">
        <v>610</v>
      </c>
      <c r="F2215" s="2" t="s">
        <v>102</v>
      </c>
      <c r="G2215" s="2" t="s">
        <v>356</v>
      </c>
      <c r="H2215" s="2" t="s">
        <v>35</v>
      </c>
    </row>
    <row r="2216" spans="1:8" ht="13" hidden="1">
      <c r="A2216" s="15">
        <v>45710.872640729169</v>
      </c>
      <c r="B2216" s="16">
        <v>45698</v>
      </c>
      <c r="C2216" s="2" t="s">
        <v>240</v>
      </c>
      <c r="D2216" s="2" t="s">
        <v>42</v>
      </c>
      <c r="E2216" s="2">
        <v>88</v>
      </c>
      <c r="F2216" s="2" t="s">
        <v>100</v>
      </c>
      <c r="H2216" s="2" t="s">
        <v>35</v>
      </c>
    </row>
    <row r="2217" spans="1:8" ht="13" hidden="1">
      <c r="A2217" s="15">
        <v>45710.862106550921</v>
      </c>
      <c r="B2217" s="16">
        <v>45699</v>
      </c>
      <c r="C2217" s="2" t="s">
        <v>111</v>
      </c>
      <c r="D2217" s="2" t="s">
        <v>38</v>
      </c>
      <c r="E2217" s="2">
        <v>1350</v>
      </c>
      <c r="F2217" s="2" t="s">
        <v>102</v>
      </c>
      <c r="G2217" s="2" t="s">
        <v>925</v>
      </c>
      <c r="H2217" s="2" t="s">
        <v>35</v>
      </c>
    </row>
    <row r="2218" spans="1:8" ht="13" hidden="1">
      <c r="A2218" s="15">
        <v>45710.873339780097</v>
      </c>
      <c r="B2218" s="16">
        <v>45699</v>
      </c>
      <c r="C2218" s="2" t="s">
        <v>18</v>
      </c>
      <c r="D2218" s="2" t="s">
        <v>41</v>
      </c>
      <c r="E2218" s="2">
        <v>5868</v>
      </c>
      <c r="F2218" s="2" t="s">
        <v>100</v>
      </c>
      <c r="H2218" s="2" t="s">
        <v>35</v>
      </c>
    </row>
    <row r="2219" spans="1:8" ht="13" hidden="1">
      <c r="A2219" s="15">
        <v>45710.873767650468</v>
      </c>
      <c r="B2219" s="16">
        <v>45700</v>
      </c>
      <c r="C2219" s="2" t="s">
        <v>116</v>
      </c>
      <c r="D2219" s="2" t="s">
        <v>38</v>
      </c>
      <c r="E2219" s="2">
        <v>681</v>
      </c>
      <c r="F2219" s="2" t="s">
        <v>100</v>
      </c>
      <c r="G2219" s="2" t="s">
        <v>652</v>
      </c>
      <c r="H2219" s="2" t="s">
        <v>35</v>
      </c>
    </row>
    <row r="2220" spans="1:8" ht="13" hidden="1">
      <c r="A2220" s="15">
        <v>45710.874018055554</v>
      </c>
      <c r="B2220" s="16">
        <v>45700</v>
      </c>
      <c r="C2220" s="2" t="s">
        <v>807</v>
      </c>
      <c r="D2220" s="2" t="s">
        <v>152</v>
      </c>
      <c r="E2220" s="2">
        <v>12840</v>
      </c>
      <c r="F2220" s="2" t="s">
        <v>100</v>
      </c>
      <c r="H2220" s="2" t="s">
        <v>35</v>
      </c>
    </row>
    <row r="2221" spans="1:8" ht="13" hidden="1">
      <c r="A2221" s="15">
        <v>45710.87428506944</v>
      </c>
      <c r="B2221" s="16">
        <v>45700</v>
      </c>
      <c r="C2221" s="2" t="s">
        <v>807</v>
      </c>
      <c r="D2221" s="2" t="s">
        <v>152</v>
      </c>
      <c r="E2221" s="2">
        <v>1944</v>
      </c>
      <c r="F2221" s="2" t="s">
        <v>100</v>
      </c>
      <c r="H2221" s="2" t="s">
        <v>35</v>
      </c>
    </row>
    <row r="2222" spans="1:8" ht="13" hidden="1">
      <c r="A2222" s="15">
        <v>45710.874572870365</v>
      </c>
      <c r="B2222" s="16">
        <v>45700</v>
      </c>
      <c r="C2222" s="2" t="s">
        <v>807</v>
      </c>
      <c r="D2222" s="2" t="s">
        <v>152</v>
      </c>
      <c r="E2222" s="2">
        <v>1944</v>
      </c>
      <c r="F2222" s="2" t="s">
        <v>100</v>
      </c>
      <c r="H2222" s="2" t="s">
        <v>35</v>
      </c>
    </row>
    <row r="2223" spans="1:8" ht="13" hidden="1">
      <c r="A2223" s="15">
        <v>45710.862393240735</v>
      </c>
      <c r="B2223" s="16">
        <v>45701</v>
      </c>
      <c r="C2223" s="2" t="s">
        <v>357</v>
      </c>
      <c r="D2223" s="2" t="s">
        <v>38</v>
      </c>
      <c r="E2223" s="2">
        <v>842</v>
      </c>
      <c r="F2223" s="2" t="s">
        <v>102</v>
      </c>
      <c r="H2223" s="2" t="s">
        <v>35</v>
      </c>
    </row>
    <row r="2224" spans="1:8" ht="13" hidden="1">
      <c r="A2224" s="15">
        <v>45710.87512409722</v>
      </c>
      <c r="B2224" s="16">
        <v>45701</v>
      </c>
      <c r="C2224" s="2" t="s">
        <v>923</v>
      </c>
      <c r="D2224" s="2" t="s">
        <v>39</v>
      </c>
      <c r="E2224" s="2">
        <v>14090</v>
      </c>
      <c r="F2224" s="2" t="s">
        <v>100</v>
      </c>
      <c r="H2224" s="2" t="s">
        <v>35</v>
      </c>
    </row>
    <row r="2225" spans="1:8" ht="13" hidden="1">
      <c r="A2225" s="15">
        <v>45710.875547824078</v>
      </c>
      <c r="B2225" s="16">
        <v>45701</v>
      </c>
      <c r="C2225" s="2" t="s">
        <v>350</v>
      </c>
      <c r="D2225" s="2" t="s">
        <v>40</v>
      </c>
      <c r="E2225" s="2">
        <v>1000</v>
      </c>
      <c r="F2225" s="2" t="s">
        <v>100</v>
      </c>
      <c r="H2225" s="2" t="s">
        <v>35</v>
      </c>
    </row>
    <row r="2226" spans="1:8" ht="13" hidden="1">
      <c r="A2226" s="15">
        <v>45710.875955833333</v>
      </c>
      <c r="B2226" s="16">
        <v>45701</v>
      </c>
      <c r="C2226" s="2" t="s">
        <v>240</v>
      </c>
      <c r="D2226" s="2" t="s">
        <v>42</v>
      </c>
      <c r="E2226" s="2">
        <v>990</v>
      </c>
      <c r="F2226" s="2" t="s">
        <v>100</v>
      </c>
      <c r="H2226" s="2" t="s">
        <v>35</v>
      </c>
    </row>
    <row r="2227" spans="1:8" ht="13" hidden="1">
      <c r="A2227" s="15">
        <v>45710.87629375</v>
      </c>
      <c r="B2227" s="16">
        <v>45702</v>
      </c>
      <c r="C2227" s="2" t="s">
        <v>662</v>
      </c>
      <c r="D2227" s="2" t="s">
        <v>48</v>
      </c>
      <c r="E2227" s="2">
        <v>3478</v>
      </c>
      <c r="F2227" s="2" t="s">
        <v>100</v>
      </c>
      <c r="H2227" s="2" t="s">
        <v>35</v>
      </c>
    </row>
    <row r="2228" spans="1:8" ht="13" hidden="1">
      <c r="A2228" s="15">
        <v>45710.862662754633</v>
      </c>
      <c r="B2228" s="16">
        <v>45703</v>
      </c>
      <c r="C2228" s="2" t="s">
        <v>926</v>
      </c>
      <c r="D2228" s="2" t="s">
        <v>39</v>
      </c>
      <c r="E2228" s="2">
        <v>2886</v>
      </c>
      <c r="F2228" s="2" t="s">
        <v>102</v>
      </c>
      <c r="H2228" s="2" t="s">
        <v>35</v>
      </c>
    </row>
    <row r="2229" spans="1:8" ht="13" hidden="1">
      <c r="A2229" s="15">
        <v>45710.863003159728</v>
      </c>
      <c r="B2229" s="16">
        <v>45703</v>
      </c>
      <c r="C2229" s="2" t="s">
        <v>927</v>
      </c>
      <c r="D2229" s="2" t="s">
        <v>39</v>
      </c>
      <c r="E2229" s="2">
        <v>2614</v>
      </c>
      <c r="F2229" s="2" t="s">
        <v>102</v>
      </c>
      <c r="H2229" s="2" t="s">
        <v>35</v>
      </c>
    </row>
    <row r="2230" spans="1:8" ht="13" hidden="1">
      <c r="A2230" s="15">
        <v>45710.876612662032</v>
      </c>
      <c r="B2230" s="16">
        <v>45703</v>
      </c>
      <c r="C2230" s="2" t="s">
        <v>807</v>
      </c>
      <c r="D2230" s="2" t="s">
        <v>152</v>
      </c>
      <c r="E2230" s="2">
        <v>4678</v>
      </c>
      <c r="F2230" s="2" t="s">
        <v>100</v>
      </c>
      <c r="H2230" s="2" t="s">
        <v>35</v>
      </c>
    </row>
    <row r="2231" spans="1:8" ht="13" hidden="1">
      <c r="A2231" s="15">
        <v>45710.877019803243</v>
      </c>
      <c r="B2231" s="16">
        <v>45703</v>
      </c>
      <c r="C2231" s="2" t="s">
        <v>350</v>
      </c>
      <c r="D2231" s="2" t="s">
        <v>40</v>
      </c>
      <c r="E2231" s="2">
        <v>1000</v>
      </c>
      <c r="F2231" s="2" t="s">
        <v>100</v>
      </c>
      <c r="H2231" s="2" t="s">
        <v>35</v>
      </c>
    </row>
    <row r="2232" spans="1:8" ht="13" hidden="1">
      <c r="A2232" s="15">
        <v>45710.863324201389</v>
      </c>
      <c r="B2232" s="16">
        <v>45704</v>
      </c>
      <c r="C2232" s="2" t="s">
        <v>928</v>
      </c>
      <c r="D2232" s="2" t="s">
        <v>39</v>
      </c>
      <c r="E2232" s="2">
        <v>1760</v>
      </c>
      <c r="F2232" s="2" t="s">
        <v>102</v>
      </c>
      <c r="H2232" s="2" t="s">
        <v>35</v>
      </c>
    </row>
    <row r="2233" spans="1:8" ht="13" hidden="1">
      <c r="A2233" s="15">
        <v>45710.864182743055</v>
      </c>
      <c r="B2233" s="16">
        <v>45704</v>
      </c>
      <c r="C2233" s="2" t="s">
        <v>929</v>
      </c>
      <c r="D2233" s="2" t="s">
        <v>38</v>
      </c>
      <c r="E2233" s="2">
        <v>401</v>
      </c>
      <c r="F2233" s="2" t="s">
        <v>102</v>
      </c>
      <c r="G2233" s="2" t="s">
        <v>356</v>
      </c>
      <c r="H2233" s="2" t="s">
        <v>35</v>
      </c>
    </row>
    <row r="2234" spans="1:8" ht="13" hidden="1">
      <c r="A2234" s="15">
        <v>45710.877812349536</v>
      </c>
      <c r="B2234" s="16">
        <v>45704</v>
      </c>
      <c r="C2234" s="2" t="s">
        <v>930</v>
      </c>
      <c r="D2234" s="2" t="s">
        <v>39</v>
      </c>
      <c r="E2234" s="2">
        <v>480</v>
      </c>
      <c r="F2234" s="2" t="s">
        <v>100</v>
      </c>
      <c r="H2234" s="2" t="s">
        <v>35</v>
      </c>
    </row>
    <row r="2235" spans="1:8" ht="13" hidden="1">
      <c r="A2235" s="15">
        <v>45710.878120300928</v>
      </c>
      <c r="B2235" s="16">
        <v>45704</v>
      </c>
      <c r="C2235" s="2" t="s">
        <v>350</v>
      </c>
      <c r="D2235" s="2" t="s">
        <v>40</v>
      </c>
      <c r="E2235" s="2">
        <v>1000</v>
      </c>
      <c r="F2235" s="2" t="s">
        <v>100</v>
      </c>
      <c r="H2235" s="2" t="s">
        <v>35</v>
      </c>
    </row>
    <row r="2236" spans="1:8" ht="13" hidden="1">
      <c r="A2236" s="15">
        <v>45710.879018171298</v>
      </c>
      <c r="B2236" s="16">
        <v>45704</v>
      </c>
      <c r="C2236" s="2" t="s">
        <v>240</v>
      </c>
      <c r="D2236" s="2" t="s">
        <v>42</v>
      </c>
      <c r="E2236" s="2">
        <v>990</v>
      </c>
      <c r="F2236" s="2" t="s">
        <v>100</v>
      </c>
      <c r="H2236" s="2" t="s">
        <v>35</v>
      </c>
    </row>
    <row r="2237" spans="1:8" ht="13" hidden="1">
      <c r="A2237" s="15">
        <v>45710.879360694445</v>
      </c>
      <c r="B2237" s="16">
        <v>45704</v>
      </c>
      <c r="C2237" s="2" t="s">
        <v>350</v>
      </c>
      <c r="D2237" s="2" t="s">
        <v>40</v>
      </c>
      <c r="E2237" s="2">
        <v>1000</v>
      </c>
      <c r="F2237" s="2" t="s">
        <v>100</v>
      </c>
      <c r="H2237" s="2" t="s">
        <v>35</v>
      </c>
    </row>
    <row r="2238" spans="1:8" ht="13" hidden="1">
      <c r="A2238" s="15">
        <v>45710.879665902779</v>
      </c>
      <c r="B2238" s="16">
        <v>45704</v>
      </c>
      <c r="C2238" s="2" t="s">
        <v>928</v>
      </c>
      <c r="D2238" s="2" t="s">
        <v>39</v>
      </c>
      <c r="E2238" s="2">
        <v>1757</v>
      </c>
      <c r="F2238" s="2" t="s">
        <v>100</v>
      </c>
      <c r="H2238" s="2" t="s">
        <v>35</v>
      </c>
    </row>
    <row r="2239" spans="1:8" ht="13" hidden="1">
      <c r="A2239" s="15">
        <v>45710.879979004632</v>
      </c>
      <c r="B2239" s="16">
        <v>45704</v>
      </c>
      <c r="C2239" s="2" t="s">
        <v>20</v>
      </c>
      <c r="D2239" s="2" t="s">
        <v>39</v>
      </c>
      <c r="E2239" s="2">
        <v>1590</v>
      </c>
      <c r="F2239" s="2" t="s">
        <v>100</v>
      </c>
      <c r="H2239" s="2" t="s">
        <v>35</v>
      </c>
    </row>
    <row r="2240" spans="1:8" ht="13" hidden="1">
      <c r="A2240" s="15">
        <v>45710.864592210652</v>
      </c>
      <c r="B2240" s="16">
        <v>45705</v>
      </c>
      <c r="C2240" s="2" t="s">
        <v>106</v>
      </c>
      <c r="D2240" s="2" t="s">
        <v>38</v>
      </c>
      <c r="E2240" s="2">
        <v>1400</v>
      </c>
      <c r="F2240" s="2" t="s">
        <v>102</v>
      </c>
      <c r="G2240" s="2" t="s">
        <v>931</v>
      </c>
      <c r="H2240" s="2" t="s">
        <v>35</v>
      </c>
    </row>
    <row r="2241" spans="1:8" ht="13" hidden="1">
      <c r="A2241" s="15">
        <v>45710.865000659724</v>
      </c>
      <c r="B2241" s="16">
        <v>45705</v>
      </c>
      <c r="C2241" s="2" t="s">
        <v>287</v>
      </c>
      <c r="D2241" s="2" t="s">
        <v>38</v>
      </c>
      <c r="E2241" s="2">
        <v>430</v>
      </c>
      <c r="F2241" s="2" t="s">
        <v>102</v>
      </c>
      <c r="G2241" s="2" t="s">
        <v>199</v>
      </c>
      <c r="H2241" s="2" t="s">
        <v>35</v>
      </c>
    </row>
    <row r="2242" spans="1:8" ht="13" hidden="1">
      <c r="A2242" s="15">
        <v>45710.880387777783</v>
      </c>
      <c r="B2242" s="16">
        <v>45705</v>
      </c>
      <c r="C2242" s="2" t="s">
        <v>371</v>
      </c>
      <c r="D2242" s="2" t="s">
        <v>39</v>
      </c>
      <c r="E2242" s="2">
        <v>2310</v>
      </c>
      <c r="F2242" s="2" t="s">
        <v>100</v>
      </c>
      <c r="H2242" s="2" t="s">
        <v>35</v>
      </c>
    </row>
    <row r="2243" spans="1:8" ht="13" hidden="1">
      <c r="A2243" s="15">
        <v>45710.880695636573</v>
      </c>
      <c r="B2243" s="16">
        <v>45705</v>
      </c>
      <c r="C2243" s="2" t="s">
        <v>308</v>
      </c>
      <c r="D2243" s="2" t="s">
        <v>40</v>
      </c>
      <c r="E2243" s="2">
        <v>13690</v>
      </c>
      <c r="F2243" s="2" t="s">
        <v>100</v>
      </c>
      <c r="H2243" s="2" t="s">
        <v>35</v>
      </c>
    </row>
    <row r="2244" spans="1:8" ht="13" hidden="1">
      <c r="A2244" s="15">
        <v>45760.738902384255</v>
      </c>
      <c r="B2244" s="16">
        <v>45759</v>
      </c>
      <c r="C2244" s="2" t="s">
        <v>204</v>
      </c>
      <c r="D2244" s="2" t="s">
        <v>45</v>
      </c>
      <c r="E2244" s="2">
        <v>3700</v>
      </c>
      <c r="F2244" s="2" t="s">
        <v>102</v>
      </c>
      <c r="H2244" s="2" t="s">
        <v>35</v>
      </c>
    </row>
    <row r="2245" spans="1:8" ht="13" hidden="1">
      <c r="A2245" s="15">
        <v>45797.960751805556</v>
      </c>
      <c r="B2245" s="16">
        <v>45794</v>
      </c>
      <c r="C2245" s="2" t="s">
        <v>204</v>
      </c>
      <c r="D2245" s="2" t="s">
        <v>45</v>
      </c>
      <c r="E2245" s="2">
        <v>3700</v>
      </c>
      <c r="F2245" s="2" t="s">
        <v>102</v>
      </c>
      <c r="G2245" s="2" t="s">
        <v>692</v>
      </c>
      <c r="H2245" s="2" t="s">
        <v>35</v>
      </c>
    </row>
    <row r="2246" spans="1:8" ht="13" hidden="1">
      <c r="A2246" s="15">
        <v>45710.881436342592</v>
      </c>
      <c r="B2246" s="16">
        <v>45706</v>
      </c>
      <c r="C2246" s="2" t="s">
        <v>368</v>
      </c>
      <c r="D2246" s="2" t="s">
        <v>39</v>
      </c>
      <c r="E2246" s="2">
        <v>1180</v>
      </c>
      <c r="F2246" s="2" t="s">
        <v>100</v>
      </c>
      <c r="H2246" s="2" t="s">
        <v>35</v>
      </c>
    </row>
    <row r="2247" spans="1:8" ht="13" hidden="1">
      <c r="A2247" s="15">
        <v>45710.881749571759</v>
      </c>
      <c r="B2247" s="16">
        <v>45706</v>
      </c>
      <c r="C2247" s="2" t="s">
        <v>932</v>
      </c>
      <c r="D2247" s="2" t="s">
        <v>48</v>
      </c>
      <c r="E2247" s="2">
        <v>150</v>
      </c>
      <c r="F2247" s="2" t="s">
        <v>100</v>
      </c>
      <c r="H2247" s="2" t="s">
        <v>35</v>
      </c>
    </row>
    <row r="2248" spans="1:8" ht="13" hidden="1">
      <c r="A2248" s="15">
        <v>45710.882099490744</v>
      </c>
      <c r="B2248" s="16">
        <v>45706</v>
      </c>
      <c r="C2248" s="2" t="s">
        <v>116</v>
      </c>
      <c r="D2248" s="2" t="s">
        <v>38</v>
      </c>
      <c r="E2248" s="2">
        <v>576</v>
      </c>
      <c r="F2248" s="2" t="s">
        <v>100</v>
      </c>
      <c r="G2248" s="2" t="s">
        <v>652</v>
      </c>
      <c r="H2248" s="2" t="s">
        <v>35</v>
      </c>
    </row>
    <row r="2249" spans="1:8" ht="13" hidden="1">
      <c r="A2249" s="15">
        <v>45710.865810671297</v>
      </c>
      <c r="B2249" s="16">
        <v>45707</v>
      </c>
      <c r="C2249" s="2" t="s">
        <v>933</v>
      </c>
      <c r="D2249" s="2" t="s">
        <v>38</v>
      </c>
      <c r="E2249" s="2">
        <v>1200</v>
      </c>
      <c r="F2249" s="2" t="s">
        <v>102</v>
      </c>
      <c r="H2249" s="2" t="s">
        <v>35</v>
      </c>
    </row>
    <row r="2250" spans="1:8" ht="13" hidden="1">
      <c r="A2250" s="15">
        <v>45710.882458668981</v>
      </c>
      <c r="B2250" s="16">
        <v>45707</v>
      </c>
      <c r="C2250" s="2" t="s">
        <v>533</v>
      </c>
      <c r="D2250" s="2" t="s">
        <v>46</v>
      </c>
      <c r="E2250" s="2">
        <v>2200</v>
      </c>
      <c r="F2250" s="2" t="s">
        <v>100</v>
      </c>
      <c r="G2250" s="2" t="s">
        <v>129</v>
      </c>
      <c r="H2250" s="2" t="s">
        <v>35</v>
      </c>
    </row>
    <row r="2251" spans="1:8" ht="13" hidden="1">
      <c r="A2251" s="15">
        <v>45710.866144675922</v>
      </c>
      <c r="B2251" s="16">
        <v>45708</v>
      </c>
      <c r="C2251" s="2" t="s">
        <v>934</v>
      </c>
      <c r="D2251" s="2" t="s">
        <v>39</v>
      </c>
      <c r="E2251" s="2">
        <v>9603</v>
      </c>
      <c r="F2251" s="2" t="s">
        <v>102</v>
      </c>
      <c r="H2251" s="2" t="s">
        <v>35</v>
      </c>
    </row>
    <row r="2252" spans="1:8" ht="13" hidden="1">
      <c r="A2252" s="15">
        <v>45710.866372060183</v>
      </c>
      <c r="B2252" s="16">
        <v>45708</v>
      </c>
      <c r="C2252" s="2" t="s">
        <v>935</v>
      </c>
      <c r="E2252" s="2">
        <v>4802</v>
      </c>
      <c r="H2252" s="2" t="s">
        <v>34</v>
      </c>
    </row>
    <row r="2253" spans="1:8" ht="13" hidden="1">
      <c r="A2253" s="15">
        <v>45710.868448923611</v>
      </c>
      <c r="B2253" s="16">
        <v>45708</v>
      </c>
      <c r="C2253" s="2" t="s">
        <v>936</v>
      </c>
      <c r="D2253" s="2" t="s">
        <v>38</v>
      </c>
      <c r="E2253" s="2">
        <v>900</v>
      </c>
      <c r="F2253" s="2" t="s">
        <v>102</v>
      </c>
      <c r="H2253" s="2" t="s">
        <v>35</v>
      </c>
    </row>
    <row r="2254" spans="1:8" ht="13" hidden="1">
      <c r="A2254" s="15">
        <v>45710.882756250001</v>
      </c>
      <c r="B2254" s="16">
        <v>45708</v>
      </c>
      <c r="C2254" s="2" t="s">
        <v>24</v>
      </c>
      <c r="D2254" s="2" t="s">
        <v>49</v>
      </c>
      <c r="E2254" s="2">
        <v>1100</v>
      </c>
      <c r="F2254" s="2" t="s">
        <v>100</v>
      </c>
      <c r="H2254" s="2" t="s">
        <v>35</v>
      </c>
    </row>
    <row r="2255" spans="1:8" ht="13" hidden="1">
      <c r="A2255" s="15">
        <v>45722.865839201389</v>
      </c>
      <c r="B2255" s="16">
        <v>45708</v>
      </c>
      <c r="C2255" s="2" t="s">
        <v>350</v>
      </c>
      <c r="D2255" s="2" t="s">
        <v>40</v>
      </c>
      <c r="E2255" s="2">
        <v>1000</v>
      </c>
      <c r="F2255" s="2" t="s">
        <v>100</v>
      </c>
      <c r="H2255" s="2" t="s">
        <v>35</v>
      </c>
    </row>
    <row r="2256" spans="1:8" ht="13" hidden="1">
      <c r="A2256" s="15">
        <v>45710.866618506945</v>
      </c>
      <c r="B2256" s="16">
        <v>45709</v>
      </c>
      <c r="C2256" s="2" t="s">
        <v>106</v>
      </c>
      <c r="D2256" s="2" t="s">
        <v>38</v>
      </c>
      <c r="E2256" s="2">
        <v>900</v>
      </c>
      <c r="F2256" s="2" t="s">
        <v>102</v>
      </c>
      <c r="H2256" s="2" t="s">
        <v>35</v>
      </c>
    </row>
    <row r="2257" spans="1:8" ht="13" hidden="1">
      <c r="A2257" s="15">
        <v>45710.867446122684</v>
      </c>
      <c r="B2257" s="16">
        <v>45709</v>
      </c>
      <c r="C2257" s="2" t="s">
        <v>937</v>
      </c>
      <c r="D2257" s="2" t="s">
        <v>38</v>
      </c>
      <c r="E2257" s="2">
        <v>130</v>
      </c>
      <c r="F2257" s="2" t="s">
        <v>102</v>
      </c>
      <c r="G2257" s="2" t="s">
        <v>356</v>
      </c>
      <c r="H2257" s="2" t="s">
        <v>35</v>
      </c>
    </row>
    <row r="2258" spans="1:8" ht="13" hidden="1">
      <c r="A2258" s="15">
        <v>45858.93740289352</v>
      </c>
      <c r="B2258" s="16">
        <v>45844</v>
      </c>
      <c r="C2258" s="2" t="s">
        <v>204</v>
      </c>
      <c r="D2258" s="2" t="s">
        <v>45</v>
      </c>
      <c r="E2258" s="2">
        <v>3700</v>
      </c>
      <c r="F2258" s="2" t="s">
        <v>102</v>
      </c>
      <c r="H2258" s="2" t="s">
        <v>35</v>
      </c>
    </row>
    <row r="2259" spans="1:8" ht="13" hidden="1">
      <c r="A2259" s="15">
        <v>45710.86820287037</v>
      </c>
      <c r="B2259" s="16">
        <v>45710</v>
      </c>
      <c r="C2259" s="2" t="s">
        <v>938</v>
      </c>
      <c r="D2259" s="2" t="s">
        <v>38</v>
      </c>
      <c r="E2259" s="2">
        <v>1200</v>
      </c>
      <c r="F2259" s="2" t="s">
        <v>102</v>
      </c>
      <c r="G2259" s="2" t="s">
        <v>667</v>
      </c>
      <c r="H2259" s="2" t="s">
        <v>35</v>
      </c>
    </row>
    <row r="2260" spans="1:8" ht="13" hidden="1">
      <c r="A2260" s="15">
        <v>45722.866766122686</v>
      </c>
      <c r="B2260" s="16">
        <v>45710</v>
      </c>
      <c r="C2260" s="2" t="s">
        <v>240</v>
      </c>
      <c r="D2260" s="2" t="s">
        <v>42</v>
      </c>
      <c r="E2260" s="2">
        <v>990</v>
      </c>
      <c r="F2260" s="2" t="s">
        <v>100</v>
      </c>
      <c r="H2260" s="2" t="s">
        <v>35</v>
      </c>
    </row>
    <row r="2261" spans="1:8" ht="13" hidden="1">
      <c r="A2261" s="15">
        <v>45722.867198622684</v>
      </c>
      <c r="B2261" s="16">
        <v>45710</v>
      </c>
      <c r="C2261" s="2" t="s">
        <v>116</v>
      </c>
      <c r="D2261" s="2" t="s">
        <v>38</v>
      </c>
      <c r="E2261" s="2">
        <v>1316</v>
      </c>
      <c r="F2261" s="2" t="s">
        <v>100</v>
      </c>
      <c r="G2261" s="2" t="s">
        <v>652</v>
      </c>
      <c r="H2261" s="2" t="s">
        <v>35</v>
      </c>
    </row>
    <row r="2262" spans="1:8" ht="13" hidden="1">
      <c r="A2262" s="15">
        <v>45722.856657418983</v>
      </c>
      <c r="B2262" s="16">
        <v>45711</v>
      </c>
      <c r="C2262" s="2" t="s">
        <v>939</v>
      </c>
      <c r="D2262" s="2" t="s">
        <v>38</v>
      </c>
      <c r="E2262" s="2">
        <v>310</v>
      </c>
      <c r="F2262" s="2" t="s">
        <v>102</v>
      </c>
      <c r="H2262" s="2" t="s">
        <v>35</v>
      </c>
    </row>
    <row r="2263" spans="1:8" ht="13" hidden="1">
      <c r="A2263" s="15">
        <v>45722.857022337965</v>
      </c>
      <c r="B2263" s="16">
        <v>45711</v>
      </c>
      <c r="C2263" s="2" t="s">
        <v>436</v>
      </c>
      <c r="D2263" s="2" t="s">
        <v>38</v>
      </c>
      <c r="E2263" s="2">
        <v>553</v>
      </c>
      <c r="F2263" s="2" t="s">
        <v>102</v>
      </c>
      <c r="G2263" s="2" t="s">
        <v>356</v>
      </c>
      <c r="H2263" s="2" t="s">
        <v>35</v>
      </c>
    </row>
    <row r="2264" spans="1:8" ht="13" hidden="1">
      <c r="A2264" s="15">
        <v>45722.868666099537</v>
      </c>
      <c r="B2264" s="16">
        <v>45711</v>
      </c>
      <c r="C2264" s="2" t="s">
        <v>940</v>
      </c>
      <c r="D2264" s="2" t="s">
        <v>38</v>
      </c>
      <c r="E2264" s="2">
        <v>990</v>
      </c>
      <c r="F2264" s="2" t="s">
        <v>100</v>
      </c>
      <c r="H2264" s="2" t="s">
        <v>35</v>
      </c>
    </row>
    <row r="2265" spans="1:8" ht="13" hidden="1">
      <c r="A2265" s="15">
        <v>45722.868957546292</v>
      </c>
      <c r="B2265" s="16">
        <v>45711</v>
      </c>
      <c r="C2265" s="2" t="s">
        <v>240</v>
      </c>
      <c r="D2265" s="2" t="s">
        <v>42</v>
      </c>
      <c r="E2265" s="2">
        <v>330</v>
      </c>
      <c r="F2265" s="2" t="s">
        <v>100</v>
      </c>
      <c r="H2265" s="2" t="s">
        <v>35</v>
      </c>
    </row>
    <row r="2266" spans="1:8" ht="13" hidden="1">
      <c r="A2266" s="15">
        <v>45722.857330555555</v>
      </c>
      <c r="B2266" s="16">
        <v>45712</v>
      </c>
      <c r="C2266" s="2" t="s">
        <v>941</v>
      </c>
      <c r="D2266" s="2" t="s">
        <v>39</v>
      </c>
      <c r="E2266" s="2">
        <v>3330</v>
      </c>
      <c r="F2266" s="2" t="s">
        <v>102</v>
      </c>
      <c r="H2266" s="2" t="s">
        <v>35</v>
      </c>
    </row>
    <row r="2267" spans="1:8" ht="13" hidden="1">
      <c r="A2267" s="15">
        <v>45722.857671608799</v>
      </c>
      <c r="B2267" s="16">
        <v>45712</v>
      </c>
      <c r="C2267" s="2" t="s">
        <v>942</v>
      </c>
      <c r="D2267" s="2" t="s">
        <v>39</v>
      </c>
      <c r="E2267" s="2">
        <v>1836</v>
      </c>
      <c r="F2267" s="2" t="s">
        <v>102</v>
      </c>
      <c r="H2267" s="2" t="s">
        <v>35</v>
      </c>
    </row>
    <row r="2268" spans="1:8" ht="13" hidden="1">
      <c r="A2268" s="15">
        <v>45722.85798616898</v>
      </c>
      <c r="B2268" s="16">
        <v>45712</v>
      </c>
      <c r="C2268" s="2" t="s">
        <v>923</v>
      </c>
      <c r="D2268" s="2" t="s">
        <v>39</v>
      </c>
      <c r="E2268" s="2">
        <v>7540</v>
      </c>
      <c r="F2268" s="2" t="s">
        <v>102</v>
      </c>
      <c r="H2268" s="2" t="s">
        <v>35</v>
      </c>
    </row>
    <row r="2269" spans="1:8" ht="13" hidden="1">
      <c r="A2269" s="15">
        <v>45722.858237280088</v>
      </c>
      <c r="B2269" s="16">
        <v>45712</v>
      </c>
      <c r="C2269" s="2" t="s">
        <v>943</v>
      </c>
      <c r="E2269" s="2">
        <v>3000</v>
      </c>
      <c r="H2269" s="2" t="s">
        <v>34</v>
      </c>
    </row>
    <row r="2270" spans="1:8" ht="13" hidden="1">
      <c r="A2270" s="15">
        <v>45812.862927893519</v>
      </c>
      <c r="B2270" s="16">
        <v>45805</v>
      </c>
      <c r="C2270" s="2" t="s">
        <v>944</v>
      </c>
      <c r="D2270" s="2" t="s">
        <v>45</v>
      </c>
      <c r="E2270" s="2">
        <v>3314</v>
      </c>
      <c r="F2270" s="2" t="s">
        <v>102</v>
      </c>
      <c r="G2270" s="2" t="s">
        <v>285</v>
      </c>
      <c r="H2270" s="2" t="s">
        <v>35</v>
      </c>
    </row>
    <row r="2271" spans="1:8" ht="13" hidden="1">
      <c r="A2271" s="15">
        <v>45722.859086851851</v>
      </c>
      <c r="B2271" s="16">
        <v>45712</v>
      </c>
      <c r="C2271" s="2" t="s">
        <v>945</v>
      </c>
      <c r="D2271" s="2" t="s">
        <v>38</v>
      </c>
      <c r="E2271" s="2">
        <v>251</v>
      </c>
      <c r="F2271" s="2" t="s">
        <v>102</v>
      </c>
      <c r="G2271" s="2" t="s">
        <v>285</v>
      </c>
      <c r="H2271" s="2" t="s">
        <v>35</v>
      </c>
    </row>
    <row r="2272" spans="1:8" ht="13" hidden="1">
      <c r="A2272" s="15">
        <v>45722.869238564817</v>
      </c>
      <c r="B2272" s="16">
        <v>45712</v>
      </c>
      <c r="C2272" s="2" t="s">
        <v>40</v>
      </c>
      <c r="D2272" s="2" t="s">
        <v>40</v>
      </c>
      <c r="E2272" s="2">
        <v>1000</v>
      </c>
      <c r="F2272" s="2" t="s">
        <v>100</v>
      </c>
      <c r="H2272" s="2" t="s">
        <v>35</v>
      </c>
    </row>
    <row r="2273" spans="1:8" ht="13" hidden="1">
      <c r="A2273" s="15">
        <v>45713.662126192125</v>
      </c>
      <c r="B2273" s="16">
        <v>45713</v>
      </c>
      <c r="C2273" s="2" t="s">
        <v>946</v>
      </c>
      <c r="E2273" s="2">
        <v>385265</v>
      </c>
      <c r="H2273" s="2" t="s">
        <v>34</v>
      </c>
    </row>
    <row r="2274" spans="1:8" ht="13" hidden="1">
      <c r="A2274" s="15">
        <v>45722.869551354168</v>
      </c>
      <c r="B2274" s="16">
        <v>45713</v>
      </c>
      <c r="C2274" s="2" t="s">
        <v>116</v>
      </c>
      <c r="D2274" s="2" t="s">
        <v>38</v>
      </c>
      <c r="E2274" s="2">
        <v>682</v>
      </c>
      <c r="F2274" s="2" t="s">
        <v>100</v>
      </c>
      <c r="G2274" s="2" t="s">
        <v>652</v>
      </c>
      <c r="H2274" s="2" t="s">
        <v>35</v>
      </c>
    </row>
    <row r="2275" spans="1:8" ht="13" hidden="1">
      <c r="A2275" s="15">
        <v>45722.870179537036</v>
      </c>
      <c r="B2275" s="16">
        <v>45713</v>
      </c>
      <c r="C2275" s="2" t="s">
        <v>947</v>
      </c>
      <c r="D2275" s="2" t="s">
        <v>152</v>
      </c>
      <c r="E2275" s="2">
        <v>6000</v>
      </c>
      <c r="F2275" s="2" t="s">
        <v>102</v>
      </c>
      <c r="H2275" s="2" t="s">
        <v>35</v>
      </c>
    </row>
    <row r="2276" spans="1:8" ht="13" hidden="1">
      <c r="A2276" s="15">
        <v>45844.962593807868</v>
      </c>
      <c r="B2276" s="16">
        <v>45811</v>
      </c>
      <c r="C2276" s="2" t="s">
        <v>948</v>
      </c>
      <c r="D2276" s="2" t="s">
        <v>45</v>
      </c>
      <c r="E2276" s="2">
        <v>3300</v>
      </c>
      <c r="F2276" s="2" t="s">
        <v>100</v>
      </c>
      <c r="G2276" s="2" t="s">
        <v>129</v>
      </c>
      <c r="H2276" s="2" t="s">
        <v>35</v>
      </c>
    </row>
    <row r="2277" spans="1:8" ht="13" hidden="1">
      <c r="A2277" s="15">
        <v>45722.859733564816</v>
      </c>
      <c r="B2277" s="16">
        <v>45715</v>
      </c>
      <c r="C2277" s="2" t="s">
        <v>106</v>
      </c>
      <c r="D2277" s="2" t="s">
        <v>38</v>
      </c>
      <c r="E2277" s="2">
        <v>900</v>
      </c>
      <c r="F2277" s="2" t="s">
        <v>102</v>
      </c>
      <c r="G2277" s="2" t="s">
        <v>949</v>
      </c>
      <c r="H2277" s="2" t="s">
        <v>35</v>
      </c>
    </row>
    <row r="2278" spans="1:8" ht="13" hidden="1">
      <c r="A2278" s="15">
        <v>45731.584606631943</v>
      </c>
      <c r="B2278" s="16">
        <v>45715</v>
      </c>
      <c r="C2278" s="2" t="s">
        <v>530</v>
      </c>
      <c r="D2278" s="2" t="s">
        <v>47</v>
      </c>
      <c r="E2278" s="2">
        <v>30000</v>
      </c>
      <c r="F2278" s="2" t="s">
        <v>102</v>
      </c>
      <c r="H2278" s="2" t="s">
        <v>35</v>
      </c>
    </row>
    <row r="2279" spans="1:8" ht="13" hidden="1">
      <c r="A2279" s="15">
        <v>45731.584918564811</v>
      </c>
      <c r="B2279" s="16">
        <v>45715</v>
      </c>
      <c r="C2279" s="2" t="s">
        <v>146</v>
      </c>
      <c r="D2279" s="2" t="s">
        <v>47</v>
      </c>
      <c r="E2279" s="2">
        <v>3400</v>
      </c>
      <c r="F2279" s="2" t="s">
        <v>102</v>
      </c>
      <c r="H2279" s="2" t="s">
        <v>35</v>
      </c>
    </row>
    <row r="2280" spans="1:8" ht="13" hidden="1">
      <c r="A2280" s="15">
        <v>45731.585364456019</v>
      </c>
      <c r="B2280" s="16">
        <v>45715</v>
      </c>
      <c r="C2280" s="2" t="s">
        <v>9</v>
      </c>
      <c r="D2280" s="2" t="s">
        <v>47</v>
      </c>
      <c r="E2280" s="2">
        <v>13600</v>
      </c>
      <c r="F2280" s="2" t="s">
        <v>102</v>
      </c>
      <c r="H2280" s="2" t="s">
        <v>35</v>
      </c>
    </row>
    <row r="2281" spans="1:8" ht="13" hidden="1">
      <c r="A2281" s="15">
        <v>45891.888255706013</v>
      </c>
      <c r="B2281" s="16">
        <v>45873</v>
      </c>
      <c r="C2281" s="2" t="s">
        <v>45</v>
      </c>
      <c r="D2281" s="2" t="s">
        <v>45</v>
      </c>
      <c r="E2281" s="2">
        <v>2847</v>
      </c>
      <c r="F2281" s="2" t="s">
        <v>102</v>
      </c>
      <c r="G2281" s="2" t="s">
        <v>285</v>
      </c>
      <c r="H2281" s="2" t="s">
        <v>35</v>
      </c>
    </row>
    <row r="2282" spans="1:8" ht="13" hidden="1">
      <c r="A2282" s="15">
        <v>45731.58593862268</v>
      </c>
      <c r="B2282" s="16">
        <v>45715</v>
      </c>
      <c r="C2282" s="2" t="s">
        <v>408</v>
      </c>
      <c r="D2282" s="2" t="s">
        <v>152</v>
      </c>
      <c r="E2282" s="2">
        <v>10000</v>
      </c>
      <c r="F2282" s="2" t="s">
        <v>102</v>
      </c>
      <c r="H2282" s="2" t="s">
        <v>35</v>
      </c>
    </row>
    <row r="2283" spans="1:8" ht="13" hidden="1">
      <c r="A2283" s="15">
        <v>45731.586189756941</v>
      </c>
      <c r="B2283" s="16">
        <v>45715</v>
      </c>
      <c r="C2283" s="2" t="s">
        <v>950</v>
      </c>
      <c r="D2283" s="2" t="s">
        <v>5</v>
      </c>
      <c r="E2283" s="2">
        <v>93000</v>
      </c>
      <c r="F2283" s="2" t="s">
        <v>102</v>
      </c>
      <c r="H2283" s="2" t="s">
        <v>35</v>
      </c>
    </row>
    <row r="2284" spans="1:8" ht="13" hidden="1">
      <c r="A2284" s="15">
        <v>45731.586768298614</v>
      </c>
      <c r="B2284" s="16">
        <v>45715</v>
      </c>
      <c r="C2284" s="2" t="s">
        <v>133</v>
      </c>
      <c r="D2284" s="2" t="s">
        <v>47</v>
      </c>
      <c r="E2284" s="2">
        <v>22000</v>
      </c>
      <c r="F2284" s="2" t="s">
        <v>102</v>
      </c>
      <c r="H2284" s="2" t="s">
        <v>35</v>
      </c>
    </row>
    <row r="2285" spans="1:8" ht="13" hidden="1">
      <c r="A2285" s="15">
        <v>45722.860066828704</v>
      </c>
      <c r="B2285" s="16">
        <v>45716</v>
      </c>
      <c r="C2285" s="2" t="s">
        <v>601</v>
      </c>
      <c r="D2285" s="2" t="s">
        <v>38</v>
      </c>
      <c r="E2285" s="2">
        <v>162</v>
      </c>
      <c r="F2285" s="2" t="s">
        <v>102</v>
      </c>
      <c r="G2285" s="2" t="s">
        <v>107</v>
      </c>
      <c r="H2285" s="2" t="s">
        <v>35</v>
      </c>
    </row>
    <row r="2286" spans="1:8" ht="13" hidden="1">
      <c r="A2286" s="15">
        <v>45722.860423310187</v>
      </c>
      <c r="B2286" s="16">
        <v>45716</v>
      </c>
      <c r="C2286" s="2" t="s">
        <v>114</v>
      </c>
      <c r="D2286" s="2" t="s">
        <v>38</v>
      </c>
      <c r="E2286" s="2">
        <v>278</v>
      </c>
      <c r="F2286" s="2" t="s">
        <v>102</v>
      </c>
      <c r="G2286" s="2" t="s">
        <v>103</v>
      </c>
      <c r="H2286" s="2" t="s">
        <v>35</v>
      </c>
    </row>
    <row r="2287" spans="1:8" ht="13" hidden="1">
      <c r="A2287" s="15">
        <v>45722.863812453703</v>
      </c>
      <c r="B2287" s="16">
        <v>45716</v>
      </c>
      <c r="C2287" s="2" t="s">
        <v>106</v>
      </c>
      <c r="D2287" s="2" t="s">
        <v>38</v>
      </c>
      <c r="E2287" s="2">
        <v>1200</v>
      </c>
      <c r="F2287" s="2" t="s">
        <v>102</v>
      </c>
      <c r="G2287" s="2" t="s">
        <v>951</v>
      </c>
      <c r="H2287" s="2" t="s">
        <v>35</v>
      </c>
    </row>
    <row r="2288" spans="1:8" ht="13" hidden="1">
      <c r="A2288" s="15">
        <v>45738.868871203704</v>
      </c>
      <c r="B2288" s="16">
        <v>45716</v>
      </c>
      <c r="C2288" s="2" t="s">
        <v>158</v>
      </c>
      <c r="D2288" s="2" t="s">
        <v>49</v>
      </c>
      <c r="E2288" s="2">
        <v>4980</v>
      </c>
      <c r="F2288" s="2" t="s">
        <v>100</v>
      </c>
      <c r="H2288" s="2" t="s">
        <v>35</v>
      </c>
    </row>
    <row r="2289" spans="1:8" ht="13" hidden="1">
      <c r="A2289" s="15">
        <v>45738.869158125002</v>
      </c>
      <c r="B2289" s="16">
        <v>45716</v>
      </c>
      <c r="C2289" s="2" t="s">
        <v>105</v>
      </c>
      <c r="D2289" s="2" t="s">
        <v>40</v>
      </c>
      <c r="E2289" s="2">
        <v>2400</v>
      </c>
      <c r="F2289" s="2" t="s">
        <v>100</v>
      </c>
      <c r="H2289" s="2" t="s">
        <v>35</v>
      </c>
    </row>
    <row r="2290" spans="1:8" ht="13" hidden="1">
      <c r="A2290" s="15">
        <v>45746.728700520835</v>
      </c>
      <c r="B2290" s="16">
        <v>45716</v>
      </c>
      <c r="C2290" s="2" t="s">
        <v>106</v>
      </c>
      <c r="D2290" s="2" t="s">
        <v>38</v>
      </c>
      <c r="E2290" s="2">
        <v>1100</v>
      </c>
      <c r="F2290" s="2" t="s">
        <v>102</v>
      </c>
      <c r="G2290" s="2" t="s">
        <v>952</v>
      </c>
      <c r="H2290" s="2" t="s">
        <v>35</v>
      </c>
    </row>
    <row r="2291" spans="1:8" ht="13" hidden="1">
      <c r="A2291" s="15">
        <v>45722.864067430557</v>
      </c>
      <c r="B2291" s="16">
        <v>45717</v>
      </c>
      <c r="C2291" s="2" t="s">
        <v>154</v>
      </c>
      <c r="D2291" s="2" t="s">
        <v>38</v>
      </c>
      <c r="E2291" s="2">
        <v>500</v>
      </c>
      <c r="F2291" s="2" t="s">
        <v>102</v>
      </c>
      <c r="H2291" s="2" t="s">
        <v>35</v>
      </c>
    </row>
    <row r="2292" spans="1:8" ht="13" hidden="1">
      <c r="A2292" s="15">
        <v>45738.869564988425</v>
      </c>
      <c r="B2292" s="16">
        <v>45717</v>
      </c>
      <c r="C2292" s="2" t="s">
        <v>105</v>
      </c>
      <c r="D2292" s="2" t="s">
        <v>40</v>
      </c>
      <c r="E2292" s="2">
        <v>7000</v>
      </c>
      <c r="F2292" s="2" t="s">
        <v>100</v>
      </c>
      <c r="H2292" s="2" t="s">
        <v>35</v>
      </c>
    </row>
    <row r="2293" spans="1:8" ht="13" hidden="1">
      <c r="A2293" s="15">
        <v>45844.963143738423</v>
      </c>
      <c r="B2293" s="16">
        <v>45812</v>
      </c>
      <c r="C2293" s="2" t="s">
        <v>953</v>
      </c>
      <c r="D2293" s="2" t="s">
        <v>45</v>
      </c>
      <c r="E2293" s="2">
        <v>2790</v>
      </c>
      <c r="F2293" s="2" t="s">
        <v>100</v>
      </c>
      <c r="G2293" s="2" t="s">
        <v>129</v>
      </c>
      <c r="H2293" s="2" t="s">
        <v>35</v>
      </c>
    </row>
    <row r="2294" spans="1:8" ht="13" hidden="1">
      <c r="A2294" s="15">
        <v>45738.87026059028</v>
      </c>
      <c r="B2294" s="16">
        <v>45717</v>
      </c>
      <c r="C2294" s="2" t="s">
        <v>350</v>
      </c>
      <c r="D2294" s="2" t="s">
        <v>40</v>
      </c>
      <c r="E2294" s="2">
        <v>1000</v>
      </c>
      <c r="F2294" s="2" t="s">
        <v>100</v>
      </c>
      <c r="H2294" s="2" t="s">
        <v>35</v>
      </c>
    </row>
    <row r="2295" spans="1:8" ht="13" hidden="1">
      <c r="A2295" s="15">
        <v>45738.870624340278</v>
      </c>
      <c r="B2295" s="16">
        <v>45717</v>
      </c>
      <c r="C2295" s="2" t="s">
        <v>116</v>
      </c>
      <c r="D2295" s="2" t="s">
        <v>38</v>
      </c>
      <c r="E2295" s="2">
        <v>2251</v>
      </c>
      <c r="F2295" s="2" t="s">
        <v>100</v>
      </c>
      <c r="G2295" s="2" t="s">
        <v>652</v>
      </c>
      <c r="H2295" s="2" t="s">
        <v>35</v>
      </c>
    </row>
    <row r="2296" spans="1:8" ht="13" hidden="1">
      <c r="A2296" s="15">
        <v>45738.87107778935</v>
      </c>
      <c r="B2296" s="16">
        <v>45717</v>
      </c>
      <c r="C2296" s="2" t="s">
        <v>248</v>
      </c>
      <c r="D2296" s="2" t="s">
        <v>49</v>
      </c>
      <c r="E2296" s="2">
        <v>700</v>
      </c>
      <c r="F2296" s="2" t="s">
        <v>100</v>
      </c>
      <c r="G2296" s="2" t="s">
        <v>179</v>
      </c>
      <c r="H2296" s="2" t="s">
        <v>35</v>
      </c>
    </row>
    <row r="2297" spans="1:8" ht="13" hidden="1">
      <c r="A2297" s="15">
        <v>45766.707771678237</v>
      </c>
      <c r="B2297" s="16">
        <v>45766</v>
      </c>
      <c r="C2297" s="2" t="s">
        <v>954</v>
      </c>
      <c r="D2297" s="2" t="s">
        <v>45</v>
      </c>
      <c r="E2297" s="2">
        <v>2662</v>
      </c>
      <c r="F2297" s="2" t="s">
        <v>102</v>
      </c>
      <c r="G2297" s="2" t="s">
        <v>285</v>
      </c>
      <c r="H2297" s="2" t="s">
        <v>35</v>
      </c>
    </row>
    <row r="2298" spans="1:8" ht="13" hidden="1">
      <c r="A2298" s="15">
        <v>45838.543283912033</v>
      </c>
      <c r="B2298" s="16">
        <v>45832</v>
      </c>
      <c r="C2298" s="2" t="s">
        <v>955</v>
      </c>
      <c r="D2298" s="2" t="s">
        <v>45</v>
      </c>
      <c r="E2298" s="2">
        <v>2629</v>
      </c>
      <c r="F2298" s="2" t="s">
        <v>102</v>
      </c>
      <c r="G2298" s="2" t="s">
        <v>956</v>
      </c>
      <c r="H2298" s="2" t="s">
        <v>35</v>
      </c>
    </row>
    <row r="2299" spans="1:8" ht="13" hidden="1">
      <c r="A2299" s="15">
        <v>45722.861445034723</v>
      </c>
      <c r="B2299" s="16">
        <v>45718</v>
      </c>
      <c r="C2299" s="2" t="s">
        <v>926</v>
      </c>
      <c r="D2299" s="2" t="s">
        <v>39</v>
      </c>
      <c r="E2299" s="2">
        <v>4700</v>
      </c>
      <c r="F2299" s="2" t="s">
        <v>102</v>
      </c>
      <c r="H2299" s="2" t="s">
        <v>35</v>
      </c>
    </row>
    <row r="2300" spans="1:8" ht="13" hidden="1">
      <c r="A2300" s="15">
        <v>45722.861859108802</v>
      </c>
      <c r="B2300" s="16">
        <v>45718</v>
      </c>
      <c r="C2300" s="2" t="s">
        <v>748</v>
      </c>
      <c r="D2300" s="2" t="s">
        <v>39</v>
      </c>
      <c r="E2300" s="2">
        <v>3000</v>
      </c>
      <c r="F2300" s="2" t="s">
        <v>102</v>
      </c>
      <c r="H2300" s="2" t="s">
        <v>35</v>
      </c>
    </row>
    <row r="2301" spans="1:8" ht="13" hidden="1">
      <c r="A2301" s="15">
        <v>45738.87133469907</v>
      </c>
      <c r="B2301" s="16">
        <v>45718</v>
      </c>
      <c r="C2301" s="2" t="s">
        <v>240</v>
      </c>
      <c r="D2301" s="2" t="s">
        <v>42</v>
      </c>
      <c r="E2301" s="2">
        <v>990</v>
      </c>
      <c r="F2301" s="2" t="s">
        <v>100</v>
      </c>
      <c r="H2301" s="2" t="s">
        <v>35</v>
      </c>
    </row>
    <row r="2302" spans="1:8" ht="13" hidden="1">
      <c r="A2302" s="15">
        <v>45722.862202708333</v>
      </c>
      <c r="B2302" s="16">
        <v>45719</v>
      </c>
      <c r="C2302" s="2" t="s">
        <v>106</v>
      </c>
      <c r="D2302" s="2" t="s">
        <v>38</v>
      </c>
      <c r="E2302" s="2">
        <v>1300</v>
      </c>
      <c r="F2302" s="2" t="s">
        <v>102</v>
      </c>
      <c r="G2302" s="2" t="s">
        <v>957</v>
      </c>
      <c r="H2302" s="2" t="s">
        <v>35</v>
      </c>
    </row>
    <row r="2303" spans="1:8" ht="13" hidden="1">
      <c r="A2303" s="15">
        <v>45722.864534629625</v>
      </c>
      <c r="B2303" s="16">
        <v>45720</v>
      </c>
      <c r="C2303" s="2" t="s">
        <v>106</v>
      </c>
      <c r="D2303" s="2" t="s">
        <v>38</v>
      </c>
      <c r="E2303" s="2">
        <v>900</v>
      </c>
      <c r="F2303" s="2" t="s">
        <v>102</v>
      </c>
      <c r="G2303" s="2" t="s">
        <v>958</v>
      </c>
      <c r="H2303" s="2" t="s">
        <v>35</v>
      </c>
    </row>
    <row r="2304" spans="1:8" ht="13" hidden="1">
      <c r="A2304" s="15">
        <v>45722.870411134259</v>
      </c>
      <c r="B2304" s="16">
        <v>45721</v>
      </c>
      <c r="C2304" s="2" t="s">
        <v>258</v>
      </c>
      <c r="E2304" s="2">
        <v>35966</v>
      </c>
      <c r="H2304" s="2" t="s">
        <v>34</v>
      </c>
    </row>
    <row r="2305" spans="1:8" ht="13" hidden="1">
      <c r="A2305" s="15">
        <v>45738.87163804398</v>
      </c>
      <c r="B2305" s="16">
        <v>45721</v>
      </c>
      <c r="C2305" s="2" t="s">
        <v>240</v>
      </c>
      <c r="D2305" s="2" t="s">
        <v>42</v>
      </c>
      <c r="E2305" s="2">
        <v>330</v>
      </c>
      <c r="F2305" s="2" t="s">
        <v>100</v>
      </c>
      <c r="H2305" s="2" t="s">
        <v>35</v>
      </c>
    </row>
    <row r="2306" spans="1:8" ht="13" hidden="1">
      <c r="A2306" s="15">
        <v>45738.871937175922</v>
      </c>
      <c r="B2306" s="16">
        <v>45721</v>
      </c>
      <c r="C2306" s="2" t="s">
        <v>350</v>
      </c>
      <c r="D2306" s="2" t="s">
        <v>40</v>
      </c>
      <c r="E2306" s="2">
        <v>1000</v>
      </c>
      <c r="F2306" s="2" t="s">
        <v>100</v>
      </c>
      <c r="H2306" s="2" t="s">
        <v>35</v>
      </c>
    </row>
    <row r="2307" spans="1:8" ht="13" hidden="1">
      <c r="A2307" s="15">
        <v>45738.872227037034</v>
      </c>
      <c r="B2307" s="16">
        <v>45721</v>
      </c>
      <c r="C2307" s="2" t="s">
        <v>959</v>
      </c>
      <c r="D2307" s="2" t="s">
        <v>39</v>
      </c>
      <c r="E2307" s="2">
        <v>6740</v>
      </c>
      <c r="F2307" s="2" t="s">
        <v>100</v>
      </c>
      <c r="H2307" s="2" t="s">
        <v>35</v>
      </c>
    </row>
    <row r="2308" spans="1:8" ht="13" hidden="1">
      <c r="A2308" s="15">
        <v>45812.867356261573</v>
      </c>
      <c r="B2308" s="16">
        <v>45809</v>
      </c>
      <c r="C2308" s="2" t="s">
        <v>960</v>
      </c>
      <c r="D2308" s="2" t="s">
        <v>45</v>
      </c>
      <c r="E2308" s="2">
        <v>2524</v>
      </c>
      <c r="F2308" s="2" t="s">
        <v>102</v>
      </c>
      <c r="G2308" s="2" t="s">
        <v>961</v>
      </c>
      <c r="H2308" s="2" t="s">
        <v>35</v>
      </c>
    </row>
    <row r="2309" spans="1:8" ht="13" hidden="1">
      <c r="A2309" s="15">
        <v>45738.872692581019</v>
      </c>
      <c r="B2309" s="16">
        <v>45722</v>
      </c>
      <c r="C2309" s="2" t="s">
        <v>116</v>
      </c>
      <c r="D2309" s="2" t="s">
        <v>38</v>
      </c>
      <c r="E2309" s="2">
        <v>267</v>
      </c>
      <c r="F2309" s="2" t="s">
        <v>100</v>
      </c>
      <c r="G2309" s="2" t="s">
        <v>652</v>
      </c>
      <c r="H2309" s="2" t="s">
        <v>35</v>
      </c>
    </row>
    <row r="2310" spans="1:8" ht="13" hidden="1">
      <c r="A2310" s="15">
        <v>45738.873117754629</v>
      </c>
      <c r="B2310" s="16">
        <v>45723</v>
      </c>
      <c r="C2310" s="2" t="s">
        <v>350</v>
      </c>
      <c r="D2310" s="2" t="s">
        <v>40</v>
      </c>
      <c r="E2310" s="2">
        <v>1000</v>
      </c>
      <c r="F2310" s="2" t="s">
        <v>100</v>
      </c>
      <c r="H2310" s="2" t="s">
        <v>35</v>
      </c>
    </row>
    <row r="2311" spans="1:8" ht="13" hidden="1">
      <c r="A2311" s="15">
        <v>45738.873468472222</v>
      </c>
      <c r="B2311" s="16">
        <v>45723</v>
      </c>
      <c r="C2311" s="2" t="s">
        <v>116</v>
      </c>
      <c r="D2311" s="2" t="s">
        <v>38</v>
      </c>
      <c r="E2311" s="2">
        <v>320</v>
      </c>
      <c r="F2311" s="2" t="s">
        <v>100</v>
      </c>
      <c r="G2311" s="2" t="s">
        <v>652</v>
      </c>
      <c r="H2311" s="2" t="s">
        <v>35</v>
      </c>
    </row>
    <row r="2312" spans="1:8" ht="13" hidden="1">
      <c r="A2312" s="15">
        <v>45738.874198321762</v>
      </c>
      <c r="B2312" s="16">
        <v>45723</v>
      </c>
      <c r="C2312" s="2" t="s">
        <v>240</v>
      </c>
      <c r="D2312" s="2" t="s">
        <v>42</v>
      </c>
      <c r="E2312" s="2">
        <v>320</v>
      </c>
      <c r="F2312" s="2" t="s">
        <v>100</v>
      </c>
      <c r="H2312" s="2" t="s">
        <v>35</v>
      </c>
    </row>
    <row r="2313" spans="1:8" ht="13" hidden="1">
      <c r="A2313" s="15">
        <v>45731.608463032404</v>
      </c>
      <c r="B2313" s="16">
        <v>45724</v>
      </c>
      <c r="C2313" s="2" t="s">
        <v>593</v>
      </c>
      <c r="D2313" s="2" t="s">
        <v>39</v>
      </c>
      <c r="E2313" s="2">
        <v>1780</v>
      </c>
      <c r="F2313" s="2" t="s">
        <v>102</v>
      </c>
      <c r="H2313" s="2" t="s">
        <v>35</v>
      </c>
    </row>
    <row r="2314" spans="1:8" ht="13" hidden="1">
      <c r="A2314" s="15">
        <v>45738.87450928241</v>
      </c>
      <c r="B2314" s="16">
        <v>45724</v>
      </c>
      <c r="C2314" s="2" t="s">
        <v>962</v>
      </c>
      <c r="D2314" s="2" t="s">
        <v>39</v>
      </c>
      <c r="E2314" s="2">
        <v>1320</v>
      </c>
      <c r="F2314" s="2" t="s">
        <v>100</v>
      </c>
      <c r="H2314" s="2" t="s">
        <v>35</v>
      </c>
    </row>
    <row r="2315" spans="1:8" ht="13" hidden="1">
      <c r="A2315" s="15">
        <v>45738.874887453705</v>
      </c>
      <c r="B2315" s="16">
        <v>45724</v>
      </c>
      <c r="C2315" s="2" t="s">
        <v>654</v>
      </c>
      <c r="D2315" s="2" t="s">
        <v>48</v>
      </c>
      <c r="E2315" s="2">
        <v>150</v>
      </c>
      <c r="F2315" s="2" t="s">
        <v>100</v>
      </c>
      <c r="H2315" s="2" t="s">
        <v>35</v>
      </c>
    </row>
    <row r="2316" spans="1:8" ht="13" hidden="1">
      <c r="A2316" s="15">
        <v>45738.87522725694</v>
      </c>
      <c r="B2316" s="16">
        <v>45724</v>
      </c>
      <c r="C2316" s="2" t="s">
        <v>928</v>
      </c>
      <c r="D2316" s="2" t="s">
        <v>39</v>
      </c>
      <c r="E2316" s="2">
        <v>548</v>
      </c>
      <c r="F2316" s="2" t="s">
        <v>100</v>
      </c>
      <c r="H2316" s="2" t="s">
        <v>35</v>
      </c>
    </row>
    <row r="2317" spans="1:8" ht="13" hidden="1">
      <c r="A2317" s="15">
        <v>45731.60891383102</v>
      </c>
      <c r="B2317" s="16">
        <v>45725</v>
      </c>
      <c r="C2317" s="2" t="s">
        <v>163</v>
      </c>
      <c r="D2317" s="2" t="s">
        <v>38</v>
      </c>
      <c r="E2317" s="2">
        <v>1880</v>
      </c>
      <c r="F2317" s="2" t="s">
        <v>102</v>
      </c>
      <c r="G2317" s="2" t="s">
        <v>164</v>
      </c>
      <c r="H2317" s="2" t="s">
        <v>35</v>
      </c>
    </row>
    <row r="2318" spans="1:8" ht="13" hidden="1">
      <c r="A2318" s="15">
        <v>45738.875557430554</v>
      </c>
      <c r="B2318" s="16">
        <v>45725</v>
      </c>
      <c r="C2318" s="2" t="s">
        <v>116</v>
      </c>
      <c r="D2318" s="2" t="s">
        <v>38</v>
      </c>
      <c r="E2318" s="2">
        <v>3271</v>
      </c>
      <c r="F2318" s="2" t="s">
        <v>102</v>
      </c>
      <c r="G2318" s="2" t="s">
        <v>652</v>
      </c>
      <c r="H2318" s="2" t="s">
        <v>35</v>
      </c>
    </row>
    <row r="2319" spans="1:8" ht="13" hidden="1">
      <c r="A2319" s="15">
        <v>45738.875868807867</v>
      </c>
      <c r="B2319" s="16">
        <v>45725</v>
      </c>
      <c r="C2319" s="2" t="s">
        <v>197</v>
      </c>
      <c r="D2319" s="2" t="s">
        <v>48</v>
      </c>
      <c r="E2319" s="2">
        <v>880</v>
      </c>
      <c r="F2319" s="2" t="s">
        <v>100</v>
      </c>
      <c r="H2319" s="2" t="s">
        <v>35</v>
      </c>
    </row>
    <row r="2320" spans="1:8" ht="13" hidden="1">
      <c r="A2320" s="15">
        <v>45844.961579513889</v>
      </c>
      <c r="B2320" s="16">
        <v>45810</v>
      </c>
      <c r="C2320" s="2" t="s">
        <v>963</v>
      </c>
      <c r="D2320" s="2" t="s">
        <v>45</v>
      </c>
      <c r="E2320" s="2">
        <v>2490</v>
      </c>
      <c r="F2320" s="2" t="s">
        <v>100</v>
      </c>
      <c r="G2320" s="2" t="s">
        <v>129</v>
      </c>
      <c r="H2320" s="2" t="s">
        <v>35</v>
      </c>
    </row>
    <row r="2321" spans="1:8" ht="13" hidden="1">
      <c r="A2321" s="15">
        <v>45738.876237430552</v>
      </c>
      <c r="B2321" s="16">
        <v>45726</v>
      </c>
      <c r="C2321" s="2" t="s">
        <v>240</v>
      </c>
      <c r="D2321" s="2" t="s">
        <v>42</v>
      </c>
      <c r="E2321" s="2">
        <v>305</v>
      </c>
      <c r="F2321" s="2" t="s">
        <v>100</v>
      </c>
      <c r="H2321" s="2" t="s">
        <v>35</v>
      </c>
    </row>
    <row r="2322" spans="1:8" ht="13" hidden="1">
      <c r="A2322" s="15">
        <v>45738.87660653935</v>
      </c>
      <c r="B2322" s="16">
        <v>45727</v>
      </c>
      <c r="C2322" s="2" t="s">
        <v>18</v>
      </c>
      <c r="D2322" s="2" t="s">
        <v>41</v>
      </c>
      <c r="E2322" s="2">
        <v>5868</v>
      </c>
      <c r="F2322" s="2" t="s">
        <v>100</v>
      </c>
      <c r="H2322" s="2" t="s">
        <v>35</v>
      </c>
    </row>
    <row r="2323" spans="1:8" ht="13" hidden="1">
      <c r="A2323" s="15">
        <v>45738.876957442131</v>
      </c>
      <c r="B2323" s="16">
        <v>45727</v>
      </c>
      <c r="C2323" s="2" t="s">
        <v>277</v>
      </c>
      <c r="D2323" s="2" t="s">
        <v>46</v>
      </c>
      <c r="E2323" s="2">
        <v>704</v>
      </c>
      <c r="F2323" s="2" t="s">
        <v>100</v>
      </c>
      <c r="G2323" s="2" t="s">
        <v>129</v>
      </c>
      <c r="H2323" s="2" t="s">
        <v>35</v>
      </c>
    </row>
    <row r="2324" spans="1:8" ht="13" hidden="1">
      <c r="A2324" s="15">
        <v>45738.877414212962</v>
      </c>
      <c r="B2324" s="16">
        <v>45728</v>
      </c>
      <c r="C2324" s="2" t="s">
        <v>116</v>
      </c>
      <c r="D2324" s="2" t="s">
        <v>38</v>
      </c>
      <c r="E2324" s="2">
        <v>1036</v>
      </c>
      <c r="F2324" s="2" t="s">
        <v>100</v>
      </c>
      <c r="G2324" s="2" t="s">
        <v>652</v>
      </c>
      <c r="H2324" s="2" t="s">
        <v>35</v>
      </c>
    </row>
    <row r="2325" spans="1:8" ht="13" hidden="1">
      <c r="A2325" s="15">
        <v>45738.877798182875</v>
      </c>
      <c r="B2325" s="16">
        <v>45729</v>
      </c>
      <c r="C2325" s="2" t="s">
        <v>964</v>
      </c>
      <c r="D2325" s="2" t="s">
        <v>49</v>
      </c>
      <c r="E2325" s="2">
        <v>2180</v>
      </c>
      <c r="F2325" s="2" t="s">
        <v>100</v>
      </c>
      <c r="H2325" s="2" t="s">
        <v>35</v>
      </c>
    </row>
    <row r="2326" spans="1:8" ht="13" hidden="1">
      <c r="A2326" s="15">
        <v>45738.878215069446</v>
      </c>
      <c r="B2326" s="16">
        <v>45729</v>
      </c>
      <c r="C2326" s="2" t="s">
        <v>499</v>
      </c>
      <c r="D2326" s="2" t="s">
        <v>38</v>
      </c>
      <c r="E2326" s="2">
        <v>3411</v>
      </c>
      <c r="F2326" s="2" t="s">
        <v>100</v>
      </c>
      <c r="G2326" s="2" t="s">
        <v>129</v>
      </c>
      <c r="H2326" s="2" t="s">
        <v>35</v>
      </c>
    </row>
    <row r="2327" spans="1:8" ht="13" hidden="1">
      <c r="A2327" s="15">
        <v>45738.878483171298</v>
      </c>
      <c r="B2327" s="16">
        <v>45729</v>
      </c>
      <c r="C2327" s="2" t="s">
        <v>371</v>
      </c>
      <c r="D2327" s="2" t="s">
        <v>39</v>
      </c>
      <c r="E2327" s="2">
        <v>2310</v>
      </c>
      <c r="F2327" s="2" t="s">
        <v>100</v>
      </c>
      <c r="H2327" s="2" t="s">
        <v>35</v>
      </c>
    </row>
    <row r="2328" spans="1:8" ht="13" hidden="1">
      <c r="A2328" s="15">
        <v>45731.587673888891</v>
      </c>
      <c r="B2328" s="16">
        <v>45730</v>
      </c>
      <c r="C2328" s="2" t="s">
        <v>323</v>
      </c>
      <c r="D2328" s="2" t="s">
        <v>38</v>
      </c>
      <c r="E2328" s="2">
        <v>1400</v>
      </c>
      <c r="F2328" s="2" t="s">
        <v>102</v>
      </c>
      <c r="G2328" s="2" t="s">
        <v>965</v>
      </c>
      <c r="H2328" s="2" t="s">
        <v>35</v>
      </c>
    </row>
    <row r="2329" spans="1:8" ht="13" hidden="1">
      <c r="A2329" s="15">
        <v>45731.610369988426</v>
      </c>
      <c r="B2329" s="16">
        <v>45730</v>
      </c>
      <c r="C2329" s="2" t="s">
        <v>966</v>
      </c>
      <c r="D2329" s="2" t="s">
        <v>39</v>
      </c>
      <c r="E2329" s="2">
        <v>3348</v>
      </c>
      <c r="F2329" s="2" t="s">
        <v>102</v>
      </c>
      <c r="G2329" s="2" t="s">
        <v>967</v>
      </c>
      <c r="H2329" s="2" t="s">
        <v>35</v>
      </c>
    </row>
    <row r="2330" spans="1:8" ht="13" hidden="1">
      <c r="A2330" s="15">
        <v>45731.610886666662</v>
      </c>
      <c r="B2330" s="16">
        <v>45730</v>
      </c>
      <c r="C2330" s="2" t="s">
        <v>968</v>
      </c>
      <c r="D2330" s="2" t="s">
        <v>38</v>
      </c>
      <c r="E2330" s="2">
        <v>1229</v>
      </c>
      <c r="F2330" s="2" t="s">
        <v>102</v>
      </c>
      <c r="G2330" s="2" t="s">
        <v>969</v>
      </c>
      <c r="H2330" s="2" t="s">
        <v>35</v>
      </c>
    </row>
    <row r="2331" spans="1:8" ht="13" hidden="1">
      <c r="A2331" s="15">
        <v>45731.611222685184</v>
      </c>
      <c r="B2331" s="16">
        <v>45730</v>
      </c>
      <c r="C2331" s="2" t="s">
        <v>970</v>
      </c>
      <c r="D2331" s="2" t="s">
        <v>38</v>
      </c>
      <c r="E2331" s="2">
        <v>600</v>
      </c>
      <c r="F2331" s="2" t="s">
        <v>102</v>
      </c>
      <c r="H2331" s="2" t="s">
        <v>35</v>
      </c>
    </row>
    <row r="2332" spans="1:8" ht="13" hidden="1">
      <c r="A2332" s="15">
        <v>45731.611902731485</v>
      </c>
      <c r="B2332" s="16">
        <v>45730</v>
      </c>
      <c r="C2332" s="2" t="s">
        <v>943</v>
      </c>
      <c r="E2332" s="2">
        <v>2000</v>
      </c>
      <c r="H2332" s="2" t="s">
        <v>34</v>
      </c>
    </row>
    <row r="2333" spans="1:8" ht="13" hidden="1">
      <c r="A2333" s="15">
        <v>45738.878847222222</v>
      </c>
      <c r="B2333" s="16">
        <v>45730</v>
      </c>
      <c r="C2333" s="2" t="s">
        <v>350</v>
      </c>
      <c r="D2333" s="2" t="s">
        <v>40</v>
      </c>
      <c r="E2333" s="2">
        <v>1000</v>
      </c>
      <c r="F2333" s="2" t="s">
        <v>100</v>
      </c>
      <c r="H2333" s="2" t="s">
        <v>35</v>
      </c>
    </row>
    <row r="2334" spans="1:8" ht="13" hidden="1">
      <c r="A2334" s="15">
        <v>45738.879210949075</v>
      </c>
      <c r="B2334" s="16">
        <v>45730</v>
      </c>
      <c r="C2334" s="2" t="s">
        <v>240</v>
      </c>
      <c r="D2334" s="2" t="s">
        <v>42</v>
      </c>
      <c r="E2334" s="2">
        <v>990</v>
      </c>
      <c r="F2334" s="2" t="s">
        <v>100</v>
      </c>
      <c r="H2334" s="2" t="s">
        <v>35</v>
      </c>
    </row>
    <row r="2335" spans="1:8" ht="13" hidden="1">
      <c r="A2335" s="15">
        <v>45738.879770254629</v>
      </c>
      <c r="B2335" s="16">
        <v>45730</v>
      </c>
      <c r="C2335" s="2" t="s">
        <v>971</v>
      </c>
      <c r="D2335" s="2" t="s">
        <v>48</v>
      </c>
      <c r="E2335" s="2">
        <v>3337</v>
      </c>
      <c r="F2335" s="2" t="s">
        <v>100</v>
      </c>
      <c r="H2335" s="2" t="s">
        <v>35</v>
      </c>
    </row>
    <row r="2336" spans="1:8" ht="13" hidden="1">
      <c r="A2336" s="15">
        <v>45731.58789599537</v>
      </c>
      <c r="B2336" s="16">
        <v>45731</v>
      </c>
      <c r="C2336" s="2" t="s">
        <v>154</v>
      </c>
      <c r="D2336" s="2" t="s">
        <v>38</v>
      </c>
      <c r="E2336" s="2">
        <v>500</v>
      </c>
      <c r="F2336" s="2" t="s">
        <v>102</v>
      </c>
      <c r="H2336" s="2" t="s">
        <v>35</v>
      </c>
    </row>
    <row r="2337" spans="1:8" ht="13" hidden="1">
      <c r="A2337" s="15">
        <v>45731.612502037038</v>
      </c>
      <c r="B2337" s="16">
        <v>45731</v>
      </c>
      <c r="C2337" s="2" t="s">
        <v>972</v>
      </c>
      <c r="D2337" s="2" t="s">
        <v>39</v>
      </c>
      <c r="E2337" s="2">
        <v>1388</v>
      </c>
      <c r="F2337" s="2" t="s">
        <v>102</v>
      </c>
      <c r="G2337" s="2" t="s">
        <v>661</v>
      </c>
      <c r="H2337" s="2" t="s">
        <v>35</v>
      </c>
    </row>
    <row r="2338" spans="1:8" ht="13" hidden="1">
      <c r="A2338" s="15">
        <v>45731.612937812504</v>
      </c>
      <c r="B2338" s="16">
        <v>45731</v>
      </c>
      <c r="C2338" s="2" t="s">
        <v>973</v>
      </c>
      <c r="D2338" s="2" t="s">
        <v>39</v>
      </c>
      <c r="E2338" s="2">
        <v>437</v>
      </c>
      <c r="F2338" s="2" t="s">
        <v>102</v>
      </c>
      <c r="G2338" s="2" t="s">
        <v>356</v>
      </c>
      <c r="H2338" s="2" t="s">
        <v>35</v>
      </c>
    </row>
    <row r="2339" spans="1:8" ht="13" hidden="1">
      <c r="A2339" s="15">
        <v>45738.86388853009</v>
      </c>
      <c r="B2339" s="16">
        <v>45731</v>
      </c>
      <c r="C2339" s="2" t="s">
        <v>905</v>
      </c>
      <c r="D2339" s="2" t="s">
        <v>38</v>
      </c>
      <c r="E2339" s="2">
        <v>510</v>
      </c>
      <c r="F2339" s="2" t="s">
        <v>102</v>
      </c>
      <c r="H2339" s="2" t="s">
        <v>35</v>
      </c>
    </row>
    <row r="2340" spans="1:8" ht="13" hidden="1">
      <c r="A2340" s="15">
        <v>45738.88021581019</v>
      </c>
      <c r="B2340" s="16">
        <v>45731</v>
      </c>
      <c r="C2340" s="2" t="s">
        <v>116</v>
      </c>
      <c r="D2340" s="2" t="s">
        <v>38</v>
      </c>
      <c r="E2340" s="2">
        <v>1830</v>
      </c>
      <c r="F2340" s="2" t="s">
        <v>100</v>
      </c>
      <c r="G2340" s="2" t="s">
        <v>652</v>
      </c>
      <c r="H2340" s="2" t="s">
        <v>35</v>
      </c>
    </row>
    <row r="2341" spans="1:8" ht="13" hidden="1">
      <c r="A2341" s="15">
        <v>45738.880510509262</v>
      </c>
      <c r="B2341" s="16">
        <v>45731</v>
      </c>
      <c r="C2341" s="2" t="s">
        <v>350</v>
      </c>
      <c r="D2341" s="2" t="s">
        <v>40</v>
      </c>
      <c r="E2341" s="2">
        <v>1000</v>
      </c>
      <c r="F2341" s="2" t="s">
        <v>100</v>
      </c>
      <c r="H2341" s="2" t="s">
        <v>35</v>
      </c>
    </row>
    <row r="2342" spans="1:8" ht="13" hidden="1">
      <c r="A2342" s="15">
        <v>45738.880872337963</v>
      </c>
      <c r="B2342" s="16">
        <v>45731</v>
      </c>
      <c r="C2342" s="2" t="s">
        <v>743</v>
      </c>
      <c r="D2342" s="2" t="s">
        <v>48</v>
      </c>
      <c r="E2342" s="2">
        <v>6100</v>
      </c>
      <c r="F2342" s="2" t="s">
        <v>100</v>
      </c>
      <c r="H2342" s="2" t="s">
        <v>35</v>
      </c>
    </row>
    <row r="2343" spans="1:8" ht="13" hidden="1">
      <c r="A2343" s="15">
        <v>45738.881282025468</v>
      </c>
      <c r="B2343" s="16">
        <v>45731</v>
      </c>
      <c r="C2343" s="2" t="s">
        <v>240</v>
      </c>
      <c r="D2343" s="2" t="s">
        <v>42</v>
      </c>
      <c r="E2343" s="2">
        <v>330</v>
      </c>
      <c r="F2343" s="2" t="s">
        <v>100</v>
      </c>
      <c r="H2343" s="2" t="s">
        <v>35</v>
      </c>
    </row>
    <row r="2344" spans="1:8" ht="13" hidden="1">
      <c r="A2344" s="15">
        <v>45738.881748217595</v>
      </c>
      <c r="B2344" s="16">
        <v>45732</v>
      </c>
      <c r="C2344" s="2" t="s">
        <v>116</v>
      </c>
      <c r="D2344" s="2" t="s">
        <v>38</v>
      </c>
      <c r="E2344" s="2">
        <v>738</v>
      </c>
      <c r="F2344" s="2" t="s">
        <v>100</v>
      </c>
      <c r="G2344" s="2" t="s">
        <v>652</v>
      </c>
      <c r="H2344" s="2" t="s">
        <v>35</v>
      </c>
    </row>
    <row r="2345" spans="1:8" ht="13" hidden="1">
      <c r="A2345" s="15">
        <v>45738.88267471065</v>
      </c>
      <c r="B2345" s="16">
        <v>45732</v>
      </c>
      <c r="C2345" s="2" t="s">
        <v>350</v>
      </c>
      <c r="D2345" s="2" t="s">
        <v>40</v>
      </c>
      <c r="E2345" s="2">
        <v>2000</v>
      </c>
      <c r="F2345" s="2" t="s">
        <v>100</v>
      </c>
      <c r="H2345" s="2" t="s">
        <v>35</v>
      </c>
    </row>
    <row r="2346" spans="1:8" ht="13" hidden="1">
      <c r="A2346" s="15">
        <v>45738.882936215276</v>
      </c>
      <c r="B2346" s="16">
        <v>45732</v>
      </c>
      <c r="C2346" s="2" t="s">
        <v>179</v>
      </c>
      <c r="D2346" s="2" t="s">
        <v>49</v>
      </c>
      <c r="E2346" s="2">
        <v>980</v>
      </c>
      <c r="F2346" s="2" t="s">
        <v>100</v>
      </c>
      <c r="H2346" s="2" t="s">
        <v>35</v>
      </c>
    </row>
    <row r="2347" spans="1:8" ht="13" hidden="1">
      <c r="A2347" s="15">
        <v>45738.883368368057</v>
      </c>
      <c r="B2347" s="16">
        <v>45732</v>
      </c>
      <c r="C2347" s="2" t="s">
        <v>20</v>
      </c>
      <c r="D2347" s="2" t="s">
        <v>39</v>
      </c>
      <c r="E2347" s="2">
        <v>1590</v>
      </c>
      <c r="F2347" s="2" t="s">
        <v>100</v>
      </c>
      <c r="H2347" s="2" t="s">
        <v>35</v>
      </c>
    </row>
    <row r="2348" spans="1:8" ht="13" hidden="1">
      <c r="A2348" s="15">
        <v>45722.8607815625</v>
      </c>
      <c r="B2348" s="16">
        <v>45718</v>
      </c>
      <c r="C2348" s="2" t="s">
        <v>974</v>
      </c>
      <c r="D2348" s="2" t="s">
        <v>45</v>
      </c>
      <c r="E2348" s="2">
        <v>2475</v>
      </c>
      <c r="F2348" s="2" t="s">
        <v>102</v>
      </c>
      <c r="G2348" s="2" t="s">
        <v>285</v>
      </c>
      <c r="H2348" s="2" t="s">
        <v>35</v>
      </c>
    </row>
    <row r="2349" spans="1:8" ht="13" hidden="1">
      <c r="A2349" s="15">
        <v>45738.883729583336</v>
      </c>
      <c r="B2349" s="16">
        <v>45733</v>
      </c>
      <c r="C2349" s="2" t="s">
        <v>368</v>
      </c>
      <c r="D2349" s="2" t="s">
        <v>39</v>
      </c>
      <c r="E2349" s="2">
        <v>1180</v>
      </c>
      <c r="F2349" s="2" t="s">
        <v>100</v>
      </c>
      <c r="H2349" s="2" t="s">
        <v>35</v>
      </c>
    </row>
    <row r="2350" spans="1:8" ht="13" hidden="1">
      <c r="A2350" s="15">
        <v>45738.864699756945</v>
      </c>
      <c r="B2350" s="16">
        <v>45734</v>
      </c>
      <c r="C2350" s="2" t="s">
        <v>357</v>
      </c>
      <c r="D2350" s="2" t="s">
        <v>38</v>
      </c>
      <c r="E2350" s="2">
        <v>888</v>
      </c>
      <c r="F2350" s="2" t="s">
        <v>102</v>
      </c>
      <c r="G2350" s="2" t="s">
        <v>356</v>
      </c>
      <c r="H2350" s="2" t="s">
        <v>35</v>
      </c>
    </row>
    <row r="2351" spans="1:8" ht="13" hidden="1">
      <c r="A2351" s="15">
        <v>45738.865004085645</v>
      </c>
      <c r="B2351" s="16">
        <v>45734</v>
      </c>
      <c r="C2351" s="2" t="s">
        <v>241</v>
      </c>
      <c r="D2351" s="2" t="s">
        <v>38</v>
      </c>
      <c r="E2351" s="2">
        <v>158</v>
      </c>
      <c r="F2351" s="2" t="s">
        <v>102</v>
      </c>
      <c r="G2351" s="2" t="s">
        <v>356</v>
      </c>
      <c r="H2351" s="2" t="s">
        <v>35</v>
      </c>
    </row>
    <row r="2352" spans="1:8" ht="13" hidden="1">
      <c r="A2352" s="15">
        <v>45746.734385243057</v>
      </c>
      <c r="B2352" s="16">
        <v>45734</v>
      </c>
      <c r="C2352" s="2" t="s">
        <v>308</v>
      </c>
      <c r="D2352" s="2" t="s">
        <v>40</v>
      </c>
      <c r="E2352" s="2">
        <v>13690</v>
      </c>
      <c r="F2352" s="2" t="s">
        <v>100</v>
      </c>
      <c r="H2352" s="2" t="s">
        <v>35</v>
      </c>
    </row>
    <row r="2353" spans="1:8" ht="13" hidden="1">
      <c r="A2353" s="15">
        <v>45738.86535508102</v>
      </c>
      <c r="B2353" s="16">
        <v>45735</v>
      </c>
      <c r="C2353" s="2" t="s">
        <v>106</v>
      </c>
      <c r="D2353" s="2" t="s">
        <v>38</v>
      </c>
      <c r="E2353" s="2">
        <v>1200</v>
      </c>
      <c r="F2353" s="2" t="s">
        <v>102</v>
      </c>
      <c r="G2353" s="2" t="s">
        <v>975</v>
      </c>
      <c r="H2353" s="2" t="s">
        <v>35</v>
      </c>
    </row>
    <row r="2354" spans="1:8" ht="13" hidden="1">
      <c r="A2354" s="15">
        <v>45738.86572700231</v>
      </c>
      <c r="B2354" s="16">
        <v>45735</v>
      </c>
      <c r="C2354" s="2" t="s">
        <v>976</v>
      </c>
      <c r="D2354" s="2" t="s">
        <v>38</v>
      </c>
      <c r="E2354" s="2">
        <v>1260</v>
      </c>
      <c r="F2354" s="2" t="s">
        <v>102</v>
      </c>
      <c r="G2354" s="2" t="s">
        <v>199</v>
      </c>
      <c r="H2354" s="2" t="s">
        <v>35</v>
      </c>
    </row>
    <row r="2355" spans="1:8" ht="13" hidden="1">
      <c r="A2355" s="15">
        <v>45746.734728958334</v>
      </c>
      <c r="B2355" s="16">
        <v>45735</v>
      </c>
      <c r="C2355" s="2" t="s">
        <v>240</v>
      </c>
      <c r="D2355" s="2" t="s">
        <v>42</v>
      </c>
      <c r="E2355" s="2">
        <v>330</v>
      </c>
      <c r="F2355" s="2" t="s">
        <v>100</v>
      </c>
      <c r="H2355" s="2" t="s">
        <v>35</v>
      </c>
    </row>
    <row r="2356" spans="1:8" ht="13" hidden="1">
      <c r="A2356" s="15">
        <v>45738.866039687498</v>
      </c>
      <c r="B2356" s="16">
        <v>45736</v>
      </c>
      <c r="C2356" s="2" t="s">
        <v>926</v>
      </c>
      <c r="D2356" s="2" t="s">
        <v>39</v>
      </c>
      <c r="E2356" s="2">
        <v>2000</v>
      </c>
      <c r="F2356" s="2" t="s">
        <v>102</v>
      </c>
      <c r="G2356" s="2" t="s">
        <v>199</v>
      </c>
      <c r="H2356" s="2" t="s">
        <v>35</v>
      </c>
    </row>
    <row r="2357" spans="1:8" ht="13" hidden="1">
      <c r="A2357" s="15">
        <v>45738.884074131944</v>
      </c>
      <c r="B2357" s="16">
        <v>45736</v>
      </c>
      <c r="C2357" s="2" t="s">
        <v>24</v>
      </c>
      <c r="D2357" s="2" t="s">
        <v>49</v>
      </c>
      <c r="E2357" s="2">
        <v>1100</v>
      </c>
      <c r="F2357" s="2" t="s">
        <v>100</v>
      </c>
      <c r="H2357" s="2" t="s">
        <v>35</v>
      </c>
    </row>
    <row r="2358" spans="1:8" ht="13" hidden="1">
      <c r="A2358" s="15">
        <v>45746.735131516209</v>
      </c>
      <c r="B2358" s="16">
        <v>45736</v>
      </c>
      <c r="C2358" s="2" t="s">
        <v>350</v>
      </c>
      <c r="D2358" s="2" t="s">
        <v>40</v>
      </c>
      <c r="E2358" s="2">
        <v>330</v>
      </c>
      <c r="F2358" s="2" t="s">
        <v>100</v>
      </c>
      <c r="H2358" s="2" t="s">
        <v>35</v>
      </c>
    </row>
    <row r="2359" spans="1:8" ht="13" hidden="1">
      <c r="A2359" s="15">
        <v>45710.881127870365</v>
      </c>
      <c r="B2359" s="16">
        <v>45706</v>
      </c>
      <c r="C2359" s="2" t="s">
        <v>977</v>
      </c>
      <c r="D2359" s="2" t="s">
        <v>45</v>
      </c>
      <c r="E2359" s="2">
        <v>2437</v>
      </c>
      <c r="F2359" s="2" t="s">
        <v>100</v>
      </c>
      <c r="G2359" s="2" t="s">
        <v>129</v>
      </c>
      <c r="H2359" s="2" t="s">
        <v>35</v>
      </c>
    </row>
    <row r="2360" spans="1:8" ht="13" hidden="1">
      <c r="A2360" s="15">
        <v>45746.735812905092</v>
      </c>
      <c r="B2360" s="16">
        <v>45737</v>
      </c>
      <c r="C2360" s="2" t="s">
        <v>240</v>
      </c>
      <c r="D2360" s="2" t="s">
        <v>42</v>
      </c>
      <c r="E2360" s="2">
        <v>990</v>
      </c>
      <c r="F2360" s="2" t="s">
        <v>100</v>
      </c>
      <c r="H2360" s="2" t="s">
        <v>35</v>
      </c>
    </row>
    <row r="2361" spans="1:8" ht="13" hidden="1">
      <c r="A2361" s="15">
        <v>45738.866682604166</v>
      </c>
      <c r="B2361" s="16">
        <v>45738</v>
      </c>
      <c r="C2361" s="2" t="s">
        <v>518</v>
      </c>
      <c r="D2361" s="2" t="s">
        <v>38</v>
      </c>
      <c r="E2361" s="2">
        <v>1422</v>
      </c>
      <c r="F2361" s="2" t="s">
        <v>102</v>
      </c>
      <c r="G2361" s="2" t="s">
        <v>978</v>
      </c>
      <c r="H2361" s="2" t="s">
        <v>35</v>
      </c>
    </row>
    <row r="2362" spans="1:8" ht="13" hidden="1">
      <c r="A2362" s="15">
        <v>45738.867082673612</v>
      </c>
      <c r="B2362" s="16">
        <v>45738</v>
      </c>
      <c r="C2362" s="2" t="s">
        <v>979</v>
      </c>
      <c r="D2362" s="2" t="s">
        <v>39</v>
      </c>
      <c r="E2362" s="2">
        <v>1600</v>
      </c>
      <c r="F2362" s="2" t="s">
        <v>102</v>
      </c>
      <c r="G2362" s="2" t="s">
        <v>980</v>
      </c>
      <c r="H2362" s="2" t="s">
        <v>35</v>
      </c>
    </row>
    <row r="2363" spans="1:8" ht="13" hidden="1">
      <c r="A2363" s="15">
        <v>45746.736160173612</v>
      </c>
      <c r="B2363" s="16">
        <v>45738</v>
      </c>
      <c r="C2363" s="2" t="s">
        <v>350</v>
      </c>
      <c r="D2363" s="2" t="s">
        <v>40</v>
      </c>
      <c r="E2363" s="2">
        <v>2000</v>
      </c>
      <c r="F2363" s="2" t="s">
        <v>100</v>
      </c>
      <c r="H2363" s="2" t="s">
        <v>35</v>
      </c>
    </row>
    <row r="2364" spans="1:8" ht="13" hidden="1">
      <c r="A2364" s="15">
        <v>45746.726234398149</v>
      </c>
      <c r="B2364" s="16">
        <v>45739</v>
      </c>
      <c r="C2364" s="2" t="s">
        <v>942</v>
      </c>
      <c r="D2364" s="2" t="s">
        <v>39</v>
      </c>
      <c r="E2364" s="2">
        <v>2380</v>
      </c>
      <c r="F2364" s="2" t="s">
        <v>102</v>
      </c>
      <c r="G2364" s="2" t="s">
        <v>185</v>
      </c>
      <c r="H2364" s="2" t="s">
        <v>35</v>
      </c>
    </row>
    <row r="2365" spans="1:8" ht="13" hidden="1">
      <c r="A2365" s="15">
        <v>45746.736676388886</v>
      </c>
      <c r="B2365" s="16">
        <v>45739</v>
      </c>
      <c r="C2365" s="2" t="s">
        <v>116</v>
      </c>
      <c r="D2365" s="2" t="s">
        <v>38</v>
      </c>
      <c r="E2365" s="2">
        <v>1743</v>
      </c>
      <c r="F2365" s="2" t="s">
        <v>100</v>
      </c>
      <c r="G2365" s="2" t="s">
        <v>652</v>
      </c>
      <c r="H2365" s="2" t="s">
        <v>35</v>
      </c>
    </row>
    <row r="2366" spans="1:8" ht="13" hidden="1">
      <c r="A2366" s="15">
        <v>45746.726547743056</v>
      </c>
      <c r="B2366" s="16">
        <v>45740</v>
      </c>
      <c r="C2366" s="2" t="s">
        <v>106</v>
      </c>
      <c r="D2366" s="2" t="s">
        <v>38</v>
      </c>
      <c r="E2366" s="2">
        <v>627</v>
      </c>
      <c r="F2366" s="2" t="s">
        <v>102</v>
      </c>
      <c r="G2366" s="2" t="s">
        <v>356</v>
      </c>
      <c r="H2366" s="2" t="s">
        <v>35</v>
      </c>
    </row>
    <row r="2367" spans="1:8" ht="13" hidden="1">
      <c r="A2367" s="15">
        <v>45746.726911516205</v>
      </c>
      <c r="B2367" s="16">
        <v>45740</v>
      </c>
      <c r="C2367" s="2" t="s">
        <v>615</v>
      </c>
      <c r="D2367" s="2" t="s">
        <v>38</v>
      </c>
      <c r="E2367" s="2">
        <v>240</v>
      </c>
      <c r="F2367" s="2" t="s">
        <v>102</v>
      </c>
      <c r="G2367" s="2" t="s">
        <v>356</v>
      </c>
      <c r="H2367" s="2" t="s">
        <v>35</v>
      </c>
    </row>
    <row r="2368" spans="1:8" ht="13" hidden="1">
      <c r="A2368" s="15">
        <v>45746.733040613428</v>
      </c>
      <c r="B2368" s="16">
        <v>45741</v>
      </c>
      <c r="C2368" s="2" t="s">
        <v>106</v>
      </c>
      <c r="D2368" s="2" t="s">
        <v>38</v>
      </c>
      <c r="E2368" s="2">
        <v>1100</v>
      </c>
      <c r="F2368" s="2" t="s">
        <v>102</v>
      </c>
      <c r="G2368" s="2" t="s">
        <v>952</v>
      </c>
      <c r="H2368" s="2" t="s">
        <v>35</v>
      </c>
    </row>
    <row r="2369" spans="1:8" ht="13" hidden="1">
      <c r="A2369" s="15">
        <v>45746.737030509263</v>
      </c>
      <c r="B2369" s="16">
        <v>45741</v>
      </c>
      <c r="C2369" s="2" t="s">
        <v>183</v>
      </c>
      <c r="D2369" s="2" t="s">
        <v>46</v>
      </c>
      <c r="E2369" s="2">
        <v>1980</v>
      </c>
      <c r="F2369" s="2" t="s">
        <v>100</v>
      </c>
      <c r="G2369" s="2" t="s">
        <v>129</v>
      </c>
      <c r="H2369" s="2" t="s">
        <v>35</v>
      </c>
    </row>
    <row r="2370" spans="1:8" ht="13" hidden="1">
      <c r="A2370" s="15">
        <v>45746.737366273148</v>
      </c>
      <c r="B2370" s="16">
        <v>45741</v>
      </c>
      <c r="C2370" s="2" t="s">
        <v>240</v>
      </c>
      <c r="D2370" s="2" t="s">
        <v>42</v>
      </c>
      <c r="E2370" s="2">
        <v>990</v>
      </c>
      <c r="F2370" s="2" t="s">
        <v>100</v>
      </c>
      <c r="H2370" s="2" t="s">
        <v>35</v>
      </c>
    </row>
    <row r="2371" spans="1:8" ht="13" hidden="1">
      <c r="A2371" s="15">
        <v>45746.741708553236</v>
      </c>
      <c r="B2371" s="16">
        <v>45741</v>
      </c>
      <c r="C2371" s="2" t="s">
        <v>981</v>
      </c>
      <c r="E2371" s="2">
        <v>385265</v>
      </c>
      <c r="H2371" s="2" t="s">
        <v>34</v>
      </c>
    </row>
    <row r="2372" spans="1:8" ht="13" hidden="1">
      <c r="A2372" s="15">
        <v>45746.727228854172</v>
      </c>
      <c r="B2372" s="16">
        <v>45742</v>
      </c>
      <c r="C2372" s="2" t="s">
        <v>982</v>
      </c>
      <c r="E2372" s="2">
        <v>1500</v>
      </c>
      <c r="H2372" s="2" t="s">
        <v>34</v>
      </c>
    </row>
    <row r="2373" spans="1:8" ht="13" hidden="1">
      <c r="A2373" s="15">
        <v>45697.633070185184</v>
      </c>
      <c r="B2373" s="16">
        <v>45697</v>
      </c>
      <c r="C2373" s="2" t="s">
        <v>204</v>
      </c>
      <c r="D2373" s="2" t="s">
        <v>45</v>
      </c>
      <c r="E2373" s="2">
        <v>2400</v>
      </c>
      <c r="F2373" s="2" t="s">
        <v>102</v>
      </c>
      <c r="H2373" s="2" t="s">
        <v>35</v>
      </c>
    </row>
    <row r="2374" spans="1:8" ht="13" hidden="1">
      <c r="A2374" s="15">
        <v>45746.728276979164</v>
      </c>
      <c r="B2374" s="16">
        <v>45742</v>
      </c>
      <c r="C2374" s="2" t="s">
        <v>333</v>
      </c>
      <c r="D2374" s="2" t="s">
        <v>38</v>
      </c>
      <c r="E2374" s="2">
        <v>746</v>
      </c>
      <c r="F2374" s="2" t="s">
        <v>102</v>
      </c>
      <c r="G2374" s="2" t="s">
        <v>356</v>
      </c>
      <c r="H2374" s="2" t="s">
        <v>35</v>
      </c>
    </row>
    <row r="2375" spans="1:8" ht="13" hidden="1">
      <c r="A2375" s="15">
        <v>45738.864364664347</v>
      </c>
      <c r="B2375" s="16">
        <v>45733</v>
      </c>
      <c r="C2375" s="2" t="s">
        <v>983</v>
      </c>
      <c r="D2375" s="2" t="s">
        <v>45</v>
      </c>
      <c r="E2375" s="2">
        <v>2382</v>
      </c>
      <c r="F2375" s="2" t="s">
        <v>102</v>
      </c>
      <c r="G2375" s="2" t="s">
        <v>285</v>
      </c>
      <c r="H2375" s="2" t="s">
        <v>35</v>
      </c>
    </row>
    <row r="2376" spans="1:8" ht="13" hidden="1">
      <c r="A2376" s="15">
        <v>45746.732619826391</v>
      </c>
      <c r="B2376" s="16">
        <v>45743</v>
      </c>
      <c r="C2376" s="2" t="s">
        <v>984</v>
      </c>
      <c r="D2376" s="2" t="s">
        <v>38</v>
      </c>
      <c r="E2376" s="2">
        <v>1100</v>
      </c>
      <c r="F2376" s="2" t="s">
        <v>102</v>
      </c>
      <c r="H2376" s="2" t="s">
        <v>35</v>
      </c>
    </row>
    <row r="2377" spans="1:8" ht="13" hidden="1">
      <c r="A2377" s="15">
        <v>45746.739134837961</v>
      </c>
      <c r="B2377" s="16">
        <v>45743</v>
      </c>
      <c r="C2377" s="2" t="s">
        <v>330</v>
      </c>
      <c r="D2377" s="2" t="s">
        <v>47</v>
      </c>
      <c r="E2377" s="2">
        <v>30000</v>
      </c>
      <c r="F2377" s="2" t="s">
        <v>102</v>
      </c>
      <c r="H2377" s="2" t="s">
        <v>35</v>
      </c>
    </row>
    <row r="2378" spans="1:8" ht="13" hidden="1">
      <c r="A2378" s="15">
        <v>45746.739433935189</v>
      </c>
      <c r="B2378" s="16">
        <v>45743</v>
      </c>
      <c r="C2378" s="2" t="s">
        <v>9</v>
      </c>
      <c r="D2378" s="2" t="s">
        <v>47</v>
      </c>
      <c r="E2378" s="2">
        <v>13600</v>
      </c>
      <c r="F2378" s="2" t="s">
        <v>102</v>
      </c>
      <c r="H2378" s="2" t="s">
        <v>35</v>
      </c>
    </row>
    <row r="2379" spans="1:8" ht="13" hidden="1">
      <c r="A2379" s="15">
        <v>45746.739709918984</v>
      </c>
      <c r="B2379" s="16">
        <v>45743</v>
      </c>
      <c r="C2379" s="2" t="s">
        <v>146</v>
      </c>
      <c r="D2379" s="2" t="s">
        <v>47</v>
      </c>
      <c r="E2379" s="2">
        <v>3400</v>
      </c>
      <c r="F2379" s="2" t="s">
        <v>102</v>
      </c>
      <c r="H2379" s="2" t="s">
        <v>35</v>
      </c>
    </row>
    <row r="2380" spans="1:8" ht="13" hidden="1">
      <c r="A2380" s="15">
        <v>45676.431455393518</v>
      </c>
      <c r="B2380" s="16">
        <v>45669</v>
      </c>
      <c r="C2380" s="2" t="s">
        <v>985</v>
      </c>
      <c r="D2380" s="2" t="s">
        <v>45</v>
      </c>
      <c r="E2380" s="2">
        <v>2380</v>
      </c>
      <c r="F2380" s="2" t="s">
        <v>100</v>
      </c>
      <c r="G2380" s="2" t="s">
        <v>129</v>
      </c>
      <c r="H2380" s="2" t="s">
        <v>35</v>
      </c>
    </row>
    <row r="2381" spans="1:8" ht="13" hidden="1">
      <c r="A2381" s="15">
        <v>45746.740365555554</v>
      </c>
      <c r="B2381" s="16">
        <v>45743</v>
      </c>
      <c r="C2381" s="2" t="s">
        <v>408</v>
      </c>
      <c r="D2381" s="2" t="s">
        <v>152</v>
      </c>
      <c r="E2381" s="2">
        <v>10000</v>
      </c>
      <c r="F2381" s="2" t="s">
        <v>102</v>
      </c>
      <c r="H2381" s="2" t="s">
        <v>35</v>
      </c>
    </row>
    <row r="2382" spans="1:8" ht="13" hidden="1">
      <c r="A2382" s="15">
        <v>45746.740664965277</v>
      </c>
      <c r="B2382" s="16">
        <v>45743</v>
      </c>
      <c r="C2382" s="2" t="s">
        <v>529</v>
      </c>
      <c r="D2382" s="2" t="s">
        <v>5</v>
      </c>
      <c r="E2382" s="2">
        <v>93000</v>
      </c>
      <c r="F2382" s="2" t="s">
        <v>102</v>
      </c>
      <c r="H2382" s="2" t="s">
        <v>35</v>
      </c>
    </row>
    <row r="2383" spans="1:8" ht="13" hidden="1">
      <c r="A2383" s="15">
        <v>45746.740976516201</v>
      </c>
      <c r="B2383" s="16">
        <v>45743</v>
      </c>
      <c r="C2383" s="2" t="s">
        <v>133</v>
      </c>
      <c r="D2383" s="2" t="s">
        <v>47</v>
      </c>
      <c r="E2383" s="2">
        <v>20000</v>
      </c>
      <c r="F2383" s="2" t="s">
        <v>102</v>
      </c>
      <c r="H2383" s="2" t="s">
        <v>35</v>
      </c>
    </row>
    <row r="2384" spans="1:8" ht="13" hidden="1">
      <c r="A2384" s="15">
        <v>45746.738089965278</v>
      </c>
      <c r="B2384" s="16">
        <v>45743</v>
      </c>
      <c r="C2384" s="2" t="s">
        <v>986</v>
      </c>
      <c r="D2384" s="2" t="s">
        <v>49</v>
      </c>
      <c r="E2384" s="2">
        <v>1078</v>
      </c>
      <c r="F2384" s="2" t="s">
        <v>100</v>
      </c>
      <c r="H2384" s="2" t="s">
        <v>35</v>
      </c>
    </row>
    <row r="2385" spans="1:8" ht="13" hidden="1">
      <c r="A2385" s="15">
        <v>45760.743380844906</v>
      </c>
      <c r="B2385" s="16">
        <v>45744</v>
      </c>
      <c r="C2385" s="2" t="s">
        <v>350</v>
      </c>
      <c r="D2385" s="2" t="s">
        <v>40</v>
      </c>
      <c r="E2385" s="2">
        <v>1000</v>
      </c>
      <c r="F2385" s="2" t="s">
        <v>100</v>
      </c>
      <c r="H2385" s="2" t="s">
        <v>35</v>
      </c>
    </row>
    <row r="2386" spans="1:8" ht="13" hidden="1">
      <c r="A2386" s="15">
        <v>45760.743664016205</v>
      </c>
      <c r="B2386" s="16">
        <v>45744</v>
      </c>
      <c r="C2386" s="2" t="s">
        <v>158</v>
      </c>
      <c r="D2386" s="2" t="s">
        <v>49</v>
      </c>
      <c r="E2386" s="2">
        <v>4980</v>
      </c>
      <c r="F2386" s="2" t="s">
        <v>100</v>
      </c>
      <c r="H2386" s="2" t="s">
        <v>35</v>
      </c>
    </row>
    <row r="2387" spans="1:8" ht="13" hidden="1">
      <c r="A2387" s="15">
        <v>45760.743933807869</v>
      </c>
      <c r="B2387" s="16">
        <v>45744</v>
      </c>
      <c r="C2387" s="2" t="s">
        <v>105</v>
      </c>
      <c r="D2387" s="2" t="s">
        <v>40</v>
      </c>
      <c r="E2387" s="2">
        <v>5200</v>
      </c>
      <c r="F2387" s="2" t="s">
        <v>100</v>
      </c>
      <c r="H2387" s="2" t="s">
        <v>35</v>
      </c>
    </row>
    <row r="2388" spans="1:8" ht="13" hidden="1">
      <c r="A2388" s="15">
        <v>45746.729106145838</v>
      </c>
      <c r="B2388" s="16">
        <v>45745</v>
      </c>
      <c r="C2388" s="2" t="s">
        <v>987</v>
      </c>
      <c r="D2388" s="2" t="s">
        <v>38</v>
      </c>
      <c r="E2388" s="2">
        <v>332</v>
      </c>
      <c r="F2388" s="2" t="s">
        <v>102</v>
      </c>
      <c r="G2388" s="2" t="s">
        <v>103</v>
      </c>
      <c r="H2388" s="2" t="s">
        <v>35</v>
      </c>
    </row>
    <row r="2389" spans="1:8" ht="13" hidden="1">
      <c r="A2389" s="15">
        <v>45746.729573993056</v>
      </c>
      <c r="B2389" s="16">
        <v>45745</v>
      </c>
      <c r="C2389" s="2" t="s">
        <v>988</v>
      </c>
      <c r="E2389" s="2">
        <v>3177</v>
      </c>
      <c r="H2389" s="2" t="s">
        <v>34</v>
      </c>
    </row>
    <row r="2390" spans="1:8" ht="13" hidden="1">
      <c r="A2390" s="15">
        <v>45746.729919895835</v>
      </c>
      <c r="B2390" s="16">
        <v>45745</v>
      </c>
      <c r="C2390" s="2" t="s">
        <v>989</v>
      </c>
      <c r="D2390" s="2" t="s">
        <v>38</v>
      </c>
      <c r="E2390" s="2">
        <v>358</v>
      </c>
      <c r="F2390" s="2" t="s">
        <v>102</v>
      </c>
      <c r="G2390" s="2" t="s">
        <v>356</v>
      </c>
      <c r="H2390" s="2" t="s">
        <v>35</v>
      </c>
    </row>
    <row r="2391" spans="1:8" ht="13" hidden="1">
      <c r="A2391" s="15">
        <v>45823.438422870371</v>
      </c>
      <c r="B2391" s="16">
        <v>45821</v>
      </c>
      <c r="C2391" s="2" t="s">
        <v>816</v>
      </c>
      <c r="D2391" s="2" t="s">
        <v>45</v>
      </c>
      <c r="E2391" s="2">
        <v>2351</v>
      </c>
      <c r="F2391" s="2" t="s">
        <v>102</v>
      </c>
      <c r="G2391" s="2" t="s">
        <v>285</v>
      </c>
      <c r="H2391" s="2" t="s">
        <v>35</v>
      </c>
    </row>
    <row r="2392" spans="1:8" ht="13" hidden="1">
      <c r="A2392" s="15">
        <v>45760.744390034721</v>
      </c>
      <c r="B2392" s="16">
        <v>45745</v>
      </c>
      <c r="C2392" s="2" t="s">
        <v>533</v>
      </c>
      <c r="D2392" s="2" t="s">
        <v>46</v>
      </c>
      <c r="E2392" s="2">
        <v>3920</v>
      </c>
      <c r="F2392" s="2" t="s">
        <v>100</v>
      </c>
      <c r="G2392" s="2" t="s">
        <v>129</v>
      </c>
      <c r="H2392" s="2" t="s">
        <v>35</v>
      </c>
    </row>
    <row r="2393" spans="1:8" ht="13" hidden="1">
      <c r="A2393" s="15">
        <v>45760.744705034725</v>
      </c>
      <c r="B2393" s="16">
        <v>45745</v>
      </c>
      <c r="C2393" s="2" t="s">
        <v>350</v>
      </c>
      <c r="D2393" s="2" t="s">
        <v>40</v>
      </c>
      <c r="E2393" s="2">
        <v>2000</v>
      </c>
      <c r="F2393" s="2" t="s">
        <v>100</v>
      </c>
      <c r="H2393" s="2" t="s">
        <v>35</v>
      </c>
    </row>
    <row r="2394" spans="1:8" ht="13" hidden="1">
      <c r="A2394" s="15">
        <v>45760.745239780095</v>
      </c>
      <c r="B2394" s="16">
        <v>45745</v>
      </c>
      <c r="C2394" s="2" t="s">
        <v>990</v>
      </c>
      <c r="D2394" s="2" t="s">
        <v>42</v>
      </c>
      <c r="E2394" s="2">
        <v>330</v>
      </c>
      <c r="F2394" s="2" t="s">
        <v>100</v>
      </c>
      <c r="H2394" s="2" t="s">
        <v>35</v>
      </c>
    </row>
    <row r="2395" spans="1:8" ht="13" hidden="1">
      <c r="A2395" s="15">
        <v>45746.730736157406</v>
      </c>
      <c r="B2395" s="16">
        <v>45746</v>
      </c>
      <c r="C2395" s="2" t="s">
        <v>482</v>
      </c>
      <c r="D2395" s="2" t="s">
        <v>38</v>
      </c>
      <c r="E2395" s="2">
        <v>1190</v>
      </c>
      <c r="F2395" s="2" t="s">
        <v>102</v>
      </c>
      <c r="G2395" s="2" t="s">
        <v>186</v>
      </c>
      <c r="H2395" s="2" t="s">
        <v>35</v>
      </c>
    </row>
    <row r="2396" spans="1:8" ht="13" hidden="1">
      <c r="A2396" s="15">
        <v>45746.731113912036</v>
      </c>
      <c r="B2396" s="16">
        <v>45746</v>
      </c>
      <c r="C2396" s="2" t="s">
        <v>436</v>
      </c>
      <c r="D2396" s="2" t="s">
        <v>38</v>
      </c>
      <c r="E2396" s="2">
        <v>205</v>
      </c>
      <c r="F2396" s="2" t="s">
        <v>102</v>
      </c>
      <c r="G2396" s="2" t="s">
        <v>103</v>
      </c>
      <c r="H2396" s="2" t="s">
        <v>35</v>
      </c>
    </row>
    <row r="2397" spans="1:8" ht="13" hidden="1">
      <c r="A2397" s="15">
        <v>45783.776977997681</v>
      </c>
      <c r="B2397" s="16">
        <v>45779</v>
      </c>
      <c r="C2397" s="2" t="s">
        <v>812</v>
      </c>
      <c r="D2397" s="2" t="s">
        <v>45</v>
      </c>
      <c r="E2397" s="2">
        <v>2350</v>
      </c>
      <c r="F2397" s="2" t="s">
        <v>102</v>
      </c>
      <c r="G2397" s="2" t="s">
        <v>285</v>
      </c>
      <c r="H2397" s="2" t="s">
        <v>35</v>
      </c>
    </row>
    <row r="2398" spans="1:8" ht="13" hidden="1">
      <c r="A2398" s="15">
        <v>45746.731715925926</v>
      </c>
      <c r="B2398" s="16">
        <v>45746</v>
      </c>
      <c r="C2398" s="2" t="s">
        <v>154</v>
      </c>
      <c r="D2398" s="2" t="s">
        <v>38</v>
      </c>
      <c r="E2398" s="2">
        <v>500</v>
      </c>
      <c r="F2398" s="2" t="s">
        <v>102</v>
      </c>
      <c r="H2398" s="2" t="s">
        <v>35</v>
      </c>
    </row>
    <row r="2399" spans="1:8" ht="13" hidden="1">
      <c r="A2399" s="15">
        <v>45746.732081898153</v>
      </c>
      <c r="B2399" s="16">
        <v>45746</v>
      </c>
      <c r="C2399" s="2" t="s">
        <v>991</v>
      </c>
      <c r="D2399" s="2" t="s">
        <v>38</v>
      </c>
      <c r="E2399" s="2">
        <v>105</v>
      </c>
      <c r="F2399" s="2" t="s">
        <v>102</v>
      </c>
      <c r="H2399" s="2" t="s">
        <v>35</v>
      </c>
    </row>
    <row r="2400" spans="1:8" ht="13" hidden="1">
      <c r="A2400" s="15">
        <v>45760.74560440972</v>
      </c>
      <c r="B2400" s="16">
        <v>45746</v>
      </c>
      <c r="C2400" s="2" t="s">
        <v>277</v>
      </c>
      <c r="D2400" s="2" t="s">
        <v>46</v>
      </c>
      <c r="E2400" s="2">
        <v>1782</v>
      </c>
      <c r="F2400" s="2" t="s">
        <v>100</v>
      </c>
      <c r="G2400" s="2" t="s">
        <v>129</v>
      </c>
      <c r="H2400" s="2" t="s">
        <v>35</v>
      </c>
    </row>
    <row r="2401" spans="1:8" ht="13" hidden="1">
      <c r="A2401" s="15">
        <v>45760.745986134258</v>
      </c>
      <c r="B2401" s="16">
        <v>45746</v>
      </c>
      <c r="C2401" s="2" t="s">
        <v>44</v>
      </c>
      <c r="D2401" s="2" t="s">
        <v>44</v>
      </c>
      <c r="E2401" s="2">
        <v>4990</v>
      </c>
      <c r="F2401" s="2" t="s">
        <v>100</v>
      </c>
      <c r="G2401" s="2" t="s">
        <v>132</v>
      </c>
      <c r="H2401" s="2" t="s">
        <v>35</v>
      </c>
    </row>
    <row r="2402" spans="1:8" ht="13" hidden="1">
      <c r="A2402" s="15">
        <v>45760.746332314811</v>
      </c>
      <c r="B2402" s="16">
        <v>45746</v>
      </c>
      <c r="C2402" s="2" t="s">
        <v>116</v>
      </c>
      <c r="D2402" s="2" t="s">
        <v>38</v>
      </c>
      <c r="E2402" s="2">
        <v>907</v>
      </c>
      <c r="F2402" s="2" t="s">
        <v>100</v>
      </c>
      <c r="G2402" s="2" t="s">
        <v>652</v>
      </c>
      <c r="H2402" s="2" t="s">
        <v>35</v>
      </c>
    </row>
    <row r="2403" spans="1:8" ht="13" hidden="1">
      <c r="A2403" s="15">
        <v>45760.746707060185</v>
      </c>
      <c r="B2403" s="16">
        <v>45746</v>
      </c>
      <c r="C2403" s="2" t="s">
        <v>350</v>
      </c>
      <c r="D2403" s="2" t="s">
        <v>40</v>
      </c>
      <c r="E2403" s="2">
        <v>1000</v>
      </c>
      <c r="F2403" s="2" t="s">
        <v>100</v>
      </c>
      <c r="H2403" s="2" t="s">
        <v>35</v>
      </c>
    </row>
    <row r="2404" spans="1:8" ht="13" hidden="1">
      <c r="A2404" s="15">
        <v>45760.746970868058</v>
      </c>
      <c r="B2404" s="16">
        <v>45746</v>
      </c>
      <c r="C2404" s="2" t="s">
        <v>992</v>
      </c>
      <c r="D2404" s="2" t="s">
        <v>39</v>
      </c>
      <c r="E2404" s="2">
        <v>1000</v>
      </c>
      <c r="F2404" s="2" t="s">
        <v>100</v>
      </c>
      <c r="H2404" s="2" t="s">
        <v>35</v>
      </c>
    </row>
    <row r="2405" spans="1:8" ht="13" hidden="1">
      <c r="A2405" s="15">
        <v>45746.731520335648</v>
      </c>
      <c r="B2405" s="16">
        <v>45746</v>
      </c>
      <c r="C2405" s="2" t="s">
        <v>993</v>
      </c>
      <c r="D2405" s="2" t="s">
        <v>45</v>
      </c>
      <c r="E2405" s="2">
        <v>2179</v>
      </c>
      <c r="F2405" s="2" t="s">
        <v>102</v>
      </c>
      <c r="G2405" s="2" t="s">
        <v>285</v>
      </c>
      <c r="H2405" s="2" t="s">
        <v>35</v>
      </c>
    </row>
    <row r="2406" spans="1:8" ht="13" hidden="1">
      <c r="A2406" s="15">
        <v>45760.740254583332</v>
      </c>
      <c r="B2406" s="16">
        <v>45747</v>
      </c>
      <c r="C2406" s="2" t="s">
        <v>106</v>
      </c>
      <c r="D2406" s="2" t="s">
        <v>38</v>
      </c>
      <c r="E2406" s="2">
        <v>1100</v>
      </c>
      <c r="F2406" s="2" t="s">
        <v>102</v>
      </c>
      <c r="H2406" s="2" t="s">
        <v>35</v>
      </c>
    </row>
    <row r="2407" spans="1:8" ht="13" hidden="1">
      <c r="A2407" s="15">
        <v>45797.953198831019</v>
      </c>
      <c r="B2407" s="16">
        <v>45784</v>
      </c>
      <c r="C2407" s="2" t="s">
        <v>719</v>
      </c>
      <c r="D2407" s="2" t="s">
        <v>45</v>
      </c>
      <c r="E2407" s="2">
        <v>2127</v>
      </c>
      <c r="F2407" s="2" t="s">
        <v>102</v>
      </c>
      <c r="G2407" s="2" t="s">
        <v>285</v>
      </c>
      <c r="H2407" s="2" t="s">
        <v>35</v>
      </c>
    </row>
    <row r="2408" spans="1:8" ht="13" hidden="1">
      <c r="A2408" s="15">
        <v>45760.747972083336</v>
      </c>
      <c r="B2408" s="16">
        <v>45747</v>
      </c>
      <c r="C2408" s="2" t="s">
        <v>116</v>
      </c>
      <c r="D2408" s="2" t="s">
        <v>38</v>
      </c>
      <c r="E2408" s="2">
        <v>1439</v>
      </c>
      <c r="F2408" s="2" t="s">
        <v>100</v>
      </c>
      <c r="G2408" s="2" t="s">
        <v>652</v>
      </c>
      <c r="H2408" s="2" t="s">
        <v>35</v>
      </c>
    </row>
    <row r="2409" spans="1:8" ht="13" hidden="1">
      <c r="A2409" s="15">
        <v>45760.733347662041</v>
      </c>
      <c r="B2409" s="16">
        <v>45748</v>
      </c>
      <c r="C2409" s="2" t="s">
        <v>106</v>
      </c>
      <c r="D2409" s="2" t="s">
        <v>38</v>
      </c>
      <c r="E2409" s="2">
        <v>1300</v>
      </c>
      <c r="F2409" s="2" t="s">
        <v>102</v>
      </c>
      <c r="G2409" s="2" t="s">
        <v>957</v>
      </c>
      <c r="H2409" s="2" t="s">
        <v>35</v>
      </c>
    </row>
    <row r="2410" spans="1:8" ht="13" hidden="1">
      <c r="A2410" s="15">
        <v>45760.7482121875</v>
      </c>
      <c r="B2410" s="16">
        <v>45748</v>
      </c>
      <c r="C2410" s="2" t="s">
        <v>240</v>
      </c>
      <c r="D2410" s="2" t="s">
        <v>42</v>
      </c>
      <c r="E2410" s="2">
        <v>990</v>
      </c>
      <c r="F2410" s="2" t="s">
        <v>100</v>
      </c>
      <c r="H2410" s="2" t="s">
        <v>35</v>
      </c>
    </row>
    <row r="2411" spans="1:8" ht="13" hidden="1">
      <c r="A2411" s="15">
        <v>45845.895294618051</v>
      </c>
      <c r="B2411" s="16">
        <v>45830</v>
      </c>
      <c r="C2411" s="2" t="s">
        <v>994</v>
      </c>
      <c r="D2411" s="2" t="s">
        <v>45</v>
      </c>
      <c r="E2411" s="2">
        <v>2127</v>
      </c>
      <c r="F2411" s="2" t="s">
        <v>100</v>
      </c>
      <c r="G2411" s="2" t="s">
        <v>129</v>
      </c>
      <c r="H2411" s="2" t="s">
        <v>35</v>
      </c>
    </row>
    <row r="2412" spans="1:8" ht="13" hidden="1">
      <c r="A2412" s="15">
        <v>45760.748727210652</v>
      </c>
      <c r="B2412" s="16">
        <v>45748</v>
      </c>
      <c r="C2412" s="2" t="s">
        <v>26</v>
      </c>
      <c r="D2412" s="2" t="s">
        <v>41</v>
      </c>
      <c r="E2412" s="2">
        <v>5985</v>
      </c>
      <c r="F2412" s="2" t="s">
        <v>100</v>
      </c>
      <c r="H2412" s="2" t="s">
        <v>35</v>
      </c>
    </row>
    <row r="2413" spans="1:8" ht="13" hidden="1">
      <c r="A2413" s="15">
        <v>45865.655198680557</v>
      </c>
      <c r="B2413" s="16">
        <v>45864</v>
      </c>
      <c r="C2413" s="2" t="s">
        <v>715</v>
      </c>
      <c r="D2413" s="2" t="s">
        <v>45</v>
      </c>
      <c r="E2413" s="2">
        <v>2018</v>
      </c>
      <c r="F2413" s="2" t="s">
        <v>102</v>
      </c>
      <c r="G2413" s="2" t="s">
        <v>285</v>
      </c>
      <c r="H2413" s="2" t="s">
        <v>35</v>
      </c>
    </row>
    <row r="2414" spans="1:8" ht="13" hidden="1">
      <c r="A2414" s="15">
        <v>45760.749319513889</v>
      </c>
      <c r="B2414" s="16">
        <v>45748</v>
      </c>
      <c r="C2414" s="2" t="s">
        <v>995</v>
      </c>
      <c r="D2414" s="2" t="s">
        <v>49</v>
      </c>
      <c r="E2414" s="2">
        <v>1200</v>
      </c>
      <c r="F2414" s="2" t="s">
        <v>100</v>
      </c>
      <c r="G2414" s="2" t="s">
        <v>179</v>
      </c>
      <c r="H2414" s="2" t="s">
        <v>35</v>
      </c>
    </row>
    <row r="2415" spans="1:8" ht="13" hidden="1">
      <c r="A2415" s="15">
        <v>45676.431903749995</v>
      </c>
      <c r="B2415" s="16">
        <v>45669</v>
      </c>
      <c r="C2415" s="2" t="s">
        <v>996</v>
      </c>
      <c r="D2415" s="2" t="s">
        <v>45</v>
      </c>
      <c r="E2415" s="2">
        <v>1980</v>
      </c>
      <c r="F2415" s="2" t="s">
        <v>100</v>
      </c>
      <c r="G2415" s="2" t="s">
        <v>129</v>
      </c>
      <c r="H2415" s="2" t="s">
        <v>35</v>
      </c>
    </row>
    <row r="2416" spans="1:8" ht="13" hidden="1">
      <c r="A2416" s="15">
        <v>45760.742446736112</v>
      </c>
      <c r="B2416" s="16">
        <v>45749</v>
      </c>
      <c r="C2416" s="2" t="s">
        <v>258</v>
      </c>
      <c r="E2416" s="2">
        <v>12864</v>
      </c>
      <c r="H2416" s="2" t="s">
        <v>34</v>
      </c>
    </row>
    <row r="2417" spans="1:8" ht="13" hidden="1">
      <c r="A2417" s="15">
        <v>45760.749646620374</v>
      </c>
      <c r="B2417" s="16">
        <v>45750</v>
      </c>
      <c r="C2417" s="2" t="s">
        <v>350</v>
      </c>
      <c r="D2417" s="2" t="s">
        <v>40</v>
      </c>
      <c r="E2417" s="2">
        <v>1000</v>
      </c>
      <c r="F2417" s="2" t="s">
        <v>100</v>
      </c>
      <c r="H2417" s="2" t="s">
        <v>35</v>
      </c>
    </row>
    <row r="2418" spans="1:8" ht="13" hidden="1">
      <c r="A2418" s="15">
        <v>45760.750011793978</v>
      </c>
      <c r="B2418" s="16">
        <v>45750</v>
      </c>
      <c r="C2418" s="2" t="s">
        <v>240</v>
      </c>
      <c r="D2418" s="2" t="s">
        <v>42</v>
      </c>
      <c r="E2418" s="2">
        <v>330</v>
      </c>
      <c r="F2418" s="2" t="s">
        <v>100</v>
      </c>
      <c r="H2418" s="2" t="s">
        <v>35</v>
      </c>
    </row>
    <row r="2419" spans="1:8" ht="13" hidden="1">
      <c r="A2419" s="15">
        <v>45760.734041157411</v>
      </c>
      <c r="B2419" s="16">
        <v>45751</v>
      </c>
      <c r="C2419" s="2" t="s">
        <v>398</v>
      </c>
      <c r="D2419" s="2" t="s">
        <v>38</v>
      </c>
      <c r="E2419" s="2">
        <v>135</v>
      </c>
      <c r="F2419" s="2" t="s">
        <v>102</v>
      </c>
      <c r="G2419" s="2" t="s">
        <v>103</v>
      </c>
      <c r="H2419" s="2" t="s">
        <v>35</v>
      </c>
    </row>
    <row r="2420" spans="1:8" ht="13" hidden="1">
      <c r="A2420" s="15">
        <v>45760.734300057869</v>
      </c>
      <c r="B2420" s="16">
        <v>45751</v>
      </c>
      <c r="C2420" s="2" t="s">
        <v>997</v>
      </c>
      <c r="D2420" s="2" t="s">
        <v>38</v>
      </c>
      <c r="E2420" s="2">
        <v>900</v>
      </c>
      <c r="F2420" s="2" t="s">
        <v>102</v>
      </c>
      <c r="H2420" s="2" t="s">
        <v>35</v>
      </c>
    </row>
    <row r="2421" spans="1:8" ht="13" hidden="1">
      <c r="A2421" s="15">
        <v>45760.734594641202</v>
      </c>
      <c r="B2421" s="16">
        <v>45751</v>
      </c>
      <c r="C2421" s="2" t="s">
        <v>436</v>
      </c>
      <c r="D2421" s="2" t="s">
        <v>38</v>
      </c>
      <c r="E2421" s="2">
        <v>183</v>
      </c>
      <c r="F2421" s="2" t="s">
        <v>102</v>
      </c>
      <c r="G2421" s="2" t="s">
        <v>103</v>
      </c>
      <c r="H2421" s="2" t="s">
        <v>35</v>
      </c>
    </row>
    <row r="2422" spans="1:8" ht="13" hidden="1">
      <c r="A2422" s="15">
        <v>45760.750414548616</v>
      </c>
      <c r="B2422" s="16">
        <v>45751</v>
      </c>
      <c r="C2422" s="2" t="s">
        <v>176</v>
      </c>
      <c r="D2422" s="2" t="s">
        <v>41</v>
      </c>
      <c r="E2422" s="2">
        <v>3148</v>
      </c>
      <c r="F2422" s="2" t="s">
        <v>100</v>
      </c>
      <c r="H2422" s="2" t="s">
        <v>35</v>
      </c>
    </row>
    <row r="2423" spans="1:8" ht="13" hidden="1">
      <c r="A2423" s="15">
        <v>45760.735068182868</v>
      </c>
      <c r="B2423" s="16">
        <v>45752</v>
      </c>
      <c r="C2423" s="2" t="s">
        <v>998</v>
      </c>
      <c r="D2423" s="2" t="s">
        <v>39</v>
      </c>
      <c r="E2423" s="2">
        <v>1500</v>
      </c>
      <c r="F2423" s="2" t="s">
        <v>102</v>
      </c>
      <c r="H2423" s="2" t="s">
        <v>35</v>
      </c>
    </row>
    <row r="2424" spans="1:8" ht="13" hidden="1">
      <c r="A2424" s="15">
        <v>45760.735360949075</v>
      </c>
      <c r="B2424" s="16">
        <v>45752</v>
      </c>
      <c r="C2424" s="2" t="s">
        <v>999</v>
      </c>
      <c r="D2424" s="2" t="s">
        <v>39</v>
      </c>
      <c r="E2424" s="2">
        <v>9000</v>
      </c>
      <c r="F2424" s="2" t="s">
        <v>102</v>
      </c>
      <c r="H2424" s="2" t="s">
        <v>35</v>
      </c>
    </row>
    <row r="2425" spans="1:8" ht="13" hidden="1">
      <c r="A2425" s="15">
        <v>45760.735604386573</v>
      </c>
      <c r="B2425" s="16">
        <v>45752</v>
      </c>
      <c r="C2425" s="2" t="s">
        <v>1000</v>
      </c>
      <c r="E2425" s="2">
        <v>4900</v>
      </c>
      <c r="H2425" s="2" t="s">
        <v>34</v>
      </c>
    </row>
    <row r="2426" spans="1:8" ht="13" hidden="1">
      <c r="A2426" s="15">
        <v>45760.750674236115</v>
      </c>
      <c r="B2426" s="16">
        <v>45752</v>
      </c>
      <c r="C2426" s="2" t="s">
        <v>418</v>
      </c>
      <c r="D2426" s="2" t="s">
        <v>39</v>
      </c>
      <c r="E2426" s="2">
        <v>9700</v>
      </c>
      <c r="F2426" s="2" t="s">
        <v>100</v>
      </c>
      <c r="H2426" s="2" t="s">
        <v>35</v>
      </c>
    </row>
    <row r="2427" spans="1:8" ht="13" hidden="1">
      <c r="A2427" s="15">
        <v>45760.751198518519</v>
      </c>
      <c r="B2427" s="16">
        <v>45752</v>
      </c>
      <c r="C2427" s="2" t="s">
        <v>116</v>
      </c>
      <c r="D2427" s="2" t="s">
        <v>38</v>
      </c>
      <c r="E2427" s="2">
        <v>1655</v>
      </c>
      <c r="F2427" s="2" t="s">
        <v>100</v>
      </c>
      <c r="G2427" s="2" t="s">
        <v>652</v>
      </c>
      <c r="H2427" s="2" t="s">
        <v>35</v>
      </c>
    </row>
    <row r="2428" spans="1:8" ht="13" hidden="1">
      <c r="A2428" s="15">
        <v>45760.751474930556</v>
      </c>
      <c r="B2428" s="16">
        <v>45752</v>
      </c>
      <c r="C2428" s="2" t="s">
        <v>240</v>
      </c>
      <c r="D2428" s="2" t="s">
        <v>42</v>
      </c>
      <c r="E2428" s="2">
        <v>330</v>
      </c>
      <c r="F2428" s="2" t="s">
        <v>100</v>
      </c>
      <c r="H2428" s="2" t="s">
        <v>35</v>
      </c>
    </row>
    <row r="2429" spans="1:8" ht="13" hidden="1">
      <c r="A2429" s="15">
        <v>45760.751709212964</v>
      </c>
      <c r="B2429" s="16">
        <v>45752</v>
      </c>
      <c r="C2429" s="2" t="s">
        <v>350</v>
      </c>
      <c r="D2429" s="2" t="s">
        <v>40</v>
      </c>
      <c r="E2429" s="2">
        <v>6000</v>
      </c>
      <c r="F2429" s="2" t="s">
        <v>100</v>
      </c>
      <c r="H2429" s="2" t="s">
        <v>35</v>
      </c>
    </row>
    <row r="2430" spans="1:8" ht="13" hidden="1">
      <c r="A2430" s="15">
        <v>45760.751953182873</v>
      </c>
      <c r="B2430" s="16">
        <v>45752</v>
      </c>
      <c r="C2430" s="2" t="s">
        <v>105</v>
      </c>
      <c r="D2430" s="2" t="s">
        <v>40</v>
      </c>
      <c r="E2430" s="2">
        <v>1300</v>
      </c>
      <c r="F2430" s="2" t="s">
        <v>100</v>
      </c>
      <c r="H2430" s="2" t="s">
        <v>35</v>
      </c>
    </row>
    <row r="2431" spans="1:8" ht="13" hidden="1">
      <c r="A2431" s="15">
        <v>45754.372134641206</v>
      </c>
      <c r="B2431" s="16">
        <v>45753</v>
      </c>
      <c r="C2431" s="2" t="s">
        <v>1001</v>
      </c>
      <c r="E2431" s="2">
        <v>16000</v>
      </c>
      <c r="H2431" s="2" t="s">
        <v>34</v>
      </c>
    </row>
    <row r="2432" spans="1:8" ht="13" hidden="1">
      <c r="A2432" s="15">
        <v>45754.372338483794</v>
      </c>
      <c r="B2432" s="16">
        <v>45753</v>
      </c>
      <c r="C2432" s="2" t="s">
        <v>294</v>
      </c>
      <c r="D2432" s="2" t="s">
        <v>39</v>
      </c>
      <c r="E2432" s="2">
        <v>1050</v>
      </c>
      <c r="F2432" s="2" t="s">
        <v>102</v>
      </c>
      <c r="H2432" s="2" t="s">
        <v>35</v>
      </c>
    </row>
    <row r="2433" spans="1:8" ht="13" hidden="1">
      <c r="A2433" s="15">
        <v>45760.73623224537</v>
      </c>
      <c r="B2433" s="16">
        <v>45753</v>
      </c>
      <c r="C2433" s="2" t="s">
        <v>1002</v>
      </c>
      <c r="D2433" s="2" t="s">
        <v>39</v>
      </c>
      <c r="E2433" s="2">
        <v>1353</v>
      </c>
      <c r="F2433" s="2" t="s">
        <v>102</v>
      </c>
      <c r="H2433" s="2" t="s">
        <v>35</v>
      </c>
    </row>
    <row r="2434" spans="1:8" ht="13" hidden="1">
      <c r="A2434" s="15">
        <v>45760.73648925926</v>
      </c>
      <c r="B2434" s="16">
        <v>45753</v>
      </c>
      <c r="C2434" s="2" t="s">
        <v>1002</v>
      </c>
      <c r="D2434" s="2" t="s">
        <v>39</v>
      </c>
      <c r="E2434" s="2">
        <v>1640</v>
      </c>
      <c r="F2434" s="2" t="s">
        <v>102</v>
      </c>
      <c r="H2434" s="2" t="s">
        <v>35</v>
      </c>
    </row>
    <row r="2435" spans="1:8" ht="13" hidden="1">
      <c r="A2435" s="15">
        <v>45760.736790428244</v>
      </c>
      <c r="B2435" s="16">
        <v>45753</v>
      </c>
      <c r="C2435" s="2" t="s">
        <v>1003</v>
      </c>
      <c r="D2435" s="2" t="s">
        <v>39</v>
      </c>
      <c r="E2435" s="2">
        <v>23350</v>
      </c>
      <c r="F2435" s="2" t="s">
        <v>102</v>
      </c>
      <c r="H2435" s="2" t="s">
        <v>35</v>
      </c>
    </row>
    <row r="2436" spans="1:8" ht="13" hidden="1">
      <c r="A2436" s="15">
        <v>45760.737300821755</v>
      </c>
      <c r="B2436" s="16">
        <v>45753</v>
      </c>
      <c r="C2436" s="2" t="s">
        <v>1004</v>
      </c>
      <c r="D2436" s="2" t="s">
        <v>38</v>
      </c>
      <c r="E2436" s="2">
        <v>288</v>
      </c>
      <c r="F2436" s="2" t="s">
        <v>102</v>
      </c>
      <c r="G2436" s="2" t="s">
        <v>356</v>
      </c>
      <c r="H2436" s="2" t="s">
        <v>35</v>
      </c>
    </row>
    <row r="2437" spans="1:8" ht="13" hidden="1">
      <c r="A2437" s="15">
        <v>45760.752258576387</v>
      </c>
      <c r="B2437" s="16">
        <v>45753</v>
      </c>
      <c r="C2437" s="2" t="s">
        <v>44</v>
      </c>
      <c r="D2437" s="2" t="s">
        <v>44</v>
      </c>
      <c r="E2437" s="2">
        <v>14400</v>
      </c>
      <c r="F2437" s="2" t="s">
        <v>100</v>
      </c>
      <c r="H2437" s="2" t="s">
        <v>35</v>
      </c>
    </row>
    <row r="2438" spans="1:8" ht="13" hidden="1">
      <c r="A2438" s="15">
        <v>45760.737588634263</v>
      </c>
      <c r="B2438" s="16">
        <v>45754</v>
      </c>
      <c r="C2438" s="2" t="s">
        <v>106</v>
      </c>
      <c r="D2438" s="2" t="s">
        <v>38</v>
      </c>
      <c r="E2438" s="2">
        <v>610</v>
      </c>
      <c r="F2438" s="2" t="s">
        <v>102</v>
      </c>
      <c r="G2438" s="2" t="s">
        <v>356</v>
      </c>
      <c r="H2438" s="2" t="s">
        <v>35</v>
      </c>
    </row>
    <row r="2439" spans="1:8" ht="13" hidden="1">
      <c r="A2439" s="15">
        <v>45746.727747025463</v>
      </c>
      <c r="B2439" s="16">
        <v>45742</v>
      </c>
      <c r="C2439" s="2" t="s">
        <v>1005</v>
      </c>
      <c r="D2439" s="2" t="s">
        <v>45</v>
      </c>
      <c r="E2439" s="2">
        <v>1903</v>
      </c>
      <c r="F2439" s="2" t="s">
        <v>102</v>
      </c>
      <c r="G2439" s="2" t="s">
        <v>285</v>
      </c>
      <c r="H2439" s="2" t="s">
        <v>35</v>
      </c>
    </row>
    <row r="2440" spans="1:8" ht="13" hidden="1">
      <c r="A2440" s="15">
        <v>45760.738352581015</v>
      </c>
      <c r="B2440" s="16">
        <v>45755</v>
      </c>
      <c r="C2440" s="2" t="s">
        <v>926</v>
      </c>
      <c r="D2440" s="2" t="s">
        <v>38</v>
      </c>
      <c r="E2440" s="2">
        <v>720</v>
      </c>
      <c r="F2440" s="2" t="s">
        <v>102</v>
      </c>
      <c r="H2440" s="2" t="s">
        <v>35</v>
      </c>
    </row>
    <row r="2441" spans="1:8" ht="13" hidden="1">
      <c r="A2441" s="15">
        <v>45760.741387326387</v>
      </c>
      <c r="B2441" s="16">
        <v>45755</v>
      </c>
      <c r="C2441" s="2" t="s">
        <v>106</v>
      </c>
      <c r="D2441" s="2" t="s">
        <v>38</v>
      </c>
      <c r="E2441" s="2">
        <v>900</v>
      </c>
      <c r="F2441" s="2" t="s">
        <v>102</v>
      </c>
      <c r="G2441" s="2" t="s">
        <v>958</v>
      </c>
      <c r="H2441" s="2" t="s">
        <v>35</v>
      </c>
    </row>
    <row r="2442" spans="1:8" ht="13" hidden="1">
      <c r="A2442" s="15">
        <v>45760.752523900461</v>
      </c>
      <c r="B2442" s="16">
        <v>45755</v>
      </c>
      <c r="C2442" s="2" t="s">
        <v>240</v>
      </c>
      <c r="D2442" s="2" t="s">
        <v>42</v>
      </c>
      <c r="E2442" s="2">
        <v>990</v>
      </c>
      <c r="F2442" s="2" t="s">
        <v>100</v>
      </c>
      <c r="H2442" s="2" t="s">
        <v>35</v>
      </c>
    </row>
    <row r="2443" spans="1:8" ht="13" hidden="1">
      <c r="A2443" s="15">
        <v>45760.752757083334</v>
      </c>
      <c r="B2443" s="16">
        <v>45755</v>
      </c>
      <c r="C2443" s="2" t="s">
        <v>962</v>
      </c>
      <c r="D2443" s="2" t="s">
        <v>39</v>
      </c>
      <c r="E2443" s="2">
        <v>1320</v>
      </c>
      <c r="F2443" s="2" t="s">
        <v>100</v>
      </c>
      <c r="H2443" s="2" t="s">
        <v>35</v>
      </c>
    </row>
    <row r="2444" spans="1:8" ht="13" hidden="1">
      <c r="A2444" s="15">
        <v>45760.75306771991</v>
      </c>
      <c r="B2444" s="16">
        <v>45755</v>
      </c>
      <c r="C2444" s="2" t="s">
        <v>350</v>
      </c>
      <c r="D2444" s="2" t="s">
        <v>40</v>
      </c>
      <c r="E2444" s="2">
        <v>2000</v>
      </c>
      <c r="F2444" s="2" t="s">
        <v>100</v>
      </c>
      <c r="H2444" s="2" t="s">
        <v>35</v>
      </c>
    </row>
    <row r="2445" spans="1:8" ht="13" hidden="1">
      <c r="A2445" s="15">
        <v>45760.753294918977</v>
      </c>
      <c r="B2445" s="16">
        <v>45755</v>
      </c>
      <c r="C2445" s="2" t="s">
        <v>654</v>
      </c>
      <c r="D2445" s="2" t="s">
        <v>48</v>
      </c>
      <c r="E2445" s="2">
        <v>150</v>
      </c>
      <c r="F2445" s="2" t="s">
        <v>100</v>
      </c>
      <c r="H2445" s="2" t="s">
        <v>35</v>
      </c>
    </row>
    <row r="2446" spans="1:8" ht="13" hidden="1">
      <c r="A2446" s="15">
        <v>45760.753612789355</v>
      </c>
      <c r="B2446" s="16">
        <v>45755</v>
      </c>
      <c r="C2446" s="2" t="s">
        <v>1006</v>
      </c>
      <c r="D2446" s="2" t="s">
        <v>38</v>
      </c>
      <c r="E2446" s="2">
        <v>236</v>
      </c>
      <c r="F2446" s="2" t="s">
        <v>100</v>
      </c>
      <c r="H2446" s="2" t="s">
        <v>35</v>
      </c>
    </row>
    <row r="2447" spans="1:8" ht="13" hidden="1">
      <c r="A2447" s="15">
        <v>45760.753837025462</v>
      </c>
      <c r="B2447" s="16">
        <v>45755</v>
      </c>
      <c r="C2447" s="2" t="s">
        <v>736</v>
      </c>
      <c r="D2447" s="2" t="s">
        <v>39</v>
      </c>
      <c r="E2447" s="2">
        <v>2310</v>
      </c>
      <c r="F2447" s="2" t="s">
        <v>100</v>
      </c>
      <c r="H2447" s="2" t="s">
        <v>35</v>
      </c>
    </row>
    <row r="2448" spans="1:8" ht="13" hidden="1">
      <c r="A2448" s="15">
        <v>45760.754125081017</v>
      </c>
      <c r="B2448" s="16">
        <v>45756</v>
      </c>
      <c r="C2448" s="2" t="s">
        <v>15</v>
      </c>
      <c r="D2448" s="2" t="s">
        <v>48</v>
      </c>
      <c r="E2448" s="2">
        <v>880</v>
      </c>
      <c r="F2448" s="2" t="s">
        <v>100</v>
      </c>
      <c r="H2448" s="2" t="s">
        <v>35</v>
      </c>
    </row>
    <row r="2449" spans="1:8" ht="13" hidden="1">
      <c r="A2449" s="15">
        <v>45760.754407881948</v>
      </c>
      <c r="B2449" s="16">
        <v>45757</v>
      </c>
      <c r="C2449" s="2" t="s">
        <v>277</v>
      </c>
      <c r="D2449" s="2" t="s">
        <v>46</v>
      </c>
      <c r="E2449" s="2">
        <v>2200</v>
      </c>
      <c r="F2449" s="2" t="s">
        <v>100</v>
      </c>
      <c r="G2449" s="2" t="s">
        <v>129</v>
      </c>
      <c r="H2449" s="2" t="s">
        <v>35</v>
      </c>
    </row>
    <row r="2450" spans="1:8" ht="13" hidden="1">
      <c r="A2450" s="15">
        <v>45760.738658171293</v>
      </c>
      <c r="B2450" s="16">
        <v>45758</v>
      </c>
      <c r="C2450" s="2" t="s">
        <v>436</v>
      </c>
      <c r="D2450" s="2" t="s">
        <v>38</v>
      </c>
      <c r="E2450" s="2">
        <v>220</v>
      </c>
      <c r="F2450" s="2" t="s">
        <v>102</v>
      </c>
      <c r="G2450" s="2" t="s">
        <v>440</v>
      </c>
      <c r="H2450" s="2" t="s">
        <v>35</v>
      </c>
    </row>
    <row r="2451" spans="1:8" ht="13" hidden="1">
      <c r="A2451" s="15">
        <v>45760.741885370371</v>
      </c>
      <c r="B2451" s="16">
        <v>45758</v>
      </c>
      <c r="C2451" s="2" t="s">
        <v>106</v>
      </c>
      <c r="D2451" s="2" t="s">
        <v>38</v>
      </c>
      <c r="E2451" s="2">
        <v>1000</v>
      </c>
      <c r="F2451" s="2" t="s">
        <v>102</v>
      </c>
      <c r="G2451" s="2" t="s">
        <v>1007</v>
      </c>
      <c r="H2451" s="2" t="s">
        <v>35</v>
      </c>
    </row>
    <row r="2452" spans="1:8" ht="13" hidden="1">
      <c r="A2452" s="15">
        <v>45760.754654085649</v>
      </c>
      <c r="B2452" s="16">
        <v>45758</v>
      </c>
      <c r="C2452" s="2" t="s">
        <v>18</v>
      </c>
      <c r="D2452" s="2" t="s">
        <v>41</v>
      </c>
      <c r="E2452" s="2">
        <v>5868</v>
      </c>
      <c r="F2452" s="2" t="s">
        <v>100</v>
      </c>
      <c r="H2452" s="2" t="s">
        <v>35</v>
      </c>
    </row>
    <row r="2453" spans="1:8" ht="13" hidden="1">
      <c r="A2453" s="15">
        <v>45699.793780462962</v>
      </c>
      <c r="B2453" s="16">
        <v>45685</v>
      </c>
      <c r="C2453" s="2" t="s">
        <v>1008</v>
      </c>
      <c r="D2453" s="2" t="s">
        <v>45</v>
      </c>
      <c r="E2453" s="2">
        <v>1900</v>
      </c>
      <c r="F2453" s="2" t="s">
        <v>100</v>
      </c>
      <c r="H2453" s="2" t="s">
        <v>35</v>
      </c>
    </row>
    <row r="2454" spans="1:8" ht="13" hidden="1">
      <c r="A2454" s="15">
        <v>45760.739234502311</v>
      </c>
      <c r="B2454" s="16">
        <v>45759</v>
      </c>
      <c r="C2454" s="2" t="s">
        <v>280</v>
      </c>
      <c r="D2454" s="2" t="s">
        <v>46</v>
      </c>
      <c r="E2454" s="2">
        <v>440</v>
      </c>
      <c r="F2454" s="2" t="s">
        <v>102</v>
      </c>
      <c r="G2454" s="2" t="s">
        <v>306</v>
      </c>
      <c r="H2454" s="2" t="s">
        <v>35</v>
      </c>
    </row>
    <row r="2455" spans="1:8" ht="13" hidden="1">
      <c r="A2455" s="15">
        <v>45760.739503032411</v>
      </c>
      <c r="B2455" s="16">
        <v>45759</v>
      </c>
      <c r="C2455" s="2" t="s">
        <v>871</v>
      </c>
      <c r="D2455" s="2" t="s">
        <v>46</v>
      </c>
      <c r="E2455" s="2">
        <v>1200</v>
      </c>
      <c r="F2455" s="2" t="s">
        <v>102</v>
      </c>
      <c r="H2455" s="2" t="s">
        <v>35</v>
      </c>
    </row>
    <row r="2456" spans="1:8" ht="13" hidden="1">
      <c r="A2456" s="15">
        <v>45766.709554930552</v>
      </c>
      <c r="B2456" s="16">
        <v>45759</v>
      </c>
      <c r="C2456" s="2" t="s">
        <v>116</v>
      </c>
      <c r="D2456" s="2" t="s">
        <v>38</v>
      </c>
      <c r="E2456" s="2">
        <v>556</v>
      </c>
      <c r="F2456" s="2" t="s">
        <v>100</v>
      </c>
      <c r="G2456" s="2" t="s">
        <v>652</v>
      </c>
      <c r="H2456" s="2" t="s">
        <v>35</v>
      </c>
    </row>
    <row r="2457" spans="1:8" ht="13" hidden="1">
      <c r="A2457" s="15">
        <v>45766.710152106483</v>
      </c>
      <c r="B2457" s="16">
        <v>45759</v>
      </c>
      <c r="C2457" s="2" t="s">
        <v>240</v>
      </c>
      <c r="D2457" s="2" t="s">
        <v>42</v>
      </c>
      <c r="E2457" s="2">
        <v>330</v>
      </c>
      <c r="F2457" s="2" t="s">
        <v>100</v>
      </c>
      <c r="H2457" s="2" t="s">
        <v>35</v>
      </c>
    </row>
    <row r="2458" spans="1:8" ht="13" hidden="1">
      <c r="A2458" s="15">
        <v>45766.710465324075</v>
      </c>
      <c r="B2458" s="16">
        <v>45759</v>
      </c>
      <c r="C2458" s="2" t="s">
        <v>1009</v>
      </c>
      <c r="D2458" s="2" t="s">
        <v>49</v>
      </c>
      <c r="E2458" s="2">
        <v>2180</v>
      </c>
      <c r="F2458" s="2" t="s">
        <v>100</v>
      </c>
      <c r="H2458" s="2" t="s">
        <v>35</v>
      </c>
    </row>
    <row r="2459" spans="1:8" ht="13" hidden="1">
      <c r="A2459" s="15">
        <v>45760.739750370369</v>
      </c>
      <c r="B2459" s="16">
        <v>45760</v>
      </c>
      <c r="C2459" s="2" t="s">
        <v>1010</v>
      </c>
      <c r="D2459" s="2" t="s">
        <v>38</v>
      </c>
      <c r="E2459" s="2">
        <v>1000</v>
      </c>
      <c r="F2459" s="2" t="s">
        <v>102</v>
      </c>
      <c r="H2459" s="2" t="s">
        <v>35</v>
      </c>
    </row>
    <row r="2460" spans="1:8" ht="13" hidden="1">
      <c r="A2460" s="15">
        <v>45766.710805717594</v>
      </c>
      <c r="B2460" s="16">
        <v>45760</v>
      </c>
      <c r="C2460" s="2" t="s">
        <v>116</v>
      </c>
      <c r="D2460" s="2" t="s">
        <v>38</v>
      </c>
      <c r="E2460" s="2">
        <v>5790</v>
      </c>
      <c r="F2460" s="2" t="s">
        <v>102</v>
      </c>
      <c r="G2460" s="2" t="s">
        <v>116</v>
      </c>
      <c r="H2460" s="2" t="s">
        <v>35</v>
      </c>
    </row>
    <row r="2461" spans="1:8" ht="13" hidden="1">
      <c r="A2461" s="15">
        <v>45766.702404270836</v>
      </c>
      <c r="B2461" s="16">
        <v>45761</v>
      </c>
      <c r="C2461" s="2" t="s">
        <v>106</v>
      </c>
      <c r="D2461" s="2" t="s">
        <v>38</v>
      </c>
      <c r="E2461" s="2">
        <v>540</v>
      </c>
      <c r="F2461" s="2" t="s">
        <v>102</v>
      </c>
      <c r="G2461" s="2" t="s">
        <v>1011</v>
      </c>
      <c r="H2461" s="2" t="s">
        <v>35</v>
      </c>
    </row>
    <row r="2462" spans="1:8" ht="13" hidden="1">
      <c r="A2462" s="15">
        <v>45766.702787511575</v>
      </c>
      <c r="B2462" s="16">
        <v>45761</v>
      </c>
      <c r="C2462" s="2" t="s">
        <v>106</v>
      </c>
      <c r="D2462" s="2" t="s">
        <v>38</v>
      </c>
      <c r="E2462" s="2">
        <v>398</v>
      </c>
      <c r="F2462" s="2" t="s">
        <v>102</v>
      </c>
      <c r="G2462" s="2" t="s">
        <v>356</v>
      </c>
      <c r="H2462" s="2" t="s">
        <v>35</v>
      </c>
    </row>
    <row r="2463" spans="1:8" ht="13" hidden="1">
      <c r="A2463" s="15">
        <v>45766.711095034727</v>
      </c>
      <c r="B2463" s="16">
        <v>45761</v>
      </c>
      <c r="C2463" s="2" t="s">
        <v>350</v>
      </c>
      <c r="D2463" s="2" t="s">
        <v>40</v>
      </c>
      <c r="E2463" s="2">
        <v>2000</v>
      </c>
      <c r="F2463" s="2" t="s">
        <v>100</v>
      </c>
      <c r="H2463" s="2" t="s">
        <v>35</v>
      </c>
    </row>
    <row r="2464" spans="1:8" ht="13" hidden="1">
      <c r="A2464" s="15">
        <v>45766.711392870369</v>
      </c>
      <c r="B2464" s="16">
        <v>45761</v>
      </c>
      <c r="C2464" s="2" t="s">
        <v>742</v>
      </c>
      <c r="D2464" s="2" t="s">
        <v>48</v>
      </c>
      <c r="E2464" s="2">
        <v>3252</v>
      </c>
      <c r="F2464" s="2" t="s">
        <v>100</v>
      </c>
      <c r="H2464" s="2" t="s">
        <v>35</v>
      </c>
    </row>
    <row r="2465" spans="1:8" ht="13" hidden="1">
      <c r="A2465" s="15">
        <v>45766.711832025467</v>
      </c>
      <c r="B2465" s="16">
        <v>45761</v>
      </c>
      <c r="C2465" s="2" t="s">
        <v>1012</v>
      </c>
      <c r="D2465" s="2" t="s">
        <v>46</v>
      </c>
      <c r="E2465" s="2">
        <v>1650</v>
      </c>
      <c r="F2465" s="2" t="s">
        <v>100</v>
      </c>
      <c r="H2465" s="2" t="s">
        <v>35</v>
      </c>
    </row>
    <row r="2466" spans="1:8" ht="13" hidden="1">
      <c r="A2466" s="15">
        <v>45766.704909120366</v>
      </c>
      <c r="B2466" s="16">
        <v>45762</v>
      </c>
      <c r="C2466" s="2" t="s">
        <v>690</v>
      </c>
      <c r="D2466" s="2" t="s">
        <v>38</v>
      </c>
      <c r="E2466" s="2">
        <v>1530</v>
      </c>
      <c r="F2466" s="2" t="s">
        <v>102</v>
      </c>
      <c r="H2466" s="2" t="s">
        <v>35</v>
      </c>
    </row>
    <row r="2467" spans="1:8" ht="13" hidden="1">
      <c r="A2467" s="15">
        <v>45766.703101620369</v>
      </c>
      <c r="B2467" s="16">
        <v>45763</v>
      </c>
      <c r="C2467" s="2" t="s">
        <v>106</v>
      </c>
      <c r="D2467" s="2" t="s">
        <v>38</v>
      </c>
      <c r="E2467" s="2">
        <v>581</v>
      </c>
      <c r="F2467" s="2" t="s">
        <v>102</v>
      </c>
      <c r="G2467" s="2" t="s">
        <v>356</v>
      </c>
      <c r="H2467" s="2" t="s">
        <v>35</v>
      </c>
    </row>
    <row r="2468" spans="1:8" ht="13" hidden="1">
      <c r="A2468" s="15">
        <v>45766.705223668978</v>
      </c>
      <c r="B2468" s="16">
        <v>45763</v>
      </c>
      <c r="C2468" s="2" t="s">
        <v>199</v>
      </c>
      <c r="D2468" s="2" t="s">
        <v>38</v>
      </c>
      <c r="E2468" s="2">
        <v>890</v>
      </c>
      <c r="F2468" s="2" t="s">
        <v>102</v>
      </c>
      <c r="H2468" s="2" t="s">
        <v>35</v>
      </c>
    </row>
    <row r="2469" spans="1:8" ht="13" hidden="1">
      <c r="A2469" s="15">
        <v>45766.712083113423</v>
      </c>
      <c r="B2469" s="16">
        <v>45763</v>
      </c>
      <c r="C2469" s="2" t="s">
        <v>20</v>
      </c>
      <c r="D2469" s="2" t="s">
        <v>39</v>
      </c>
      <c r="E2469" s="2">
        <v>1590</v>
      </c>
      <c r="F2469" s="2" t="s">
        <v>100</v>
      </c>
      <c r="H2469" s="2" t="s">
        <v>35</v>
      </c>
    </row>
    <row r="2470" spans="1:8" ht="13" hidden="1">
      <c r="A2470" s="15">
        <v>45774.716683900464</v>
      </c>
      <c r="B2470" s="16">
        <v>45763</v>
      </c>
      <c r="C2470" s="2" t="s">
        <v>240</v>
      </c>
      <c r="D2470" s="2" t="s">
        <v>42</v>
      </c>
      <c r="E2470" s="2">
        <v>990</v>
      </c>
      <c r="F2470" s="2" t="s">
        <v>100</v>
      </c>
      <c r="H2470" s="2" t="s">
        <v>35</v>
      </c>
    </row>
    <row r="2471" spans="1:8" ht="13" hidden="1">
      <c r="A2471" s="15">
        <v>45766.705487083338</v>
      </c>
      <c r="B2471" s="16">
        <v>45764</v>
      </c>
      <c r="C2471" s="2" t="s">
        <v>601</v>
      </c>
      <c r="D2471" s="2" t="s">
        <v>38</v>
      </c>
      <c r="E2471" s="2">
        <v>192</v>
      </c>
      <c r="F2471" s="2" t="s">
        <v>102</v>
      </c>
      <c r="G2471" s="2" t="s">
        <v>145</v>
      </c>
      <c r="H2471" s="2" t="s">
        <v>35</v>
      </c>
    </row>
    <row r="2472" spans="1:8" ht="13" hidden="1">
      <c r="A2472" s="15">
        <v>45766.705739189812</v>
      </c>
      <c r="B2472" s="16">
        <v>45764</v>
      </c>
      <c r="C2472" s="2" t="s">
        <v>1013</v>
      </c>
      <c r="D2472" s="2" t="s">
        <v>44</v>
      </c>
      <c r="E2472" s="2">
        <v>5800</v>
      </c>
      <c r="F2472" s="2" t="s">
        <v>102</v>
      </c>
      <c r="H2472" s="2" t="s">
        <v>35</v>
      </c>
    </row>
    <row r="2473" spans="1:8" ht="13" hidden="1">
      <c r="A2473" s="15">
        <v>45697.63070469907</v>
      </c>
      <c r="B2473" s="16">
        <v>45691</v>
      </c>
      <c r="C2473" s="2" t="s">
        <v>682</v>
      </c>
      <c r="D2473" s="2" t="s">
        <v>45</v>
      </c>
      <c r="E2473" s="2">
        <v>1788</v>
      </c>
      <c r="F2473" s="2" t="s">
        <v>102</v>
      </c>
      <c r="G2473" s="2" t="s">
        <v>285</v>
      </c>
      <c r="H2473" s="2" t="s">
        <v>35</v>
      </c>
    </row>
    <row r="2474" spans="1:8" ht="13" hidden="1">
      <c r="A2474" s="15">
        <v>45766.706372083332</v>
      </c>
      <c r="B2474" s="16">
        <v>45764</v>
      </c>
      <c r="C2474" s="2" t="s">
        <v>233</v>
      </c>
      <c r="D2474" s="2" t="s">
        <v>39</v>
      </c>
      <c r="E2474" s="2">
        <v>3768</v>
      </c>
      <c r="F2474" s="2" t="s">
        <v>102</v>
      </c>
      <c r="H2474" s="2" t="s">
        <v>35</v>
      </c>
    </row>
    <row r="2475" spans="1:8" ht="13" hidden="1">
      <c r="A2475" s="15">
        <v>45766.708399618059</v>
      </c>
      <c r="B2475" s="16">
        <v>45764</v>
      </c>
      <c r="C2475" s="2" t="s">
        <v>154</v>
      </c>
      <c r="D2475" s="2" t="s">
        <v>38</v>
      </c>
      <c r="E2475" s="2">
        <v>500</v>
      </c>
      <c r="F2475" s="2" t="s">
        <v>102</v>
      </c>
      <c r="H2475" s="2" t="s">
        <v>35</v>
      </c>
    </row>
    <row r="2476" spans="1:8" ht="13" hidden="1">
      <c r="A2476" s="15">
        <v>45766.70661173611</v>
      </c>
      <c r="B2476" s="16">
        <v>45765</v>
      </c>
      <c r="C2476" s="2" t="s">
        <v>114</v>
      </c>
      <c r="D2476" s="2" t="s">
        <v>38</v>
      </c>
      <c r="E2476" s="2">
        <v>149</v>
      </c>
      <c r="F2476" s="2" t="s">
        <v>102</v>
      </c>
      <c r="G2476" s="2" t="s">
        <v>103</v>
      </c>
      <c r="H2476" s="2" t="s">
        <v>35</v>
      </c>
    </row>
    <row r="2477" spans="1:8" ht="13" hidden="1">
      <c r="A2477" s="15">
        <v>45766.706890185189</v>
      </c>
      <c r="B2477" s="16">
        <v>45765</v>
      </c>
      <c r="C2477" s="2" t="s">
        <v>112</v>
      </c>
      <c r="D2477" s="2" t="s">
        <v>38</v>
      </c>
      <c r="E2477" s="2">
        <v>120</v>
      </c>
      <c r="F2477" s="2" t="s">
        <v>102</v>
      </c>
      <c r="G2477" s="2" t="s">
        <v>103</v>
      </c>
      <c r="H2477" s="2" t="s">
        <v>35</v>
      </c>
    </row>
    <row r="2478" spans="1:8" ht="13" hidden="1">
      <c r="A2478" s="15">
        <v>45766.707209803237</v>
      </c>
      <c r="B2478" s="16">
        <v>45765</v>
      </c>
      <c r="C2478" s="2" t="s">
        <v>333</v>
      </c>
      <c r="D2478" s="2" t="s">
        <v>38</v>
      </c>
      <c r="E2478" s="2">
        <v>1264</v>
      </c>
      <c r="F2478" s="2" t="s">
        <v>102</v>
      </c>
      <c r="G2478" s="2" t="s">
        <v>103</v>
      </c>
      <c r="H2478" s="2" t="s">
        <v>35</v>
      </c>
    </row>
    <row r="2479" spans="1:8" ht="13" hidden="1">
      <c r="A2479" s="15">
        <v>45766.707466782405</v>
      </c>
      <c r="B2479" s="16">
        <v>45765</v>
      </c>
      <c r="C2479" s="2" t="s">
        <v>1014</v>
      </c>
      <c r="D2479" s="2" t="s">
        <v>38</v>
      </c>
      <c r="E2479" s="2">
        <v>600</v>
      </c>
      <c r="F2479" s="2" t="s">
        <v>102</v>
      </c>
      <c r="H2479" s="2" t="s">
        <v>35</v>
      </c>
    </row>
    <row r="2480" spans="1:8" ht="13" hidden="1">
      <c r="A2480" s="15">
        <v>45774.717073159722</v>
      </c>
      <c r="B2480" s="16">
        <v>45765</v>
      </c>
      <c r="C2480" s="2" t="s">
        <v>308</v>
      </c>
      <c r="D2480" s="2" t="s">
        <v>40</v>
      </c>
      <c r="E2480" s="2">
        <v>13690</v>
      </c>
      <c r="F2480" s="2" t="s">
        <v>100</v>
      </c>
      <c r="H2480" s="2" t="s">
        <v>35</v>
      </c>
    </row>
    <row r="2481" spans="1:8" ht="13" hidden="1">
      <c r="A2481" s="15">
        <v>45774.717546932865</v>
      </c>
      <c r="B2481" s="16">
        <v>45765</v>
      </c>
      <c r="C2481" s="2" t="s">
        <v>350</v>
      </c>
      <c r="D2481" s="2" t="s">
        <v>40</v>
      </c>
      <c r="E2481" s="2">
        <v>2000</v>
      </c>
      <c r="F2481" s="2" t="s">
        <v>100</v>
      </c>
      <c r="H2481" s="2" t="s">
        <v>35</v>
      </c>
    </row>
    <row r="2482" spans="1:8" ht="13" hidden="1">
      <c r="A2482" s="15">
        <v>45676.432590567128</v>
      </c>
      <c r="B2482" s="16">
        <v>45670</v>
      </c>
      <c r="C2482" s="2" t="s">
        <v>1015</v>
      </c>
      <c r="D2482" s="2" t="s">
        <v>45</v>
      </c>
      <c r="E2482" s="2">
        <v>1782</v>
      </c>
      <c r="F2482" s="2" t="s">
        <v>100</v>
      </c>
      <c r="G2482" s="2" t="s">
        <v>129</v>
      </c>
      <c r="H2482" s="2" t="s">
        <v>35</v>
      </c>
    </row>
    <row r="2483" spans="1:8" ht="13" hidden="1">
      <c r="A2483" s="15">
        <v>45766.708671168977</v>
      </c>
      <c r="B2483" s="16">
        <v>45766</v>
      </c>
      <c r="C2483" s="2" t="s">
        <v>154</v>
      </c>
      <c r="D2483" s="2" t="s">
        <v>38</v>
      </c>
      <c r="E2483" s="2">
        <v>500</v>
      </c>
      <c r="F2483" s="2" t="s">
        <v>102</v>
      </c>
      <c r="H2483" s="2" t="s">
        <v>35</v>
      </c>
    </row>
    <row r="2484" spans="1:8" ht="13" hidden="1">
      <c r="A2484" s="15">
        <v>45774.717863182872</v>
      </c>
      <c r="B2484" s="16">
        <v>45766</v>
      </c>
      <c r="C2484" s="2" t="s">
        <v>116</v>
      </c>
      <c r="D2484" s="2" t="s">
        <v>38</v>
      </c>
      <c r="E2484" s="2">
        <v>1597</v>
      </c>
      <c r="F2484" s="2" t="s">
        <v>100</v>
      </c>
      <c r="G2484" s="2" t="s">
        <v>652</v>
      </c>
      <c r="H2484" s="2" t="s">
        <v>35</v>
      </c>
    </row>
    <row r="2485" spans="1:8" ht="13" hidden="1">
      <c r="A2485" s="15">
        <v>45774.710725208337</v>
      </c>
      <c r="B2485" s="16">
        <v>45767</v>
      </c>
      <c r="C2485" s="2" t="s">
        <v>774</v>
      </c>
      <c r="D2485" s="2" t="s">
        <v>39</v>
      </c>
      <c r="E2485" s="2">
        <v>2545</v>
      </c>
      <c r="F2485" s="2" t="s">
        <v>102</v>
      </c>
      <c r="H2485" s="2" t="s">
        <v>35</v>
      </c>
    </row>
    <row r="2486" spans="1:8" ht="13" hidden="1">
      <c r="A2486" s="15">
        <v>45774.711001331016</v>
      </c>
      <c r="B2486" s="16">
        <v>45767</v>
      </c>
      <c r="C2486" s="2" t="s">
        <v>112</v>
      </c>
      <c r="D2486" s="2" t="s">
        <v>38</v>
      </c>
      <c r="E2486" s="2">
        <v>600</v>
      </c>
      <c r="F2486" s="2" t="s">
        <v>102</v>
      </c>
      <c r="G2486" s="2" t="s">
        <v>186</v>
      </c>
      <c r="H2486" s="2" t="s">
        <v>35</v>
      </c>
    </row>
    <row r="2487" spans="1:8" ht="13" hidden="1">
      <c r="A2487" s="15">
        <v>45676.427222048616</v>
      </c>
      <c r="B2487" s="16">
        <v>45675</v>
      </c>
      <c r="C2487" s="2" t="s">
        <v>715</v>
      </c>
      <c r="D2487" s="2" t="s">
        <v>45</v>
      </c>
      <c r="E2487" s="2">
        <v>1701</v>
      </c>
      <c r="F2487" s="2" t="s">
        <v>102</v>
      </c>
      <c r="G2487" s="2" t="s">
        <v>285</v>
      </c>
      <c r="H2487" s="2" t="s">
        <v>35</v>
      </c>
    </row>
    <row r="2488" spans="1:8" ht="13" hidden="1">
      <c r="A2488" s="15">
        <v>45774.719280856487</v>
      </c>
      <c r="B2488" s="16">
        <v>45767</v>
      </c>
      <c r="C2488" s="2" t="s">
        <v>116</v>
      </c>
      <c r="D2488" s="2" t="s">
        <v>38</v>
      </c>
      <c r="E2488" s="2">
        <v>980</v>
      </c>
      <c r="F2488" s="2" t="s">
        <v>100</v>
      </c>
      <c r="G2488" s="2" t="s">
        <v>652</v>
      </c>
      <c r="H2488" s="2" t="s">
        <v>35</v>
      </c>
    </row>
    <row r="2489" spans="1:8" ht="13" hidden="1">
      <c r="A2489" s="15">
        <v>45774.719532291667</v>
      </c>
      <c r="B2489" s="16">
        <v>45767</v>
      </c>
      <c r="C2489" s="2" t="s">
        <v>1016</v>
      </c>
      <c r="D2489" s="2" t="s">
        <v>40</v>
      </c>
      <c r="E2489" s="2">
        <v>4260</v>
      </c>
      <c r="F2489" s="2" t="s">
        <v>100</v>
      </c>
      <c r="H2489" s="2" t="s">
        <v>35</v>
      </c>
    </row>
    <row r="2490" spans="1:8" ht="13" hidden="1">
      <c r="A2490" s="15">
        <v>45774.719805520828</v>
      </c>
      <c r="B2490" s="16">
        <v>45767</v>
      </c>
      <c r="C2490" s="2" t="s">
        <v>240</v>
      </c>
      <c r="D2490" s="2" t="s">
        <v>42</v>
      </c>
      <c r="E2490" s="2">
        <v>330</v>
      </c>
      <c r="F2490" s="2" t="s">
        <v>100</v>
      </c>
      <c r="H2490" s="2" t="s">
        <v>35</v>
      </c>
    </row>
    <row r="2491" spans="1:8" ht="13" hidden="1">
      <c r="A2491" s="15">
        <v>45774.720068379625</v>
      </c>
      <c r="B2491" s="16">
        <v>45767</v>
      </c>
      <c r="C2491" s="2" t="s">
        <v>240</v>
      </c>
      <c r="D2491" s="2" t="s">
        <v>42</v>
      </c>
      <c r="E2491" s="2">
        <v>990</v>
      </c>
      <c r="F2491" s="2" t="s">
        <v>100</v>
      </c>
      <c r="H2491" s="2" t="s">
        <v>35</v>
      </c>
    </row>
    <row r="2492" spans="1:8" ht="13" hidden="1">
      <c r="A2492" s="15">
        <v>45774.72037920139</v>
      </c>
      <c r="B2492" s="16">
        <v>45767</v>
      </c>
      <c r="C2492" s="2" t="s">
        <v>24</v>
      </c>
      <c r="D2492" s="2" t="s">
        <v>49</v>
      </c>
      <c r="E2492" s="2">
        <v>1100</v>
      </c>
      <c r="F2492" s="2" t="s">
        <v>100</v>
      </c>
      <c r="H2492" s="2" t="s">
        <v>35</v>
      </c>
    </row>
    <row r="2493" spans="1:8" ht="13" hidden="1">
      <c r="A2493" s="15">
        <v>45774.711650972225</v>
      </c>
      <c r="B2493" s="16">
        <v>45769</v>
      </c>
      <c r="C2493" s="2" t="s">
        <v>114</v>
      </c>
      <c r="D2493" s="2" t="s">
        <v>38</v>
      </c>
      <c r="E2493" s="2">
        <v>158</v>
      </c>
      <c r="F2493" s="2" t="s">
        <v>102</v>
      </c>
      <c r="G2493" s="2" t="s">
        <v>356</v>
      </c>
      <c r="H2493" s="2" t="s">
        <v>35</v>
      </c>
    </row>
    <row r="2494" spans="1:8" ht="13" hidden="1">
      <c r="A2494" s="15">
        <v>45774.714748182872</v>
      </c>
      <c r="B2494" s="16">
        <v>45769</v>
      </c>
      <c r="C2494" s="2" t="s">
        <v>106</v>
      </c>
      <c r="D2494" s="2" t="s">
        <v>38</v>
      </c>
      <c r="E2494" s="2">
        <v>950</v>
      </c>
      <c r="F2494" s="2" t="s">
        <v>102</v>
      </c>
      <c r="H2494" s="2" t="s">
        <v>35</v>
      </c>
    </row>
    <row r="2495" spans="1:8" ht="13" hidden="1">
      <c r="A2495" s="15">
        <v>45774.720624062495</v>
      </c>
      <c r="B2495" s="16">
        <v>45769</v>
      </c>
      <c r="C2495" s="2" t="s">
        <v>1016</v>
      </c>
      <c r="D2495" s="2" t="s">
        <v>40</v>
      </c>
      <c r="E2495" s="2">
        <v>4260</v>
      </c>
      <c r="F2495" s="2" t="s">
        <v>100</v>
      </c>
      <c r="H2495" s="2" t="s">
        <v>35</v>
      </c>
    </row>
    <row r="2496" spans="1:8" ht="13" hidden="1">
      <c r="A2496" s="15">
        <v>45774.720931238422</v>
      </c>
      <c r="B2496" s="16">
        <v>45769</v>
      </c>
      <c r="C2496" s="2" t="s">
        <v>350</v>
      </c>
      <c r="D2496" s="2" t="s">
        <v>40</v>
      </c>
      <c r="E2496" s="2">
        <v>4000</v>
      </c>
      <c r="F2496" s="2" t="s">
        <v>100</v>
      </c>
      <c r="H2496" s="2" t="s">
        <v>35</v>
      </c>
    </row>
    <row r="2497" spans="1:8" ht="13" hidden="1">
      <c r="A2497" s="15">
        <v>45774.711909687496</v>
      </c>
      <c r="B2497" s="16">
        <v>45770</v>
      </c>
      <c r="C2497" s="2" t="s">
        <v>1017</v>
      </c>
      <c r="E2497" s="2">
        <v>4300</v>
      </c>
      <c r="H2497" s="2" t="s">
        <v>34</v>
      </c>
    </row>
    <row r="2498" spans="1:8" ht="13" hidden="1">
      <c r="A2498" s="15">
        <v>45783.782332152783</v>
      </c>
      <c r="B2498" s="16">
        <v>45770</v>
      </c>
      <c r="C2498" s="2" t="s">
        <v>350</v>
      </c>
      <c r="D2498" s="2" t="s">
        <v>40</v>
      </c>
      <c r="E2498" s="2">
        <v>2000</v>
      </c>
      <c r="F2498" s="2" t="s">
        <v>100</v>
      </c>
      <c r="H2498" s="2" t="s">
        <v>35</v>
      </c>
    </row>
    <row r="2499" spans="1:8" ht="13" hidden="1">
      <c r="A2499" s="15">
        <v>45774.712156284717</v>
      </c>
      <c r="B2499" s="16">
        <v>45771</v>
      </c>
      <c r="C2499" s="2" t="s">
        <v>1018</v>
      </c>
      <c r="E2499" s="2">
        <v>2900</v>
      </c>
      <c r="H2499" s="2" t="s">
        <v>34</v>
      </c>
    </row>
    <row r="2500" spans="1:8" ht="13" hidden="1">
      <c r="A2500" s="15">
        <v>45774.712431956017</v>
      </c>
      <c r="B2500" s="16">
        <v>45771</v>
      </c>
      <c r="C2500" s="2" t="s">
        <v>987</v>
      </c>
      <c r="D2500" s="2" t="s">
        <v>38</v>
      </c>
      <c r="E2500" s="2">
        <v>388</v>
      </c>
      <c r="F2500" s="2" t="s">
        <v>102</v>
      </c>
      <c r="G2500" s="2" t="s">
        <v>356</v>
      </c>
      <c r="H2500" s="2" t="s">
        <v>35</v>
      </c>
    </row>
    <row r="2501" spans="1:8" ht="13" hidden="1">
      <c r="A2501" s="15">
        <v>45774.715194143515</v>
      </c>
      <c r="B2501" s="16">
        <v>45771</v>
      </c>
      <c r="C2501" s="2" t="s">
        <v>357</v>
      </c>
      <c r="D2501" s="2" t="s">
        <v>38</v>
      </c>
      <c r="E2501" s="2">
        <v>750</v>
      </c>
      <c r="F2501" s="2" t="s">
        <v>102</v>
      </c>
      <c r="H2501" s="2" t="s">
        <v>35</v>
      </c>
    </row>
    <row r="2502" spans="1:8" ht="13" hidden="1">
      <c r="A2502" s="15">
        <v>45774.715497685189</v>
      </c>
      <c r="B2502" s="16">
        <v>45772</v>
      </c>
      <c r="C2502" s="2" t="s">
        <v>106</v>
      </c>
      <c r="D2502" s="2" t="s">
        <v>38</v>
      </c>
      <c r="E2502" s="2">
        <v>1100</v>
      </c>
      <c r="F2502" s="2" t="s">
        <v>102</v>
      </c>
      <c r="H2502" s="2" t="s">
        <v>35</v>
      </c>
    </row>
    <row r="2503" spans="1:8" ht="13" hidden="1">
      <c r="A2503" s="15">
        <v>45774.721657199072</v>
      </c>
      <c r="B2503" s="16">
        <v>45772</v>
      </c>
      <c r="C2503" s="2" t="s">
        <v>1019</v>
      </c>
      <c r="E2503" s="2">
        <v>385505</v>
      </c>
      <c r="H2503" s="2" t="s">
        <v>34</v>
      </c>
    </row>
    <row r="2504" spans="1:8" ht="13" hidden="1">
      <c r="A2504" s="15">
        <v>45783.782656446754</v>
      </c>
      <c r="B2504" s="16">
        <v>45772</v>
      </c>
      <c r="C2504" s="2" t="s">
        <v>240</v>
      </c>
      <c r="D2504" s="2" t="s">
        <v>42</v>
      </c>
      <c r="E2504" s="2">
        <v>990</v>
      </c>
      <c r="F2504" s="2" t="s">
        <v>100</v>
      </c>
      <c r="H2504" s="2" t="s">
        <v>35</v>
      </c>
    </row>
    <row r="2505" spans="1:8" ht="13" hidden="1">
      <c r="A2505" s="15">
        <v>45783.783029351849</v>
      </c>
      <c r="B2505" s="16">
        <v>45772</v>
      </c>
      <c r="C2505" s="2" t="s">
        <v>1020</v>
      </c>
      <c r="D2505" s="2" t="s">
        <v>39</v>
      </c>
      <c r="E2505" s="2">
        <v>11550</v>
      </c>
      <c r="F2505" s="2" t="s">
        <v>100</v>
      </c>
      <c r="H2505" s="2" t="s">
        <v>35</v>
      </c>
    </row>
    <row r="2506" spans="1:8" ht="13" hidden="1">
      <c r="A2506" s="15">
        <v>45774.712697222218</v>
      </c>
      <c r="B2506" s="16">
        <v>45773</v>
      </c>
      <c r="C2506" s="2" t="s">
        <v>1021</v>
      </c>
      <c r="D2506" s="2" t="s">
        <v>39</v>
      </c>
      <c r="E2506" s="2">
        <v>1650</v>
      </c>
      <c r="F2506" s="2" t="s">
        <v>102</v>
      </c>
      <c r="H2506" s="2" t="s">
        <v>35</v>
      </c>
    </row>
    <row r="2507" spans="1:8" ht="13" hidden="1">
      <c r="A2507" s="15">
        <v>45774.712948784727</v>
      </c>
      <c r="B2507" s="16">
        <v>45773</v>
      </c>
      <c r="C2507" s="2" t="s">
        <v>1021</v>
      </c>
      <c r="D2507" s="2" t="s">
        <v>39</v>
      </c>
      <c r="E2507" s="2">
        <v>500</v>
      </c>
      <c r="F2507" s="2" t="s">
        <v>102</v>
      </c>
      <c r="H2507" s="2" t="s">
        <v>35</v>
      </c>
    </row>
    <row r="2508" spans="1:8" ht="13" hidden="1">
      <c r="A2508" s="15">
        <v>45774.713226956017</v>
      </c>
      <c r="B2508" s="16">
        <v>45773</v>
      </c>
      <c r="C2508" s="2" t="s">
        <v>1021</v>
      </c>
      <c r="D2508" s="2" t="s">
        <v>39</v>
      </c>
      <c r="E2508" s="2">
        <v>1778</v>
      </c>
      <c r="F2508" s="2" t="s">
        <v>102</v>
      </c>
      <c r="H2508" s="2" t="s">
        <v>35</v>
      </c>
    </row>
    <row r="2509" spans="1:8" ht="13" hidden="1">
      <c r="A2509" s="15">
        <v>45774.715787233799</v>
      </c>
      <c r="B2509" s="16">
        <v>45773</v>
      </c>
      <c r="C2509" s="2" t="s">
        <v>1022</v>
      </c>
      <c r="D2509" s="2" t="s">
        <v>38</v>
      </c>
      <c r="E2509" s="2">
        <v>1150</v>
      </c>
      <c r="F2509" s="2" t="s">
        <v>102</v>
      </c>
      <c r="H2509" s="2" t="s">
        <v>35</v>
      </c>
    </row>
    <row r="2510" spans="1:8" ht="13" hidden="1">
      <c r="A2510" s="15">
        <v>45766.712783009258</v>
      </c>
      <c r="B2510" s="16">
        <v>45774</v>
      </c>
      <c r="C2510" s="2" t="s">
        <v>11</v>
      </c>
      <c r="D2510" s="2" t="s">
        <v>47</v>
      </c>
      <c r="E2510" s="2">
        <v>30000</v>
      </c>
      <c r="F2510" s="2" t="s">
        <v>102</v>
      </c>
      <c r="H2510" s="2" t="s">
        <v>35</v>
      </c>
    </row>
    <row r="2511" spans="1:8" ht="13" hidden="1">
      <c r="A2511" s="15">
        <v>45838.546657175924</v>
      </c>
      <c r="B2511" s="16">
        <v>45837</v>
      </c>
      <c r="C2511" s="2" t="s">
        <v>682</v>
      </c>
      <c r="D2511" s="2" t="s">
        <v>45</v>
      </c>
      <c r="E2511" s="2">
        <v>1677</v>
      </c>
      <c r="F2511" s="2" t="s">
        <v>102</v>
      </c>
      <c r="G2511" s="2" t="s">
        <v>285</v>
      </c>
      <c r="H2511" s="2" t="s">
        <v>35</v>
      </c>
    </row>
    <row r="2512" spans="1:8" ht="13" hidden="1">
      <c r="A2512" s="15">
        <v>45774.713877939816</v>
      </c>
      <c r="B2512" s="16">
        <v>45774</v>
      </c>
      <c r="C2512" s="2" t="s">
        <v>1023</v>
      </c>
      <c r="D2512" s="2" t="s">
        <v>38</v>
      </c>
      <c r="E2512" s="2">
        <v>890</v>
      </c>
      <c r="F2512" s="2" t="s">
        <v>102</v>
      </c>
      <c r="G2512" s="2" t="s">
        <v>199</v>
      </c>
      <c r="H2512" s="2" t="s">
        <v>35</v>
      </c>
    </row>
    <row r="2513" spans="1:8" ht="13" hidden="1">
      <c r="A2513" s="15">
        <v>45783.783350034719</v>
      </c>
      <c r="B2513" s="16">
        <v>45774</v>
      </c>
      <c r="C2513" s="2" t="s">
        <v>1024</v>
      </c>
      <c r="D2513" s="2" t="s">
        <v>39</v>
      </c>
      <c r="E2513" s="2">
        <v>1180</v>
      </c>
      <c r="F2513" s="2" t="s">
        <v>100</v>
      </c>
      <c r="H2513" s="2" t="s">
        <v>35</v>
      </c>
    </row>
    <row r="2514" spans="1:8" ht="13" hidden="1">
      <c r="A2514" s="15">
        <v>45783.784476666668</v>
      </c>
      <c r="B2514" s="16">
        <v>45774</v>
      </c>
      <c r="C2514" s="2" t="s">
        <v>1025</v>
      </c>
      <c r="D2514" s="2" t="s">
        <v>48</v>
      </c>
      <c r="E2514" s="2">
        <v>1078</v>
      </c>
      <c r="F2514" s="2" t="s">
        <v>100</v>
      </c>
      <c r="H2514" s="2" t="s">
        <v>35</v>
      </c>
    </row>
    <row r="2515" spans="1:8" ht="13" hidden="1">
      <c r="A2515" s="15">
        <v>45783.784737453709</v>
      </c>
      <c r="B2515" s="16">
        <v>45774</v>
      </c>
      <c r="C2515" s="2" t="s">
        <v>116</v>
      </c>
      <c r="D2515" s="2" t="s">
        <v>38</v>
      </c>
      <c r="E2515" s="2">
        <v>1227</v>
      </c>
      <c r="F2515" s="2" t="s">
        <v>100</v>
      </c>
      <c r="G2515" s="2" t="s">
        <v>652</v>
      </c>
      <c r="H2515" s="2" t="s">
        <v>35</v>
      </c>
    </row>
    <row r="2516" spans="1:8" ht="13" hidden="1">
      <c r="A2516" s="15">
        <v>45766.71305791667</v>
      </c>
      <c r="B2516" s="16">
        <v>45775</v>
      </c>
      <c r="C2516" s="2" t="s">
        <v>9</v>
      </c>
      <c r="D2516" s="2" t="s">
        <v>47</v>
      </c>
      <c r="E2516" s="2">
        <v>13600</v>
      </c>
      <c r="F2516" s="2" t="s">
        <v>102</v>
      </c>
      <c r="H2516" s="2" t="s">
        <v>35</v>
      </c>
    </row>
    <row r="2517" spans="1:8" ht="13" hidden="1">
      <c r="A2517" s="15">
        <v>45766.713347187499</v>
      </c>
      <c r="B2517" s="16">
        <v>45775</v>
      </c>
      <c r="C2517" s="2" t="s">
        <v>146</v>
      </c>
      <c r="D2517" s="2" t="s">
        <v>47</v>
      </c>
      <c r="E2517" s="2">
        <v>3400</v>
      </c>
      <c r="F2517" s="2" t="s">
        <v>102</v>
      </c>
      <c r="H2517" s="2" t="s">
        <v>35</v>
      </c>
    </row>
    <row r="2518" spans="1:8" ht="13" hidden="1">
      <c r="A2518" s="15">
        <v>45891.899730532408</v>
      </c>
      <c r="B2518" s="16">
        <v>45890</v>
      </c>
      <c r="C2518" s="2" t="s">
        <v>106</v>
      </c>
      <c r="D2518" s="2" t="s">
        <v>38</v>
      </c>
      <c r="E2518" s="2">
        <v>1550</v>
      </c>
      <c r="F2518" s="2" t="s">
        <v>102</v>
      </c>
      <c r="G2518" s="2" t="s">
        <v>931</v>
      </c>
      <c r="H2518" s="2" t="s">
        <v>35</v>
      </c>
    </row>
    <row r="2519" spans="1:8" ht="13" hidden="1">
      <c r="A2519" s="15">
        <v>45766.713978414351</v>
      </c>
      <c r="B2519" s="16">
        <v>45775</v>
      </c>
      <c r="C2519" s="2" t="s">
        <v>408</v>
      </c>
      <c r="D2519" s="2" t="s">
        <v>152</v>
      </c>
      <c r="E2519" s="2">
        <v>10000</v>
      </c>
      <c r="F2519" s="2" t="s">
        <v>102</v>
      </c>
      <c r="H2519" s="2" t="s">
        <v>35</v>
      </c>
    </row>
    <row r="2520" spans="1:8" ht="13" hidden="1">
      <c r="A2520" s="15">
        <v>45766.714273043981</v>
      </c>
      <c r="B2520" s="16">
        <v>45775</v>
      </c>
      <c r="C2520" s="2" t="s">
        <v>561</v>
      </c>
      <c r="D2520" s="2" t="s">
        <v>5</v>
      </c>
      <c r="E2520" s="2">
        <v>93000</v>
      </c>
      <c r="F2520" s="2" t="s">
        <v>102</v>
      </c>
      <c r="H2520" s="2" t="s">
        <v>35</v>
      </c>
    </row>
    <row r="2521" spans="1:8" ht="13" hidden="1">
      <c r="A2521" s="15">
        <v>45766.714576863422</v>
      </c>
      <c r="B2521" s="16">
        <v>45775</v>
      </c>
      <c r="C2521" s="2" t="s">
        <v>133</v>
      </c>
      <c r="D2521" s="2" t="s">
        <v>47</v>
      </c>
      <c r="E2521" s="2">
        <v>20000</v>
      </c>
      <c r="F2521" s="2" t="s">
        <v>102</v>
      </c>
      <c r="H2521" s="2" t="s">
        <v>35</v>
      </c>
    </row>
    <row r="2522" spans="1:8" ht="13" hidden="1">
      <c r="A2522" s="15">
        <v>45783.770870300927</v>
      </c>
      <c r="B2522" s="16">
        <v>45775</v>
      </c>
      <c r="C2522" s="2" t="s">
        <v>106</v>
      </c>
      <c r="D2522" s="2" t="s">
        <v>38</v>
      </c>
      <c r="E2522" s="2">
        <v>900</v>
      </c>
      <c r="F2522" s="2" t="s">
        <v>102</v>
      </c>
      <c r="H2522" s="2" t="s">
        <v>35</v>
      </c>
    </row>
    <row r="2523" spans="1:8" ht="13" hidden="1">
      <c r="A2523" s="15">
        <v>45802.892435821763</v>
      </c>
      <c r="B2523" s="16">
        <v>45775</v>
      </c>
      <c r="C2523" s="2" t="s">
        <v>158</v>
      </c>
      <c r="D2523" s="2" t="s">
        <v>49</v>
      </c>
      <c r="E2523" s="2">
        <v>4980</v>
      </c>
      <c r="F2523" s="2" t="s">
        <v>100</v>
      </c>
      <c r="H2523" s="2" t="s">
        <v>35</v>
      </c>
    </row>
    <row r="2524" spans="1:8" ht="13" hidden="1">
      <c r="A2524" s="15">
        <v>45802.8928446875</v>
      </c>
      <c r="B2524" s="16">
        <v>45776</v>
      </c>
      <c r="C2524" s="2" t="s">
        <v>116</v>
      </c>
      <c r="D2524" s="2" t="s">
        <v>38</v>
      </c>
      <c r="E2524" s="2">
        <v>1781</v>
      </c>
      <c r="F2524" s="2" t="s">
        <v>102</v>
      </c>
      <c r="G2524" s="2" t="s">
        <v>626</v>
      </c>
      <c r="H2524" s="2" t="s">
        <v>35</v>
      </c>
    </row>
    <row r="2525" spans="1:8" ht="13" hidden="1">
      <c r="A2525" s="15">
        <v>45783.771135069444</v>
      </c>
      <c r="B2525" s="16">
        <v>45776</v>
      </c>
      <c r="C2525" s="2" t="s">
        <v>400</v>
      </c>
      <c r="D2525" s="2" t="s">
        <v>39</v>
      </c>
      <c r="E2525" s="2">
        <v>790</v>
      </c>
      <c r="F2525" s="2" t="s">
        <v>102</v>
      </c>
      <c r="H2525" s="2" t="s">
        <v>35</v>
      </c>
    </row>
    <row r="2526" spans="1:8" ht="13" hidden="1">
      <c r="A2526" s="15">
        <v>45802.893356886576</v>
      </c>
      <c r="B2526" s="16">
        <v>45776</v>
      </c>
      <c r="C2526" s="2" t="s">
        <v>240</v>
      </c>
      <c r="D2526" s="2" t="s">
        <v>42</v>
      </c>
      <c r="E2526" s="2">
        <v>110</v>
      </c>
      <c r="F2526" s="2" t="s">
        <v>100</v>
      </c>
      <c r="H2526" s="2" t="s">
        <v>35</v>
      </c>
    </row>
    <row r="2527" spans="1:8" ht="13" hidden="1">
      <c r="A2527" s="15">
        <v>45802.893734050929</v>
      </c>
      <c r="B2527" s="16">
        <v>45776</v>
      </c>
      <c r="C2527" s="2" t="s">
        <v>116</v>
      </c>
      <c r="D2527" s="2" t="s">
        <v>38</v>
      </c>
      <c r="E2527" s="2">
        <v>223</v>
      </c>
      <c r="F2527" s="2" t="s">
        <v>100</v>
      </c>
      <c r="G2527" s="2" t="s">
        <v>1026</v>
      </c>
      <c r="H2527" s="2" t="s">
        <v>35</v>
      </c>
    </row>
    <row r="2528" spans="1:8" ht="13" hidden="1">
      <c r="A2528" s="15">
        <v>45802.894057893514</v>
      </c>
      <c r="B2528" s="16">
        <v>45776</v>
      </c>
      <c r="C2528" s="2" t="s">
        <v>116</v>
      </c>
      <c r="D2528" s="2" t="s">
        <v>38</v>
      </c>
      <c r="E2528" s="2">
        <v>289</v>
      </c>
      <c r="F2528" s="2" t="s">
        <v>100</v>
      </c>
      <c r="G2528" s="2" t="s">
        <v>1026</v>
      </c>
      <c r="H2528" s="2" t="s">
        <v>35</v>
      </c>
    </row>
    <row r="2529" spans="1:8" ht="13" hidden="1">
      <c r="A2529" s="15">
        <v>45802.894342766202</v>
      </c>
      <c r="B2529" s="16">
        <v>45776</v>
      </c>
      <c r="C2529" s="2" t="s">
        <v>350</v>
      </c>
      <c r="D2529" s="2" t="s">
        <v>40</v>
      </c>
      <c r="E2529" s="2">
        <v>2000</v>
      </c>
      <c r="F2529" s="2" t="s">
        <v>100</v>
      </c>
      <c r="H2529" s="2" t="s">
        <v>35</v>
      </c>
    </row>
    <row r="2530" spans="1:8" ht="13" hidden="1">
      <c r="A2530" s="15">
        <v>45783.771673136573</v>
      </c>
      <c r="B2530" s="16">
        <v>45777</v>
      </c>
      <c r="C2530" s="2" t="s">
        <v>674</v>
      </c>
      <c r="D2530" s="2" t="s">
        <v>39</v>
      </c>
      <c r="E2530" s="2">
        <v>3950</v>
      </c>
      <c r="F2530" s="2" t="s">
        <v>102</v>
      </c>
      <c r="H2530" s="2" t="s">
        <v>35</v>
      </c>
    </row>
    <row r="2531" spans="1:8" ht="13" hidden="1">
      <c r="A2531" s="15">
        <v>45783.779932511577</v>
      </c>
      <c r="B2531" s="16">
        <v>45777</v>
      </c>
      <c r="C2531" s="2" t="s">
        <v>154</v>
      </c>
      <c r="D2531" s="2" t="s">
        <v>38</v>
      </c>
      <c r="E2531" s="2">
        <v>500</v>
      </c>
      <c r="F2531" s="2" t="s">
        <v>102</v>
      </c>
      <c r="H2531" s="2" t="s">
        <v>35</v>
      </c>
    </row>
    <row r="2532" spans="1:8" ht="13" hidden="1">
      <c r="A2532" s="15">
        <v>45783.775923842593</v>
      </c>
      <c r="B2532" s="16">
        <v>45778</v>
      </c>
      <c r="C2532" s="2" t="s">
        <v>1027</v>
      </c>
      <c r="D2532" s="2" t="s">
        <v>38</v>
      </c>
      <c r="E2532" s="2">
        <v>170</v>
      </c>
      <c r="F2532" s="2" t="s">
        <v>102</v>
      </c>
      <c r="G2532" s="2" t="s">
        <v>356</v>
      </c>
      <c r="H2532" s="2" t="s">
        <v>35</v>
      </c>
    </row>
    <row r="2533" spans="1:8" ht="13" hidden="1">
      <c r="A2533" s="15">
        <v>45783.776257002319</v>
      </c>
      <c r="B2533" s="16">
        <v>45778</v>
      </c>
      <c r="C2533" s="2" t="s">
        <v>499</v>
      </c>
      <c r="D2533" s="2" t="s">
        <v>38</v>
      </c>
      <c r="E2533" s="2">
        <v>182</v>
      </c>
      <c r="F2533" s="2" t="s">
        <v>102</v>
      </c>
      <c r="G2533" s="2" t="s">
        <v>356</v>
      </c>
      <c r="H2533" s="2" t="s">
        <v>35</v>
      </c>
    </row>
    <row r="2534" spans="1:8" ht="13" hidden="1">
      <c r="A2534" s="15">
        <v>45802.894628773152</v>
      </c>
      <c r="B2534" s="16">
        <v>45778</v>
      </c>
      <c r="C2534" s="2" t="s">
        <v>248</v>
      </c>
      <c r="D2534" s="2" t="s">
        <v>49</v>
      </c>
      <c r="E2534" s="2">
        <v>700</v>
      </c>
      <c r="F2534" s="2" t="s">
        <v>100</v>
      </c>
      <c r="G2534" s="2" t="s">
        <v>179</v>
      </c>
      <c r="H2534" s="2" t="s">
        <v>35</v>
      </c>
    </row>
    <row r="2535" spans="1:8" ht="13" hidden="1">
      <c r="A2535" s="15">
        <v>45802.894866076385</v>
      </c>
      <c r="B2535" s="16">
        <v>45778</v>
      </c>
      <c r="C2535" s="2" t="s">
        <v>26</v>
      </c>
      <c r="D2535" s="2" t="s">
        <v>41</v>
      </c>
      <c r="E2535" s="2">
        <v>4857</v>
      </c>
      <c r="F2535" s="2" t="s">
        <v>100</v>
      </c>
      <c r="H2535" s="2" t="s">
        <v>35</v>
      </c>
    </row>
    <row r="2536" spans="1:8" ht="13" hidden="1">
      <c r="A2536" s="15">
        <v>45802.895250868052</v>
      </c>
      <c r="B2536" s="16">
        <v>45778</v>
      </c>
      <c r="C2536" s="2" t="s">
        <v>564</v>
      </c>
      <c r="D2536" s="2" t="s">
        <v>39</v>
      </c>
      <c r="E2536" s="2">
        <v>3100</v>
      </c>
      <c r="F2536" s="2" t="s">
        <v>100</v>
      </c>
      <c r="G2536" s="2" t="s">
        <v>1028</v>
      </c>
      <c r="H2536" s="2" t="s">
        <v>35</v>
      </c>
    </row>
    <row r="2537" spans="1:8" ht="13" hidden="1">
      <c r="A2537" s="15">
        <v>45802.895572037036</v>
      </c>
      <c r="B2537" s="16">
        <v>45778</v>
      </c>
      <c r="C2537" s="2" t="s">
        <v>1029</v>
      </c>
      <c r="D2537" s="2" t="s">
        <v>49</v>
      </c>
      <c r="E2537" s="2">
        <v>500</v>
      </c>
      <c r="F2537" s="2" t="s">
        <v>100</v>
      </c>
      <c r="G2537" s="2" t="s">
        <v>179</v>
      </c>
      <c r="H2537" s="2" t="s">
        <v>35</v>
      </c>
    </row>
    <row r="2538" spans="1:8" ht="13" hidden="1">
      <c r="A2538" s="15">
        <v>45844.728577974536</v>
      </c>
      <c r="B2538" s="16">
        <v>45841</v>
      </c>
      <c r="C2538" s="2" t="s">
        <v>779</v>
      </c>
      <c r="D2538" s="2" t="s">
        <v>45</v>
      </c>
      <c r="E2538" s="2">
        <v>1504</v>
      </c>
      <c r="F2538" s="2" t="s">
        <v>102</v>
      </c>
      <c r="G2538" s="2" t="s">
        <v>956</v>
      </c>
      <c r="H2538" s="2" t="s">
        <v>35</v>
      </c>
    </row>
    <row r="2539" spans="1:8" ht="13" hidden="1">
      <c r="A2539" s="15">
        <v>45802.89627247685</v>
      </c>
      <c r="B2539" s="16">
        <v>45778</v>
      </c>
      <c r="C2539" s="2" t="s">
        <v>240</v>
      </c>
      <c r="D2539" s="2" t="s">
        <v>42</v>
      </c>
      <c r="E2539" s="2">
        <v>990</v>
      </c>
      <c r="F2539" s="2" t="s">
        <v>100</v>
      </c>
      <c r="H2539" s="2" t="s">
        <v>35</v>
      </c>
    </row>
    <row r="2540" spans="1:8" ht="13" hidden="1">
      <c r="A2540" s="15">
        <v>45760.747411226854</v>
      </c>
      <c r="B2540" s="16">
        <v>45747</v>
      </c>
      <c r="C2540" s="2" t="s">
        <v>1030</v>
      </c>
      <c r="D2540" s="2" t="s">
        <v>45</v>
      </c>
      <c r="E2540" s="2">
        <v>1499</v>
      </c>
      <c r="F2540" s="2" t="s">
        <v>100</v>
      </c>
      <c r="G2540" s="2" t="s">
        <v>129</v>
      </c>
      <c r="H2540" s="2" t="s">
        <v>35</v>
      </c>
    </row>
    <row r="2541" spans="1:8" ht="13" hidden="1">
      <c r="A2541" s="15">
        <v>45891.901746886579</v>
      </c>
      <c r="B2541" s="16">
        <v>45891</v>
      </c>
      <c r="C2541" s="2" t="s">
        <v>974</v>
      </c>
      <c r="D2541" s="2" t="s">
        <v>45</v>
      </c>
      <c r="E2541" s="2">
        <v>1204</v>
      </c>
      <c r="F2541" s="2" t="s">
        <v>102</v>
      </c>
      <c r="G2541" s="2" t="s">
        <v>346</v>
      </c>
      <c r="H2541" s="2" t="s">
        <v>35</v>
      </c>
    </row>
    <row r="2542" spans="1:8" ht="13" hidden="1">
      <c r="A2542" s="15">
        <v>45783.777614814811</v>
      </c>
      <c r="B2542" s="16">
        <v>45779</v>
      </c>
      <c r="C2542" s="2" t="s">
        <v>1031</v>
      </c>
      <c r="D2542" s="2" t="s">
        <v>39</v>
      </c>
      <c r="E2542" s="2">
        <v>6000</v>
      </c>
      <c r="F2542" s="2" t="s">
        <v>102</v>
      </c>
      <c r="H2542" s="2" t="s">
        <v>35</v>
      </c>
    </row>
    <row r="2543" spans="1:8" ht="13" hidden="1">
      <c r="A2543" s="15">
        <v>45783.780478946763</v>
      </c>
      <c r="B2543" s="16">
        <v>45779</v>
      </c>
      <c r="C2543" s="2" t="s">
        <v>106</v>
      </c>
      <c r="D2543" s="2" t="s">
        <v>38</v>
      </c>
      <c r="E2543" s="2">
        <v>1150</v>
      </c>
      <c r="F2543" s="2" t="s">
        <v>102</v>
      </c>
      <c r="H2543" s="2" t="s">
        <v>35</v>
      </c>
    </row>
    <row r="2544" spans="1:8" ht="13" hidden="1">
      <c r="A2544" s="15">
        <v>45802.896567812495</v>
      </c>
      <c r="B2544" s="16">
        <v>45779</v>
      </c>
      <c r="C2544" s="2" t="s">
        <v>350</v>
      </c>
      <c r="D2544" s="2" t="s">
        <v>40</v>
      </c>
      <c r="E2544" s="2">
        <v>2000</v>
      </c>
      <c r="F2544" s="2" t="s">
        <v>100</v>
      </c>
      <c r="H2544" s="2" t="s">
        <v>35</v>
      </c>
    </row>
    <row r="2545" spans="1:8" ht="13" hidden="1">
      <c r="A2545" s="15">
        <v>45802.896992893518</v>
      </c>
      <c r="B2545" s="16">
        <v>45779</v>
      </c>
      <c r="C2545" s="2" t="s">
        <v>240</v>
      </c>
      <c r="D2545" s="2" t="s">
        <v>42</v>
      </c>
      <c r="E2545" s="2">
        <v>330</v>
      </c>
      <c r="F2545" s="2" t="s">
        <v>100</v>
      </c>
      <c r="H2545" s="2" t="s">
        <v>35</v>
      </c>
    </row>
    <row r="2546" spans="1:8" ht="13" hidden="1">
      <c r="A2546" s="15">
        <v>45802.897384444441</v>
      </c>
      <c r="B2546" s="16">
        <v>45779</v>
      </c>
      <c r="C2546" s="2" t="s">
        <v>183</v>
      </c>
      <c r="D2546" s="2" t="s">
        <v>46</v>
      </c>
      <c r="E2546" s="2">
        <v>1617</v>
      </c>
      <c r="F2546" s="2" t="s">
        <v>100</v>
      </c>
      <c r="G2546" s="2" t="s">
        <v>129</v>
      </c>
      <c r="H2546" s="2" t="s">
        <v>35</v>
      </c>
    </row>
    <row r="2547" spans="1:8" ht="13" hidden="1">
      <c r="A2547" s="15">
        <v>45802.897772476848</v>
      </c>
      <c r="B2547" s="16">
        <v>45780</v>
      </c>
      <c r="C2547" s="2" t="s">
        <v>378</v>
      </c>
      <c r="D2547" s="2" t="s">
        <v>43</v>
      </c>
      <c r="E2547" s="2">
        <v>1188</v>
      </c>
      <c r="F2547" s="2" t="s">
        <v>102</v>
      </c>
      <c r="G2547" s="2" t="s">
        <v>1032</v>
      </c>
      <c r="H2547" s="2" t="s">
        <v>35</v>
      </c>
    </row>
    <row r="2548" spans="1:8" ht="13" hidden="1">
      <c r="A2548" s="15">
        <v>45783.777851689811</v>
      </c>
      <c r="B2548" s="16">
        <v>45780</v>
      </c>
      <c r="C2548" s="2" t="s">
        <v>110</v>
      </c>
      <c r="D2548" s="2" t="s">
        <v>38</v>
      </c>
      <c r="E2548" s="2">
        <v>805</v>
      </c>
      <c r="F2548" s="2" t="s">
        <v>102</v>
      </c>
      <c r="H2548" s="2" t="s">
        <v>35</v>
      </c>
    </row>
    <row r="2549" spans="1:8" ht="13" hidden="1">
      <c r="A2549" s="15">
        <v>45783.778042986116</v>
      </c>
      <c r="B2549" s="16">
        <v>45780</v>
      </c>
      <c r="C2549" s="2" t="s">
        <v>943</v>
      </c>
      <c r="E2549" s="2">
        <v>250</v>
      </c>
      <c r="H2549" s="2" t="s">
        <v>34</v>
      </c>
    </row>
    <row r="2550" spans="1:8" ht="13" hidden="1">
      <c r="A2550" s="15">
        <v>45783.778448321755</v>
      </c>
      <c r="B2550" s="16">
        <v>45780</v>
      </c>
      <c r="C2550" s="2" t="s">
        <v>106</v>
      </c>
      <c r="D2550" s="2" t="s">
        <v>38</v>
      </c>
      <c r="E2550" s="2">
        <v>3700</v>
      </c>
      <c r="F2550" s="2" t="s">
        <v>102</v>
      </c>
      <c r="H2550" s="2" t="s">
        <v>35</v>
      </c>
    </row>
    <row r="2551" spans="1:8" ht="13" hidden="1">
      <c r="A2551" s="15">
        <v>45783.778737604167</v>
      </c>
      <c r="B2551" s="16">
        <v>45781</v>
      </c>
      <c r="C2551" s="2" t="s">
        <v>1033</v>
      </c>
      <c r="D2551" s="2" t="s">
        <v>38</v>
      </c>
      <c r="E2551" s="2">
        <v>871</v>
      </c>
      <c r="F2551" s="2" t="s">
        <v>102</v>
      </c>
      <c r="G2551" s="2" t="s">
        <v>103</v>
      </c>
      <c r="H2551" s="2" t="s">
        <v>35</v>
      </c>
    </row>
    <row r="2552" spans="1:8" ht="13" hidden="1">
      <c r="A2552" s="15">
        <v>45802.89829975694</v>
      </c>
      <c r="B2552" s="16">
        <v>45781</v>
      </c>
      <c r="C2552" s="2" t="s">
        <v>116</v>
      </c>
      <c r="D2552" s="2" t="s">
        <v>38</v>
      </c>
      <c r="E2552" s="2">
        <v>680</v>
      </c>
      <c r="F2552" s="2" t="s">
        <v>100</v>
      </c>
      <c r="G2552" s="2" t="s">
        <v>626</v>
      </c>
      <c r="H2552" s="2" t="s">
        <v>35</v>
      </c>
    </row>
    <row r="2553" spans="1:8" ht="13" hidden="1">
      <c r="A2553" s="15">
        <v>45802.898583923612</v>
      </c>
      <c r="B2553" s="16">
        <v>45781</v>
      </c>
      <c r="C2553" s="2" t="s">
        <v>1034</v>
      </c>
      <c r="D2553" s="2" t="s">
        <v>43</v>
      </c>
      <c r="E2553" s="2">
        <v>1056</v>
      </c>
      <c r="F2553" s="2" t="s">
        <v>100</v>
      </c>
      <c r="G2553" s="2" t="s">
        <v>1035</v>
      </c>
      <c r="H2553" s="2" t="s">
        <v>35</v>
      </c>
    </row>
    <row r="2554" spans="1:8" ht="13" hidden="1">
      <c r="A2554" s="15">
        <v>45802.89889462963</v>
      </c>
      <c r="B2554" s="16">
        <v>45782</v>
      </c>
      <c r="C2554" s="2" t="s">
        <v>350</v>
      </c>
      <c r="D2554" s="2" t="s">
        <v>40</v>
      </c>
      <c r="E2554" s="2">
        <v>2000</v>
      </c>
      <c r="F2554" s="2" t="s">
        <v>100</v>
      </c>
      <c r="H2554" s="2" t="s">
        <v>35</v>
      </c>
    </row>
    <row r="2555" spans="1:8" ht="13" hidden="1">
      <c r="A2555" s="15">
        <v>45783.779144212967</v>
      </c>
      <c r="B2555" s="16">
        <v>45783</v>
      </c>
      <c r="C2555" s="2" t="s">
        <v>1036</v>
      </c>
      <c r="D2555" s="2" t="s">
        <v>39</v>
      </c>
      <c r="E2555" s="2">
        <v>1320</v>
      </c>
      <c r="F2555" s="2" t="s">
        <v>102</v>
      </c>
      <c r="H2555" s="2" t="s">
        <v>35</v>
      </c>
    </row>
    <row r="2556" spans="1:8" ht="13" hidden="1">
      <c r="A2556" s="15">
        <v>45802.899272766204</v>
      </c>
      <c r="B2556" s="16">
        <v>45783</v>
      </c>
      <c r="C2556" s="2" t="s">
        <v>240</v>
      </c>
      <c r="D2556" s="2" t="s">
        <v>42</v>
      </c>
      <c r="E2556" s="2">
        <v>990</v>
      </c>
      <c r="F2556" s="2" t="s">
        <v>100</v>
      </c>
      <c r="H2556" s="2" t="s">
        <v>35</v>
      </c>
    </row>
    <row r="2557" spans="1:8" ht="13" hidden="1">
      <c r="A2557" s="15">
        <v>45802.899676608795</v>
      </c>
      <c r="B2557" s="16">
        <v>45783</v>
      </c>
      <c r="C2557" s="2" t="s">
        <v>116</v>
      </c>
      <c r="D2557" s="2" t="s">
        <v>38</v>
      </c>
      <c r="E2557" s="2">
        <v>1837</v>
      </c>
      <c r="F2557" s="2" t="s">
        <v>100</v>
      </c>
      <c r="G2557" s="2" t="s">
        <v>652</v>
      </c>
      <c r="H2557" s="2" t="s">
        <v>35</v>
      </c>
    </row>
    <row r="2558" spans="1:8" ht="13" hidden="1">
      <c r="A2558" s="15">
        <v>45891.89423283565</v>
      </c>
      <c r="B2558" s="16">
        <v>45880</v>
      </c>
      <c r="C2558" s="2" t="s">
        <v>45</v>
      </c>
      <c r="D2558" s="2" t="s">
        <v>45</v>
      </c>
      <c r="E2558" s="2">
        <v>1374</v>
      </c>
      <c r="F2558" s="2" t="s">
        <v>102</v>
      </c>
      <c r="G2558" s="2" t="s">
        <v>285</v>
      </c>
      <c r="H2558" s="2" t="s">
        <v>35</v>
      </c>
    </row>
    <row r="2559" spans="1:8" ht="13" hidden="1">
      <c r="A2559" s="15">
        <v>45802.900073865741</v>
      </c>
      <c r="B2559" s="16">
        <v>45784</v>
      </c>
      <c r="C2559" s="2" t="s">
        <v>1037</v>
      </c>
      <c r="D2559" s="2" t="s">
        <v>38</v>
      </c>
      <c r="E2559" s="2">
        <v>2360</v>
      </c>
      <c r="F2559" s="2" t="s">
        <v>100</v>
      </c>
      <c r="G2559" s="2" t="s">
        <v>1038</v>
      </c>
      <c r="H2559" s="2" t="s">
        <v>35</v>
      </c>
    </row>
    <row r="2560" spans="1:8" ht="13" hidden="1">
      <c r="A2560" s="15">
        <v>45797.953536585643</v>
      </c>
      <c r="B2560" s="16">
        <v>45785</v>
      </c>
      <c r="C2560" s="2" t="s">
        <v>106</v>
      </c>
      <c r="D2560" s="2" t="s">
        <v>38</v>
      </c>
      <c r="E2560" s="2">
        <v>1550</v>
      </c>
      <c r="F2560" s="2" t="s">
        <v>102</v>
      </c>
      <c r="G2560" s="2" t="s">
        <v>931</v>
      </c>
      <c r="H2560" s="2" t="s">
        <v>35</v>
      </c>
    </row>
    <row r="2561" spans="1:8" ht="13" hidden="1">
      <c r="A2561" s="15">
        <v>45797.953948553244</v>
      </c>
      <c r="B2561" s="16">
        <v>45785</v>
      </c>
      <c r="C2561" s="2" t="s">
        <v>928</v>
      </c>
      <c r="D2561" s="2" t="s">
        <v>39</v>
      </c>
      <c r="E2561" s="2">
        <v>1700</v>
      </c>
      <c r="F2561" s="2" t="s">
        <v>102</v>
      </c>
      <c r="H2561" s="2" t="s">
        <v>35</v>
      </c>
    </row>
    <row r="2562" spans="1:8" ht="13" hidden="1">
      <c r="A2562" s="15">
        <v>45802.90037930556</v>
      </c>
      <c r="B2562" s="16">
        <v>45785</v>
      </c>
      <c r="C2562" s="2" t="s">
        <v>12</v>
      </c>
      <c r="D2562" s="2" t="s">
        <v>39</v>
      </c>
      <c r="E2562" s="2">
        <v>1520</v>
      </c>
      <c r="F2562" s="2" t="s">
        <v>100</v>
      </c>
      <c r="H2562" s="2" t="s">
        <v>35</v>
      </c>
    </row>
    <row r="2563" spans="1:8" ht="13" hidden="1">
      <c r="A2563" s="15">
        <v>45802.90069490741</v>
      </c>
      <c r="B2563" s="16">
        <v>45785</v>
      </c>
      <c r="C2563" s="2" t="s">
        <v>654</v>
      </c>
      <c r="D2563" s="2" t="s">
        <v>48</v>
      </c>
      <c r="E2563" s="2">
        <v>150</v>
      </c>
      <c r="F2563" s="2" t="s">
        <v>100</v>
      </c>
      <c r="H2563" s="2" t="s">
        <v>35</v>
      </c>
    </row>
    <row r="2564" spans="1:8" ht="13" hidden="1">
      <c r="A2564" s="15">
        <v>45802.901055960647</v>
      </c>
      <c r="B2564" s="16">
        <v>45785</v>
      </c>
      <c r="C2564" s="2" t="s">
        <v>183</v>
      </c>
      <c r="D2564" s="2" t="s">
        <v>46</v>
      </c>
      <c r="E2564" s="2">
        <v>1782</v>
      </c>
      <c r="F2564" s="2" t="s">
        <v>100</v>
      </c>
      <c r="G2564" s="2" t="s">
        <v>129</v>
      </c>
      <c r="H2564" s="2" t="s">
        <v>35</v>
      </c>
    </row>
    <row r="2565" spans="1:8" ht="13" hidden="1">
      <c r="A2565" s="15">
        <v>45731.609745416667</v>
      </c>
      <c r="B2565" s="16">
        <v>45726</v>
      </c>
      <c r="C2565" s="2" t="s">
        <v>682</v>
      </c>
      <c r="D2565" s="2" t="s">
        <v>45</v>
      </c>
      <c r="E2565" s="2">
        <v>1342</v>
      </c>
      <c r="F2565" s="2" t="s">
        <v>102</v>
      </c>
      <c r="G2565" s="2" t="s">
        <v>285</v>
      </c>
      <c r="H2565" s="2" t="s">
        <v>35</v>
      </c>
    </row>
    <row r="2566" spans="1:8" ht="13" hidden="1">
      <c r="A2566" s="15">
        <v>45802.901973553242</v>
      </c>
      <c r="B2566" s="16">
        <v>45786</v>
      </c>
      <c r="C2566" s="2" t="s">
        <v>15</v>
      </c>
      <c r="D2566" s="2" t="s">
        <v>48</v>
      </c>
      <c r="E2566" s="2">
        <v>880</v>
      </c>
      <c r="F2566" s="2" t="s">
        <v>100</v>
      </c>
      <c r="H2566" s="2" t="s">
        <v>35</v>
      </c>
    </row>
    <row r="2567" spans="1:8" ht="13" hidden="1">
      <c r="A2567" s="15">
        <v>45802.90228199074</v>
      </c>
      <c r="B2567" s="16">
        <v>45786</v>
      </c>
      <c r="C2567" s="2" t="s">
        <v>350</v>
      </c>
      <c r="D2567" s="2" t="s">
        <v>40</v>
      </c>
      <c r="E2567" s="2">
        <v>1000</v>
      </c>
      <c r="F2567" s="2" t="s">
        <v>100</v>
      </c>
      <c r="H2567" s="2" t="s">
        <v>35</v>
      </c>
    </row>
    <row r="2568" spans="1:8" ht="13" hidden="1">
      <c r="A2568" s="15">
        <v>45797.954655821755</v>
      </c>
      <c r="B2568" s="16">
        <v>45787</v>
      </c>
      <c r="C2568" s="2" t="s">
        <v>436</v>
      </c>
      <c r="D2568" s="2" t="s">
        <v>38</v>
      </c>
      <c r="E2568" s="2">
        <v>455</v>
      </c>
      <c r="F2568" s="2" t="s">
        <v>102</v>
      </c>
      <c r="G2568" s="2" t="s">
        <v>356</v>
      </c>
      <c r="H2568" s="2" t="s">
        <v>35</v>
      </c>
    </row>
    <row r="2569" spans="1:8" ht="13" hidden="1">
      <c r="A2569" s="15">
        <v>45797.955067222225</v>
      </c>
      <c r="B2569" s="16">
        <v>45787</v>
      </c>
      <c r="C2569" s="2" t="s">
        <v>106</v>
      </c>
      <c r="D2569" s="2" t="s">
        <v>38</v>
      </c>
      <c r="E2569" s="2">
        <v>1100</v>
      </c>
      <c r="F2569" s="2" t="s">
        <v>102</v>
      </c>
      <c r="G2569" s="2" t="s">
        <v>1039</v>
      </c>
      <c r="H2569" s="2" t="s">
        <v>35</v>
      </c>
    </row>
    <row r="2570" spans="1:8" ht="13" hidden="1">
      <c r="A2570" s="15">
        <v>45797.955549687496</v>
      </c>
      <c r="B2570" s="16">
        <v>45787</v>
      </c>
      <c r="C2570" s="2" t="s">
        <v>1040</v>
      </c>
      <c r="D2570" s="2" t="s">
        <v>38</v>
      </c>
      <c r="E2570" s="2">
        <v>498</v>
      </c>
      <c r="F2570" s="2" t="s">
        <v>102</v>
      </c>
      <c r="G2570" s="2" t="s">
        <v>356</v>
      </c>
      <c r="H2570" s="2" t="s">
        <v>35</v>
      </c>
    </row>
    <row r="2571" spans="1:8" ht="13" hidden="1">
      <c r="A2571" s="15">
        <v>45802.902580624999</v>
      </c>
      <c r="B2571" s="16">
        <v>45787</v>
      </c>
      <c r="C2571" s="2" t="s">
        <v>240</v>
      </c>
      <c r="D2571" s="2" t="s">
        <v>42</v>
      </c>
      <c r="E2571" s="2">
        <v>221</v>
      </c>
      <c r="F2571" s="2" t="s">
        <v>100</v>
      </c>
      <c r="H2571" s="2" t="s">
        <v>35</v>
      </c>
    </row>
    <row r="2572" spans="1:8" ht="13" hidden="1">
      <c r="A2572" s="15">
        <v>45802.902909050928</v>
      </c>
      <c r="B2572" s="16">
        <v>45787</v>
      </c>
      <c r="C2572" s="2" t="s">
        <v>116</v>
      </c>
      <c r="D2572" s="2" t="s">
        <v>38</v>
      </c>
      <c r="E2572" s="2">
        <v>1235</v>
      </c>
      <c r="F2572" s="2" t="s">
        <v>100</v>
      </c>
      <c r="G2572" s="2" t="s">
        <v>652</v>
      </c>
      <c r="H2572" s="2" t="s">
        <v>35</v>
      </c>
    </row>
    <row r="2573" spans="1:8" ht="13" hidden="1">
      <c r="A2573" s="15">
        <v>45797.955827523147</v>
      </c>
      <c r="B2573" s="16">
        <v>45788</v>
      </c>
      <c r="C2573" s="2" t="s">
        <v>114</v>
      </c>
      <c r="D2573" s="2" t="s">
        <v>38</v>
      </c>
      <c r="E2573" s="2">
        <v>416</v>
      </c>
      <c r="F2573" s="2" t="s">
        <v>102</v>
      </c>
      <c r="G2573" s="2" t="s">
        <v>269</v>
      </c>
      <c r="H2573" s="2" t="s">
        <v>35</v>
      </c>
    </row>
    <row r="2574" spans="1:8" ht="13" hidden="1">
      <c r="A2574" s="15">
        <v>45797.956677534719</v>
      </c>
      <c r="B2574" s="16">
        <v>45788</v>
      </c>
      <c r="C2574" s="2" t="s">
        <v>942</v>
      </c>
      <c r="D2574" s="2" t="s">
        <v>39</v>
      </c>
      <c r="E2574" s="2">
        <v>1500</v>
      </c>
      <c r="F2574" s="2" t="s">
        <v>102</v>
      </c>
      <c r="G2574" s="2" t="s">
        <v>1041</v>
      </c>
      <c r="H2574" s="2" t="s">
        <v>35</v>
      </c>
    </row>
    <row r="2575" spans="1:8" ht="13" hidden="1">
      <c r="A2575" s="15">
        <v>45797.957262847223</v>
      </c>
      <c r="B2575" s="16">
        <v>45788</v>
      </c>
      <c r="C2575" s="2" t="s">
        <v>1042</v>
      </c>
      <c r="D2575" s="2" t="s">
        <v>39</v>
      </c>
      <c r="E2575" s="2">
        <v>600</v>
      </c>
      <c r="F2575" s="2" t="s">
        <v>102</v>
      </c>
      <c r="H2575" s="2" t="s">
        <v>35</v>
      </c>
    </row>
    <row r="2576" spans="1:8" ht="13" hidden="1">
      <c r="A2576" s="15">
        <v>45803.826410624999</v>
      </c>
      <c r="B2576" s="16">
        <v>45788</v>
      </c>
      <c r="C2576" s="2" t="s">
        <v>350</v>
      </c>
      <c r="D2576" s="2" t="s">
        <v>40</v>
      </c>
      <c r="E2576" s="2">
        <v>2000</v>
      </c>
      <c r="F2576" s="2" t="s">
        <v>100</v>
      </c>
      <c r="H2576" s="2" t="s">
        <v>35</v>
      </c>
    </row>
    <row r="2577" spans="1:8" ht="13" hidden="1">
      <c r="A2577" s="15">
        <v>45803.82670060185</v>
      </c>
      <c r="B2577" s="16">
        <v>45788</v>
      </c>
      <c r="C2577" s="2" t="s">
        <v>18</v>
      </c>
      <c r="D2577" s="2" t="s">
        <v>41</v>
      </c>
      <c r="E2577" s="2">
        <v>5868</v>
      </c>
      <c r="F2577" s="2" t="s">
        <v>100</v>
      </c>
      <c r="H2577" s="2" t="s">
        <v>35</v>
      </c>
    </row>
    <row r="2578" spans="1:8" ht="13" hidden="1">
      <c r="A2578" s="15">
        <v>45803.827079837967</v>
      </c>
      <c r="B2578" s="16">
        <v>45788</v>
      </c>
      <c r="C2578" s="2" t="s">
        <v>928</v>
      </c>
      <c r="D2578" s="2" t="s">
        <v>39</v>
      </c>
      <c r="E2578" s="2">
        <v>5580</v>
      </c>
      <c r="F2578" s="2" t="s">
        <v>100</v>
      </c>
      <c r="G2578" s="2" t="s">
        <v>1043</v>
      </c>
      <c r="H2578" s="2" t="s">
        <v>35</v>
      </c>
    </row>
    <row r="2579" spans="1:8" ht="13" hidden="1">
      <c r="A2579" s="15">
        <v>45710.865327847219</v>
      </c>
      <c r="B2579" s="16">
        <v>45706</v>
      </c>
      <c r="C2579" s="2" t="s">
        <v>1044</v>
      </c>
      <c r="D2579" s="2" t="s">
        <v>45</v>
      </c>
      <c r="E2579" s="2">
        <v>1292</v>
      </c>
      <c r="F2579" s="2" t="s">
        <v>102</v>
      </c>
      <c r="G2579" s="2" t="s">
        <v>285</v>
      </c>
      <c r="H2579" s="2" t="s">
        <v>35</v>
      </c>
    </row>
    <row r="2580" spans="1:8" ht="13" hidden="1">
      <c r="A2580" s="15">
        <v>45803.827531759263</v>
      </c>
      <c r="B2580" s="16">
        <v>45788</v>
      </c>
      <c r="C2580" s="2" t="s">
        <v>240</v>
      </c>
      <c r="D2580" s="2" t="s">
        <v>42</v>
      </c>
      <c r="E2580" s="2">
        <v>990</v>
      </c>
      <c r="F2580" s="2" t="s">
        <v>100</v>
      </c>
      <c r="H2580" s="2" t="s">
        <v>35</v>
      </c>
    </row>
    <row r="2581" spans="1:8" ht="13" hidden="1">
      <c r="A2581" s="15">
        <v>45797.956164016199</v>
      </c>
      <c r="B2581" s="16">
        <v>45788</v>
      </c>
      <c r="C2581" s="2" t="s">
        <v>943</v>
      </c>
      <c r="E2581" s="2">
        <v>2000</v>
      </c>
      <c r="H2581" s="2" t="s">
        <v>34</v>
      </c>
    </row>
    <row r="2582" spans="1:8" ht="13" hidden="1">
      <c r="A2582" s="15">
        <v>45797.956958599534</v>
      </c>
      <c r="B2582" s="16">
        <v>45788</v>
      </c>
      <c r="C2582" s="2" t="s">
        <v>943</v>
      </c>
      <c r="E2582" s="2">
        <v>760</v>
      </c>
      <c r="H2582" s="2" t="s">
        <v>34</v>
      </c>
    </row>
    <row r="2583" spans="1:8" ht="13" hidden="1">
      <c r="A2583" s="15">
        <v>45797.957535497684</v>
      </c>
      <c r="B2583" s="16">
        <v>45789</v>
      </c>
      <c r="C2583" s="2" t="s">
        <v>106</v>
      </c>
      <c r="D2583" s="2" t="s">
        <v>38</v>
      </c>
      <c r="E2583" s="2">
        <v>610</v>
      </c>
      <c r="F2583" s="2" t="s">
        <v>102</v>
      </c>
      <c r="G2583" s="2" t="s">
        <v>113</v>
      </c>
      <c r="H2583" s="2" t="s">
        <v>35</v>
      </c>
    </row>
    <row r="2584" spans="1:8" ht="13" hidden="1">
      <c r="A2584" s="15">
        <v>45797.958053136579</v>
      </c>
      <c r="B2584" s="16">
        <v>45789</v>
      </c>
      <c r="C2584" s="2" t="s">
        <v>1045</v>
      </c>
      <c r="D2584" s="2" t="s">
        <v>38</v>
      </c>
      <c r="E2584" s="2">
        <v>118</v>
      </c>
      <c r="F2584" s="2" t="s">
        <v>102</v>
      </c>
      <c r="G2584" s="2" t="s">
        <v>103</v>
      </c>
      <c r="H2584" s="2" t="s">
        <v>35</v>
      </c>
    </row>
    <row r="2585" spans="1:8" ht="13" hidden="1">
      <c r="A2585" s="15">
        <v>45797.958336863427</v>
      </c>
      <c r="B2585" s="16">
        <v>45790</v>
      </c>
      <c r="C2585" s="2" t="s">
        <v>651</v>
      </c>
      <c r="D2585" s="2" t="s">
        <v>39</v>
      </c>
      <c r="E2585" s="2">
        <v>7000</v>
      </c>
      <c r="F2585" s="2" t="s">
        <v>102</v>
      </c>
      <c r="H2585" s="2" t="s">
        <v>35</v>
      </c>
    </row>
    <row r="2586" spans="1:8" ht="13" hidden="1">
      <c r="A2586" s="15">
        <v>45797.958611527778</v>
      </c>
      <c r="B2586" s="16">
        <v>45790</v>
      </c>
      <c r="C2586" s="2" t="s">
        <v>651</v>
      </c>
      <c r="D2586" s="2" t="s">
        <v>39</v>
      </c>
      <c r="E2586" s="2">
        <v>1700</v>
      </c>
      <c r="F2586" s="2" t="s">
        <v>102</v>
      </c>
      <c r="H2586" s="2" t="s">
        <v>35</v>
      </c>
    </row>
    <row r="2587" spans="1:8" ht="13" hidden="1">
      <c r="A2587" s="15">
        <v>45797.965227835652</v>
      </c>
      <c r="B2587" s="16">
        <v>45790</v>
      </c>
      <c r="C2587" s="2" t="s">
        <v>1046</v>
      </c>
      <c r="D2587" s="2" t="s">
        <v>38</v>
      </c>
      <c r="E2587" s="2">
        <v>1200</v>
      </c>
      <c r="F2587" s="2" t="s">
        <v>102</v>
      </c>
      <c r="G2587" s="2" t="s">
        <v>1047</v>
      </c>
      <c r="H2587" s="2" t="s">
        <v>35</v>
      </c>
    </row>
    <row r="2588" spans="1:8" ht="13" hidden="1">
      <c r="A2588" s="15">
        <v>45844.727023460648</v>
      </c>
      <c r="B2588" s="16">
        <v>45840</v>
      </c>
      <c r="C2588" s="2" t="s">
        <v>1048</v>
      </c>
      <c r="D2588" s="2" t="s">
        <v>45</v>
      </c>
      <c r="E2588" s="2">
        <v>1290</v>
      </c>
      <c r="F2588" s="2" t="s">
        <v>102</v>
      </c>
      <c r="G2588" s="2" t="s">
        <v>150</v>
      </c>
      <c r="H2588" s="2" t="s">
        <v>35</v>
      </c>
    </row>
    <row r="2589" spans="1:8" ht="13" hidden="1">
      <c r="A2589" s="15">
        <v>45803.828269490739</v>
      </c>
      <c r="B2589" s="16">
        <v>45791</v>
      </c>
      <c r="C2589" s="2" t="s">
        <v>662</v>
      </c>
      <c r="D2589" s="2" t="s">
        <v>48</v>
      </c>
      <c r="E2589" s="2">
        <v>3340</v>
      </c>
      <c r="F2589" s="2" t="s">
        <v>100</v>
      </c>
      <c r="H2589" s="2" t="s">
        <v>35</v>
      </c>
    </row>
    <row r="2590" spans="1:8" ht="13" hidden="1">
      <c r="A2590" s="15">
        <v>45803.828631550925</v>
      </c>
      <c r="B2590" s="16">
        <v>45791</v>
      </c>
      <c r="C2590" s="2" t="s">
        <v>240</v>
      </c>
      <c r="D2590" s="2" t="s">
        <v>42</v>
      </c>
      <c r="E2590" s="2">
        <v>990</v>
      </c>
      <c r="F2590" s="2" t="s">
        <v>100</v>
      </c>
      <c r="H2590" s="2" t="s">
        <v>35</v>
      </c>
    </row>
    <row r="2591" spans="1:8" ht="13" hidden="1">
      <c r="A2591" s="15">
        <v>45803.828881157402</v>
      </c>
      <c r="B2591" s="16">
        <v>45791</v>
      </c>
      <c r="C2591" s="2" t="s">
        <v>350</v>
      </c>
      <c r="D2591" s="2" t="s">
        <v>40</v>
      </c>
      <c r="E2591" s="2">
        <v>2000</v>
      </c>
      <c r="F2591" s="2" t="s">
        <v>100</v>
      </c>
      <c r="H2591" s="2" t="s">
        <v>35</v>
      </c>
    </row>
    <row r="2592" spans="1:8" ht="13" hidden="1">
      <c r="A2592" s="15">
        <v>45797.966760104166</v>
      </c>
      <c r="B2592" s="16">
        <v>45791</v>
      </c>
      <c r="C2592" s="2" t="s">
        <v>258</v>
      </c>
      <c r="E2592" s="2">
        <v>7180</v>
      </c>
      <c r="H2592" s="2" t="s">
        <v>34</v>
      </c>
    </row>
    <row r="2593" spans="1:8" ht="13" hidden="1">
      <c r="A2593" s="15">
        <v>45797.958997870373</v>
      </c>
      <c r="B2593" s="16">
        <v>45792</v>
      </c>
      <c r="C2593" s="2" t="s">
        <v>106</v>
      </c>
      <c r="D2593" s="2" t="s">
        <v>38</v>
      </c>
      <c r="E2593" s="2">
        <v>1200</v>
      </c>
      <c r="F2593" s="2" t="s">
        <v>102</v>
      </c>
      <c r="G2593" s="2" t="s">
        <v>1049</v>
      </c>
      <c r="H2593" s="2" t="s">
        <v>35</v>
      </c>
    </row>
    <row r="2594" spans="1:8" ht="13" hidden="1">
      <c r="A2594" s="15">
        <v>45803.830218634263</v>
      </c>
      <c r="B2594" s="16">
        <v>45792</v>
      </c>
      <c r="C2594" s="2" t="s">
        <v>116</v>
      </c>
      <c r="D2594" s="2" t="s">
        <v>38</v>
      </c>
      <c r="E2594" s="2">
        <v>1063</v>
      </c>
      <c r="F2594" s="2" t="s">
        <v>100</v>
      </c>
      <c r="G2594" s="2" t="s">
        <v>652</v>
      </c>
      <c r="H2594" s="2" t="s">
        <v>35</v>
      </c>
    </row>
    <row r="2595" spans="1:8" ht="13" hidden="1">
      <c r="A2595" s="15">
        <v>45844.729853310186</v>
      </c>
      <c r="B2595" s="16">
        <v>45844</v>
      </c>
      <c r="C2595" s="2" t="s">
        <v>727</v>
      </c>
      <c r="D2595" s="2" t="s">
        <v>45</v>
      </c>
      <c r="E2595" s="2">
        <v>1224</v>
      </c>
      <c r="F2595" s="2" t="s">
        <v>102</v>
      </c>
      <c r="G2595" s="2" t="s">
        <v>285</v>
      </c>
      <c r="H2595" s="2" t="s">
        <v>35</v>
      </c>
    </row>
    <row r="2596" spans="1:8" ht="13" hidden="1">
      <c r="A2596" s="15">
        <v>45797.960111956017</v>
      </c>
      <c r="B2596" s="16">
        <v>45793</v>
      </c>
      <c r="C2596" s="2" t="s">
        <v>1050</v>
      </c>
      <c r="D2596" s="2" t="s">
        <v>38</v>
      </c>
      <c r="E2596" s="2">
        <v>606</v>
      </c>
      <c r="F2596" s="2" t="s">
        <v>102</v>
      </c>
      <c r="G2596" s="2" t="s">
        <v>356</v>
      </c>
      <c r="H2596" s="2" t="s">
        <v>35</v>
      </c>
    </row>
    <row r="2597" spans="1:8" ht="13" hidden="1">
      <c r="A2597" s="15">
        <v>45803.830488935186</v>
      </c>
      <c r="B2597" s="16">
        <v>45793</v>
      </c>
      <c r="C2597" s="2" t="s">
        <v>20</v>
      </c>
      <c r="D2597" s="2" t="s">
        <v>39</v>
      </c>
      <c r="E2597" s="2">
        <v>1590</v>
      </c>
      <c r="F2597" s="2" t="s">
        <v>100</v>
      </c>
      <c r="H2597" s="2" t="s">
        <v>35</v>
      </c>
    </row>
    <row r="2598" spans="1:8" ht="13" hidden="1">
      <c r="A2598" s="15">
        <v>45803.830883078699</v>
      </c>
      <c r="B2598" s="16">
        <v>45793</v>
      </c>
      <c r="C2598" s="2" t="s">
        <v>22</v>
      </c>
      <c r="D2598" s="2" t="s">
        <v>39</v>
      </c>
      <c r="E2598" s="2">
        <v>2310</v>
      </c>
      <c r="F2598" s="2" t="s">
        <v>100</v>
      </c>
      <c r="H2598" s="2" t="s">
        <v>35</v>
      </c>
    </row>
    <row r="2599" spans="1:8" ht="13" hidden="1">
      <c r="A2599" s="15">
        <v>45797.960458773145</v>
      </c>
      <c r="B2599" s="16">
        <v>45794</v>
      </c>
      <c r="C2599" s="2" t="s">
        <v>1040</v>
      </c>
      <c r="D2599" s="2" t="s">
        <v>38</v>
      </c>
      <c r="E2599" s="2">
        <v>298</v>
      </c>
      <c r="F2599" s="2" t="s">
        <v>102</v>
      </c>
      <c r="G2599" s="2" t="s">
        <v>356</v>
      </c>
      <c r="H2599" s="2" t="s">
        <v>35</v>
      </c>
    </row>
    <row r="2600" spans="1:8" ht="13" hidden="1">
      <c r="A2600" s="15">
        <v>45891.900868530094</v>
      </c>
      <c r="B2600" s="16">
        <v>45891</v>
      </c>
      <c r="C2600" s="2" t="s">
        <v>112</v>
      </c>
      <c r="D2600" s="2" t="s">
        <v>38</v>
      </c>
      <c r="E2600" s="2">
        <v>280</v>
      </c>
      <c r="F2600" s="2" t="s">
        <v>102</v>
      </c>
      <c r="G2600" s="2" t="s">
        <v>113</v>
      </c>
      <c r="H2600" s="2" t="s">
        <v>35</v>
      </c>
    </row>
    <row r="2601" spans="1:8" ht="13" hidden="1">
      <c r="A2601" s="15">
        <v>45797.961038344903</v>
      </c>
      <c r="B2601" s="16">
        <v>45794</v>
      </c>
      <c r="C2601" s="2" t="s">
        <v>280</v>
      </c>
      <c r="D2601" s="2" t="s">
        <v>46</v>
      </c>
      <c r="E2601" s="2">
        <v>2370</v>
      </c>
      <c r="F2601" s="2" t="s">
        <v>102</v>
      </c>
      <c r="G2601" s="2" t="s">
        <v>306</v>
      </c>
      <c r="H2601" s="2" t="s">
        <v>35</v>
      </c>
    </row>
    <row r="2602" spans="1:8" ht="13" hidden="1">
      <c r="A2602" s="15">
        <v>45797.961375219907</v>
      </c>
      <c r="B2602" s="16">
        <v>45794</v>
      </c>
      <c r="C2602" s="2" t="s">
        <v>1051</v>
      </c>
      <c r="D2602" s="2" t="s">
        <v>39</v>
      </c>
      <c r="E2602" s="2">
        <v>3270</v>
      </c>
      <c r="F2602" s="2" t="s">
        <v>102</v>
      </c>
      <c r="H2602" s="2" t="s">
        <v>35</v>
      </c>
    </row>
    <row r="2603" spans="1:8" ht="13" hidden="1">
      <c r="A2603" s="15">
        <v>45797.96159604167</v>
      </c>
      <c r="B2603" s="16">
        <v>45794</v>
      </c>
      <c r="C2603" s="2" t="s">
        <v>398</v>
      </c>
      <c r="D2603" s="2" t="s">
        <v>38</v>
      </c>
      <c r="E2603" s="2">
        <v>130</v>
      </c>
      <c r="F2603" s="2" t="s">
        <v>102</v>
      </c>
      <c r="H2603" s="2" t="s">
        <v>35</v>
      </c>
    </row>
    <row r="2604" spans="1:8" ht="13" hidden="1">
      <c r="A2604" s="15">
        <v>45797.965868148152</v>
      </c>
      <c r="B2604" s="16">
        <v>45794</v>
      </c>
      <c r="C2604" s="2" t="s">
        <v>845</v>
      </c>
      <c r="D2604" s="2" t="s">
        <v>38</v>
      </c>
      <c r="E2604" s="2">
        <v>500</v>
      </c>
      <c r="F2604" s="2" t="s">
        <v>102</v>
      </c>
      <c r="H2604" s="2" t="s">
        <v>35</v>
      </c>
    </row>
    <row r="2605" spans="1:8" ht="13" hidden="1">
      <c r="A2605" s="15">
        <v>45803.831211226847</v>
      </c>
      <c r="B2605" s="16">
        <v>45794</v>
      </c>
      <c r="C2605" s="2" t="s">
        <v>240</v>
      </c>
      <c r="D2605" s="2" t="s">
        <v>42</v>
      </c>
      <c r="E2605" s="2">
        <v>330</v>
      </c>
      <c r="F2605" s="2" t="s">
        <v>100</v>
      </c>
      <c r="H2605" s="2" t="s">
        <v>35</v>
      </c>
    </row>
    <row r="2606" spans="1:8" ht="13" hidden="1">
      <c r="A2606" s="15">
        <v>45797.962097476848</v>
      </c>
      <c r="B2606" s="16">
        <v>45795</v>
      </c>
      <c r="C2606" s="2" t="s">
        <v>398</v>
      </c>
      <c r="D2606" s="2" t="s">
        <v>38</v>
      </c>
      <c r="E2606" s="2">
        <v>108</v>
      </c>
      <c r="F2606" s="2" t="s">
        <v>102</v>
      </c>
      <c r="G2606" s="2" t="s">
        <v>103</v>
      </c>
      <c r="H2606" s="2" t="s">
        <v>35</v>
      </c>
    </row>
    <row r="2607" spans="1:8" ht="13" hidden="1">
      <c r="A2607" s="15">
        <v>45797.962419305557</v>
      </c>
      <c r="B2607" s="16">
        <v>45795</v>
      </c>
      <c r="C2607" s="2" t="s">
        <v>928</v>
      </c>
      <c r="D2607" s="2" t="s">
        <v>39</v>
      </c>
      <c r="E2607" s="2">
        <v>3780</v>
      </c>
      <c r="F2607" s="2" t="s">
        <v>102</v>
      </c>
      <c r="H2607" s="2" t="s">
        <v>35</v>
      </c>
    </row>
    <row r="2608" spans="1:8" ht="13" hidden="1">
      <c r="A2608" s="15">
        <v>45803.831513391204</v>
      </c>
      <c r="B2608" s="16">
        <v>45795</v>
      </c>
      <c r="C2608" s="2" t="s">
        <v>183</v>
      </c>
      <c r="D2608" s="2" t="s">
        <v>46</v>
      </c>
      <c r="E2608" s="2">
        <v>2138</v>
      </c>
      <c r="F2608" s="2" t="s">
        <v>100</v>
      </c>
      <c r="G2608" s="2" t="s">
        <v>129</v>
      </c>
      <c r="H2608" s="2" t="s">
        <v>35</v>
      </c>
    </row>
    <row r="2609" spans="1:8" ht="13" hidden="1">
      <c r="A2609" s="15">
        <v>45803.831896296295</v>
      </c>
      <c r="B2609" s="16">
        <v>45795</v>
      </c>
      <c r="C2609" s="2" t="s">
        <v>240</v>
      </c>
      <c r="D2609" s="2" t="s">
        <v>42</v>
      </c>
      <c r="E2609" s="2">
        <v>990</v>
      </c>
      <c r="F2609" s="2" t="s">
        <v>100</v>
      </c>
      <c r="H2609" s="2" t="s">
        <v>35</v>
      </c>
    </row>
    <row r="2610" spans="1:8" ht="13" hidden="1">
      <c r="A2610" s="15">
        <v>45803.832180046295</v>
      </c>
      <c r="B2610" s="16">
        <v>45795</v>
      </c>
      <c r="C2610" s="2" t="s">
        <v>308</v>
      </c>
      <c r="D2610" s="2" t="s">
        <v>40</v>
      </c>
      <c r="E2610" s="2">
        <v>13690</v>
      </c>
      <c r="F2610" s="2" t="s">
        <v>100</v>
      </c>
      <c r="H2610" s="2" t="s">
        <v>35</v>
      </c>
    </row>
    <row r="2611" spans="1:8" ht="13" hidden="1">
      <c r="A2611" s="15">
        <v>45803.832497349533</v>
      </c>
      <c r="B2611" s="16">
        <v>45795</v>
      </c>
      <c r="C2611" s="2" t="s">
        <v>350</v>
      </c>
      <c r="D2611" s="2" t="s">
        <v>40</v>
      </c>
      <c r="E2611" s="2">
        <v>2000</v>
      </c>
      <c r="F2611" s="2" t="s">
        <v>100</v>
      </c>
      <c r="H2611" s="2" t="s">
        <v>35</v>
      </c>
    </row>
    <row r="2612" spans="1:8" ht="13" hidden="1">
      <c r="A2612" s="15">
        <v>45797.962695543982</v>
      </c>
      <c r="B2612" s="16">
        <v>45796</v>
      </c>
      <c r="C2612" s="2" t="s">
        <v>434</v>
      </c>
      <c r="D2612" s="2" t="s">
        <v>38</v>
      </c>
      <c r="E2612" s="2">
        <v>243</v>
      </c>
      <c r="F2612" s="2" t="s">
        <v>102</v>
      </c>
      <c r="H2612" s="2" t="s">
        <v>35</v>
      </c>
    </row>
    <row r="2613" spans="1:8" ht="13" hidden="1">
      <c r="A2613" s="15">
        <v>45722.858616805555</v>
      </c>
      <c r="B2613" s="16">
        <v>45712</v>
      </c>
      <c r="C2613" s="2" t="s">
        <v>480</v>
      </c>
      <c r="D2613" s="2" t="s">
        <v>45</v>
      </c>
      <c r="E2613" s="2">
        <v>1100</v>
      </c>
      <c r="F2613" s="2" t="s">
        <v>102</v>
      </c>
      <c r="G2613" s="2" t="s">
        <v>817</v>
      </c>
      <c r="H2613" s="2" t="s">
        <v>35</v>
      </c>
    </row>
    <row r="2614" spans="1:8" ht="13" hidden="1">
      <c r="A2614" s="15">
        <v>45797.9633316088</v>
      </c>
      <c r="B2614" s="16">
        <v>45796</v>
      </c>
      <c r="C2614" s="2" t="s">
        <v>241</v>
      </c>
      <c r="D2614" s="2" t="s">
        <v>38</v>
      </c>
      <c r="E2614" s="2">
        <v>378</v>
      </c>
      <c r="F2614" s="2" t="s">
        <v>102</v>
      </c>
      <c r="G2614" s="2" t="s">
        <v>356</v>
      </c>
      <c r="H2614" s="2" t="s">
        <v>35</v>
      </c>
    </row>
    <row r="2615" spans="1:8" ht="13" hidden="1">
      <c r="A2615" s="15">
        <v>45797.963645069445</v>
      </c>
      <c r="B2615" s="16">
        <v>45796</v>
      </c>
      <c r="C2615" s="2" t="s">
        <v>333</v>
      </c>
      <c r="D2615" s="2" t="s">
        <v>38</v>
      </c>
      <c r="E2615" s="2">
        <v>298</v>
      </c>
      <c r="F2615" s="2" t="s">
        <v>102</v>
      </c>
      <c r="G2615" s="2" t="s">
        <v>356</v>
      </c>
      <c r="H2615" s="2" t="s">
        <v>35</v>
      </c>
    </row>
    <row r="2616" spans="1:8" ht="13" hidden="1">
      <c r="A2616" s="15">
        <v>45803.86311233796</v>
      </c>
      <c r="B2616" s="16">
        <v>45796</v>
      </c>
      <c r="C2616" s="2" t="s">
        <v>350</v>
      </c>
      <c r="D2616" s="2" t="s">
        <v>40</v>
      </c>
      <c r="E2616" s="2">
        <v>2000</v>
      </c>
      <c r="F2616" s="2" t="s">
        <v>100</v>
      </c>
      <c r="H2616" s="2" t="s">
        <v>35</v>
      </c>
    </row>
    <row r="2617" spans="1:8" ht="13" hidden="1">
      <c r="A2617" s="15">
        <v>45803.863479189815</v>
      </c>
      <c r="B2617" s="16">
        <v>45796</v>
      </c>
      <c r="C2617" s="2" t="s">
        <v>112</v>
      </c>
      <c r="D2617" s="2" t="s">
        <v>38</v>
      </c>
      <c r="E2617" s="2">
        <v>300</v>
      </c>
      <c r="F2617" s="2" t="s">
        <v>100</v>
      </c>
      <c r="G2617" s="2" t="s">
        <v>1026</v>
      </c>
      <c r="H2617" s="2" t="s">
        <v>35</v>
      </c>
    </row>
    <row r="2618" spans="1:8" ht="13" hidden="1">
      <c r="A2618" s="15">
        <v>45797.963936215281</v>
      </c>
      <c r="B2618" s="16">
        <v>45797</v>
      </c>
      <c r="C2618" s="2" t="s">
        <v>1052</v>
      </c>
      <c r="D2618" s="2" t="s">
        <v>38</v>
      </c>
      <c r="E2618" s="2">
        <v>890</v>
      </c>
      <c r="F2618" s="2" t="s">
        <v>102</v>
      </c>
      <c r="G2618" s="2" t="s">
        <v>199</v>
      </c>
      <c r="H2618" s="2" t="s">
        <v>35</v>
      </c>
    </row>
    <row r="2619" spans="1:8" ht="13" hidden="1">
      <c r="A2619" s="15">
        <v>45797.966318634259</v>
      </c>
      <c r="B2619" s="16">
        <v>45797</v>
      </c>
      <c r="C2619" s="2" t="s">
        <v>106</v>
      </c>
      <c r="D2619" s="2" t="s">
        <v>38</v>
      </c>
      <c r="E2619" s="2">
        <v>1300</v>
      </c>
      <c r="F2619" s="2" t="s">
        <v>102</v>
      </c>
      <c r="G2619" s="2" t="s">
        <v>952</v>
      </c>
      <c r="H2619" s="2" t="s">
        <v>35</v>
      </c>
    </row>
    <row r="2620" spans="1:8" ht="13" hidden="1">
      <c r="A2620" s="15">
        <v>45902.731278877312</v>
      </c>
      <c r="B2620" s="16">
        <v>45881</v>
      </c>
      <c r="C2620" s="2" t="s">
        <v>811</v>
      </c>
      <c r="D2620" s="2" t="s">
        <v>45</v>
      </c>
      <c r="E2620" s="2">
        <v>1090</v>
      </c>
      <c r="F2620" s="2" t="s">
        <v>100</v>
      </c>
      <c r="G2620" s="2" t="s">
        <v>129</v>
      </c>
      <c r="H2620" s="2" t="s">
        <v>35</v>
      </c>
    </row>
    <row r="2621" spans="1:8" ht="13" hidden="1">
      <c r="A2621" s="15">
        <v>45803.864150451387</v>
      </c>
      <c r="B2621" s="16">
        <v>45797</v>
      </c>
      <c r="C2621" s="2" t="s">
        <v>116</v>
      </c>
      <c r="D2621" s="2" t="s">
        <v>38</v>
      </c>
      <c r="E2621" s="2">
        <v>441</v>
      </c>
      <c r="F2621" s="2" t="s">
        <v>100</v>
      </c>
      <c r="G2621" s="2" t="s">
        <v>652</v>
      </c>
      <c r="H2621" s="2" t="s">
        <v>35</v>
      </c>
    </row>
    <row r="2622" spans="1:8" ht="13" hidden="1">
      <c r="A2622" s="15">
        <v>45803.864604490736</v>
      </c>
      <c r="B2622" s="16">
        <v>45797</v>
      </c>
      <c r="C2622" s="2" t="s">
        <v>24</v>
      </c>
      <c r="D2622" s="2" t="s">
        <v>49</v>
      </c>
      <c r="E2622" s="2">
        <v>1100</v>
      </c>
      <c r="F2622" s="2" t="s">
        <v>100</v>
      </c>
      <c r="H2622" s="2" t="s">
        <v>35</v>
      </c>
    </row>
    <row r="2623" spans="1:8" ht="13" hidden="1">
      <c r="A2623" s="15">
        <v>45802.883558900459</v>
      </c>
      <c r="B2623" s="16">
        <v>45798</v>
      </c>
      <c r="C2623" s="2" t="s">
        <v>112</v>
      </c>
      <c r="D2623" s="2" t="s">
        <v>38</v>
      </c>
      <c r="E2623" s="2">
        <v>241</v>
      </c>
      <c r="F2623" s="2" t="s">
        <v>102</v>
      </c>
      <c r="G2623" s="2" t="s">
        <v>103</v>
      </c>
      <c r="H2623" s="2" t="s">
        <v>35</v>
      </c>
    </row>
    <row r="2624" spans="1:8" ht="13" hidden="1">
      <c r="A2624" s="15">
        <v>45802.883886875003</v>
      </c>
      <c r="B2624" s="16">
        <v>45798</v>
      </c>
      <c r="C2624" s="2" t="s">
        <v>112</v>
      </c>
      <c r="D2624" s="2" t="s">
        <v>38</v>
      </c>
      <c r="E2624" s="2">
        <v>330</v>
      </c>
      <c r="F2624" s="2" t="s">
        <v>102</v>
      </c>
      <c r="G2624" s="2" t="s">
        <v>113</v>
      </c>
      <c r="H2624" s="2" t="s">
        <v>35</v>
      </c>
    </row>
    <row r="2625" spans="1:8" ht="13" hidden="1">
      <c r="A2625" s="15">
        <v>45802.884215150465</v>
      </c>
      <c r="B2625" s="16">
        <v>45798</v>
      </c>
      <c r="C2625" s="2" t="s">
        <v>601</v>
      </c>
      <c r="D2625" s="2" t="s">
        <v>38</v>
      </c>
      <c r="E2625" s="2">
        <v>162</v>
      </c>
      <c r="F2625" s="2" t="s">
        <v>102</v>
      </c>
      <c r="G2625" s="2" t="s">
        <v>356</v>
      </c>
      <c r="H2625" s="2" t="s">
        <v>35</v>
      </c>
    </row>
    <row r="2626" spans="1:8" ht="13" hidden="1">
      <c r="A2626" s="15">
        <v>45803.864850324069</v>
      </c>
      <c r="B2626" s="16">
        <v>45798</v>
      </c>
      <c r="C2626" s="2" t="s">
        <v>240</v>
      </c>
      <c r="D2626" s="2" t="s">
        <v>42</v>
      </c>
      <c r="E2626" s="2">
        <v>990</v>
      </c>
      <c r="F2626" s="2" t="s">
        <v>100</v>
      </c>
      <c r="H2626" s="2" t="s">
        <v>35</v>
      </c>
    </row>
    <row r="2627" spans="1:8" ht="13" hidden="1">
      <c r="A2627" s="15">
        <v>45802.884570451388</v>
      </c>
      <c r="B2627" s="16">
        <v>45799</v>
      </c>
      <c r="C2627" s="2" t="s">
        <v>1053</v>
      </c>
      <c r="D2627" s="2" t="s">
        <v>38</v>
      </c>
      <c r="E2627" s="2">
        <v>312</v>
      </c>
      <c r="F2627" s="2" t="s">
        <v>102</v>
      </c>
      <c r="G2627" s="2" t="s">
        <v>103</v>
      </c>
      <c r="H2627" s="2" t="s">
        <v>35</v>
      </c>
    </row>
    <row r="2628" spans="1:8" ht="13" hidden="1">
      <c r="A2628" s="15">
        <v>45802.888184479161</v>
      </c>
      <c r="B2628" s="16">
        <v>45799</v>
      </c>
      <c r="C2628" s="2" t="s">
        <v>106</v>
      </c>
      <c r="D2628" s="2" t="s">
        <v>38</v>
      </c>
      <c r="E2628" s="2">
        <v>1100</v>
      </c>
      <c r="F2628" s="2" t="s">
        <v>102</v>
      </c>
      <c r="G2628" s="2" t="s">
        <v>952</v>
      </c>
      <c r="H2628" s="2" t="s">
        <v>35</v>
      </c>
    </row>
    <row r="2629" spans="1:8" ht="13" hidden="1">
      <c r="A2629" s="15">
        <v>45803.865079745374</v>
      </c>
      <c r="B2629" s="16">
        <v>45799</v>
      </c>
      <c r="C2629" s="2" t="s">
        <v>240</v>
      </c>
      <c r="D2629" s="2" t="s">
        <v>42</v>
      </c>
      <c r="E2629" s="2">
        <v>330</v>
      </c>
      <c r="F2629" s="2" t="s">
        <v>100</v>
      </c>
      <c r="H2629" s="2" t="s">
        <v>35</v>
      </c>
    </row>
    <row r="2630" spans="1:8" ht="13" hidden="1">
      <c r="A2630" s="15">
        <v>45803.865367430553</v>
      </c>
      <c r="B2630" s="16">
        <v>45799</v>
      </c>
      <c r="C2630" s="2" t="s">
        <v>1054</v>
      </c>
      <c r="D2630" s="2" t="s">
        <v>39</v>
      </c>
      <c r="E2630" s="2">
        <v>17583</v>
      </c>
      <c r="F2630" s="2" t="s">
        <v>100</v>
      </c>
      <c r="H2630" s="2" t="s">
        <v>35</v>
      </c>
    </row>
    <row r="2631" spans="1:8" ht="13" hidden="1">
      <c r="A2631" s="15">
        <v>45830.9585328588</v>
      </c>
      <c r="B2631" s="16">
        <v>45800</v>
      </c>
      <c r="C2631" s="2" t="s">
        <v>350</v>
      </c>
      <c r="D2631" s="2" t="s">
        <v>40</v>
      </c>
      <c r="E2631" s="2">
        <v>2000</v>
      </c>
      <c r="F2631" s="2" t="s">
        <v>100</v>
      </c>
      <c r="H2631" s="2" t="s">
        <v>35</v>
      </c>
    </row>
    <row r="2632" spans="1:8" ht="13" hidden="1">
      <c r="A2632" s="15">
        <v>45802.903713703708</v>
      </c>
      <c r="B2632" s="16">
        <v>45800</v>
      </c>
      <c r="C2632" s="2" t="s">
        <v>1055</v>
      </c>
      <c r="E2632" s="2">
        <v>385505</v>
      </c>
      <c r="H2632" s="2" t="s">
        <v>34</v>
      </c>
    </row>
    <row r="2633" spans="1:8" ht="13" hidden="1">
      <c r="A2633" s="15">
        <v>45802.885279166665</v>
      </c>
      <c r="B2633" s="16">
        <v>45801</v>
      </c>
      <c r="C2633" s="2" t="s">
        <v>1056</v>
      </c>
      <c r="D2633" s="2" t="s">
        <v>38</v>
      </c>
      <c r="E2633" s="2">
        <v>977</v>
      </c>
      <c r="F2633" s="2" t="s">
        <v>102</v>
      </c>
      <c r="G2633" s="2" t="s">
        <v>356</v>
      </c>
      <c r="H2633" s="2" t="s">
        <v>35</v>
      </c>
    </row>
    <row r="2634" spans="1:8" ht="13" hidden="1">
      <c r="A2634" s="15">
        <v>45830.959073888887</v>
      </c>
      <c r="B2634" s="16">
        <v>45801</v>
      </c>
      <c r="C2634" s="2" t="s">
        <v>240</v>
      </c>
      <c r="D2634" s="2" t="s">
        <v>42</v>
      </c>
      <c r="E2634" s="2">
        <v>330</v>
      </c>
      <c r="F2634" s="2" t="s">
        <v>100</v>
      </c>
      <c r="H2634" s="2" t="s">
        <v>35</v>
      </c>
    </row>
    <row r="2635" spans="1:8" ht="13" hidden="1">
      <c r="A2635" s="15">
        <v>45830.959872118052</v>
      </c>
      <c r="B2635" s="16">
        <v>45801</v>
      </c>
      <c r="C2635" s="2" t="s">
        <v>350</v>
      </c>
      <c r="D2635" s="2" t="s">
        <v>40</v>
      </c>
      <c r="E2635" s="2">
        <v>2000</v>
      </c>
      <c r="F2635" s="2" t="s">
        <v>100</v>
      </c>
      <c r="H2635" s="2" t="s">
        <v>35</v>
      </c>
    </row>
    <row r="2636" spans="1:8" ht="13" hidden="1">
      <c r="A2636" s="15">
        <v>45802.885624560186</v>
      </c>
      <c r="B2636" s="16">
        <v>45802</v>
      </c>
      <c r="C2636" s="2" t="s">
        <v>1057</v>
      </c>
      <c r="D2636" s="2" t="s">
        <v>38</v>
      </c>
      <c r="E2636" s="2">
        <v>322</v>
      </c>
      <c r="F2636" s="2" t="s">
        <v>102</v>
      </c>
      <c r="G2636" s="2" t="s">
        <v>356</v>
      </c>
      <c r="H2636" s="2" t="s">
        <v>35</v>
      </c>
    </row>
    <row r="2637" spans="1:8" ht="13" hidden="1">
      <c r="A2637" s="15">
        <v>45802.885892962964</v>
      </c>
      <c r="B2637" s="16">
        <v>45802</v>
      </c>
      <c r="C2637" s="2" t="s">
        <v>44</v>
      </c>
      <c r="D2637" s="2" t="s">
        <v>44</v>
      </c>
      <c r="E2637" s="2">
        <v>3280</v>
      </c>
      <c r="F2637" s="2" t="s">
        <v>102</v>
      </c>
      <c r="G2637" s="2" t="s">
        <v>132</v>
      </c>
      <c r="H2637" s="2" t="s">
        <v>35</v>
      </c>
    </row>
    <row r="2638" spans="1:8" ht="13" hidden="1">
      <c r="A2638" s="15">
        <v>45802.886304050931</v>
      </c>
      <c r="B2638" s="16">
        <v>45802</v>
      </c>
      <c r="C2638" s="2" t="s">
        <v>1058</v>
      </c>
      <c r="D2638" s="2" t="s">
        <v>39</v>
      </c>
      <c r="E2638" s="2">
        <v>9885</v>
      </c>
      <c r="F2638" s="2" t="s">
        <v>102</v>
      </c>
      <c r="H2638" s="2" t="s">
        <v>35</v>
      </c>
    </row>
    <row r="2639" spans="1:8" ht="13" hidden="1">
      <c r="A2639" s="15">
        <v>45802.88698998843</v>
      </c>
      <c r="B2639" s="16">
        <v>45802</v>
      </c>
      <c r="C2639" s="2" t="s">
        <v>1059</v>
      </c>
      <c r="D2639" s="2" t="s">
        <v>38</v>
      </c>
      <c r="E2639" s="2">
        <v>1572</v>
      </c>
      <c r="F2639" s="2" t="s">
        <v>102</v>
      </c>
      <c r="H2639" s="2" t="s">
        <v>35</v>
      </c>
    </row>
    <row r="2640" spans="1:8" ht="13" hidden="1">
      <c r="A2640" s="15">
        <v>45802.887295902779</v>
      </c>
      <c r="B2640" s="16">
        <v>45802</v>
      </c>
      <c r="C2640" s="2" t="s">
        <v>1060</v>
      </c>
      <c r="D2640" s="2" t="s">
        <v>38</v>
      </c>
      <c r="E2640" s="2">
        <v>641</v>
      </c>
      <c r="F2640" s="2" t="s">
        <v>102</v>
      </c>
      <c r="G2640" s="2" t="s">
        <v>356</v>
      </c>
      <c r="H2640" s="2" t="s">
        <v>35</v>
      </c>
    </row>
    <row r="2641" spans="1:8" ht="13" hidden="1">
      <c r="A2641" s="15">
        <v>45830.960269768519</v>
      </c>
      <c r="B2641" s="16">
        <v>45802</v>
      </c>
      <c r="C2641" s="2" t="s">
        <v>240</v>
      </c>
      <c r="D2641" s="2" t="s">
        <v>42</v>
      </c>
      <c r="E2641" s="2">
        <v>330</v>
      </c>
      <c r="F2641" s="2" t="s">
        <v>100</v>
      </c>
      <c r="H2641" s="2" t="s">
        <v>35</v>
      </c>
    </row>
    <row r="2642" spans="1:8" ht="13" hidden="1">
      <c r="A2642" s="15">
        <v>45802.967525671294</v>
      </c>
      <c r="B2642" s="16">
        <v>45803</v>
      </c>
      <c r="C2642" s="2" t="s">
        <v>1061</v>
      </c>
      <c r="D2642" s="2" t="s">
        <v>5</v>
      </c>
      <c r="E2642" s="2">
        <v>126500</v>
      </c>
      <c r="F2642" s="2" t="s">
        <v>102</v>
      </c>
      <c r="H2642" s="2" t="s">
        <v>35</v>
      </c>
    </row>
    <row r="2643" spans="1:8" ht="13" hidden="1">
      <c r="A2643" s="15">
        <v>45803.865777696759</v>
      </c>
      <c r="B2643" s="16">
        <v>45803</v>
      </c>
      <c r="C2643" s="2" t="s">
        <v>1062</v>
      </c>
      <c r="D2643" s="2" t="s">
        <v>43</v>
      </c>
      <c r="E2643" s="2">
        <v>4010</v>
      </c>
      <c r="F2643" s="2" t="s">
        <v>102</v>
      </c>
      <c r="H2643" s="2" t="s">
        <v>35</v>
      </c>
    </row>
    <row r="2644" spans="1:8" ht="13" hidden="1">
      <c r="A2644" s="15">
        <v>45803.866054791666</v>
      </c>
      <c r="B2644" s="16">
        <v>45803</v>
      </c>
      <c r="C2644" s="2" t="s">
        <v>106</v>
      </c>
      <c r="D2644" s="2" t="s">
        <v>38</v>
      </c>
      <c r="E2644" s="2">
        <v>1000</v>
      </c>
      <c r="F2644" s="2" t="s">
        <v>102</v>
      </c>
      <c r="G2644" s="2" t="s">
        <v>606</v>
      </c>
      <c r="H2644" s="2" t="s">
        <v>35</v>
      </c>
    </row>
    <row r="2645" spans="1:8" ht="13" hidden="1">
      <c r="A2645" s="15">
        <v>45830.960697245369</v>
      </c>
      <c r="B2645" s="16">
        <v>45803</v>
      </c>
      <c r="C2645" s="2" t="s">
        <v>116</v>
      </c>
      <c r="D2645" s="2" t="s">
        <v>38</v>
      </c>
      <c r="E2645" s="2">
        <v>1500</v>
      </c>
      <c r="F2645" s="2" t="s">
        <v>100</v>
      </c>
      <c r="G2645" s="2" t="s">
        <v>652</v>
      </c>
      <c r="H2645" s="2" t="s">
        <v>35</v>
      </c>
    </row>
    <row r="2646" spans="1:8" ht="13" hidden="1">
      <c r="A2646" s="15">
        <v>45802.888986574078</v>
      </c>
      <c r="B2646" s="16">
        <v>45804</v>
      </c>
      <c r="C2646" s="2" t="s">
        <v>11</v>
      </c>
      <c r="D2646" s="2" t="s">
        <v>47</v>
      </c>
      <c r="E2646" s="2">
        <v>40000</v>
      </c>
      <c r="F2646" s="2" t="s">
        <v>102</v>
      </c>
      <c r="H2646" s="2" t="s">
        <v>35</v>
      </c>
    </row>
    <row r="2647" spans="1:8" ht="13" hidden="1">
      <c r="A2647" s="15">
        <v>45802.889275162037</v>
      </c>
      <c r="B2647" s="16">
        <v>45804</v>
      </c>
      <c r="C2647" s="2" t="s">
        <v>9</v>
      </c>
      <c r="D2647" s="2" t="s">
        <v>47</v>
      </c>
      <c r="E2647" s="2">
        <v>13600</v>
      </c>
      <c r="F2647" s="2" t="s">
        <v>102</v>
      </c>
      <c r="H2647" s="2" t="s">
        <v>35</v>
      </c>
    </row>
    <row r="2648" spans="1:8" ht="13" hidden="1">
      <c r="A2648" s="15">
        <v>45802.88956585648</v>
      </c>
      <c r="B2648" s="16">
        <v>45804</v>
      </c>
      <c r="C2648" s="2" t="s">
        <v>146</v>
      </c>
      <c r="D2648" s="2" t="s">
        <v>47</v>
      </c>
      <c r="E2648" s="2">
        <v>3600</v>
      </c>
      <c r="F2648" s="2" t="s">
        <v>102</v>
      </c>
      <c r="H2648" s="2" t="s">
        <v>35</v>
      </c>
    </row>
    <row r="2649" spans="1:8" ht="13" hidden="1">
      <c r="A2649" s="15">
        <v>45802.890602476851</v>
      </c>
      <c r="B2649" s="16">
        <v>45804</v>
      </c>
      <c r="C2649" s="2" t="s">
        <v>408</v>
      </c>
      <c r="D2649" s="2" t="s">
        <v>152</v>
      </c>
      <c r="E2649" s="2">
        <v>10000</v>
      </c>
      <c r="F2649" s="2" t="s">
        <v>102</v>
      </c>
      <c r="H2649" s="2" t="s">
        <v>35</v>
      </c>
    </row>
    <row r="2650" spans="1:8" ht="13" hidden="1">
      <c r="A2650" s="15">
        <v>45802.890883553242</v>
      </c>
      <c r="B2650" s="16">
        <v>45804</v>
      </c>
      <c r="C2650" s="2" t="s">
        <v>598</v>
      </c>
      <c r="D2650" s="2" t="s">
        <v>5</v>
      </c>
      <c r="E2650" s="2">
        <v>93000</v>
      </c>
      <c r="F2650" s="2" t="s">
        <v>102</v>
      </c>
      <c r="H2650" s="2" t="s">
        <v>35</v>
      </c>
    </row>
    <row r="2651" spans="1:8" ht="13" hidden="1">
      <c r="A2651" s="15">
        <v>45802.891190439812</v>
      </c>
      <c r="B2651" s="16">
        <v>45804</v>
      </c>
      <c r="C2651" s="2" t="s">
        <v>133</v>
      </c>
      <c r="D2651" s="2" t="s">
        <v>47</v>
      </c>
      <c r="E2651" s="2">
        <v>20000</v>
      </c>
      <c r="F2651" s="2" t="s">
        <v>102</v>
      </c>
      <c r="H2651" s="2" t="s">
        <v>35</v>
      </c>
    </row>
    <row r="2652" spans="1:8" ht="13" hidden="1">
      <c r="A2652" s="15">
        <v>45812.869385497688</v>
      </c>
      <c r="B2652" s="16">
        <v>45804</v>
      </c>
      <c r="C2652" s="2" t="s">
        <v>106</v>
      </c>
      <c r="D2652" s="2" t="s">
        <v>38</v>
      </c>
      <c r="E2652" s="2">
        <v>1200</v>
      </c>
      <c r="F2652" s="2" t="s">
        <v>102</v>
      </c>
      <c r="H2652" s="2" t="s">
        <v>35</v>
      </c>
    </row>
    <row r="2653" spans="1:8" ht="13" hidden="1">
      <c r="A2653" s="15">
        <v>45830.960972870365</v>
      </c>
      <c r="B2653" s="16">
        <v>45804</v>
      </c>
      <c r="C2653" s="2" t="s">
        <v>368</v>
      </c>
      <c r="D2653" s="2" t="s">
        <v>39</v>
      </c>
      <c r="E2653" s="2">
        <v>1180</v>
      </c>
      <c r="F2653" s="2" t="s">
        <v>100</v>
      </c>
      <c r="H2653" s="2" t="s">
        <v>35</v>
      </c>
    </row>
    <row r="2654" spans="1:8" ht="13" hidden="1">
      <c r="A2654" s="15">
        <v>45830.961507962958</v>
      </c>
      <c r="B2654" s="16">
        <v>45804</v>
      </c>
      <c r="C2654" s="2" t="s">
        <v>1063</v>
      </c>
      <c r="D2654" s="2" t="s">
        <v>39</v>
      </c>
      <c r="E2654" s="2">
        <v>500</v>
      </c>
      <c r="F2654" s="2" t="s">
        <v>100</v>
      </c>
      <c r="H2654" s="2" t="s">
        <v>35</v>
      </c>
    </row>
    <row r="2655" spans="1:8" ht="13" hidden="1">
      <c r="A2655" s="15">
        <v>45830.973073958332</v>
      </c>
      <c r="B2655" s="16">
        <v>45810</v>
      </c>
      <c r="C2655" s="2" t="s">
        <v>811</v>
      </c>
      <c r="D2655" s="2" t="s">
        <v>45</v>
      </c>
      <c r="E2655" s="2">
        <v>1080</v>
      </c>
      <c r="F2655" s="2" t="s">
        <v>100</v>
      </c>
      <c r="G2655" s="2" t="s">
        <v>129</v>
      </c>
      <c r="H2655" s="2" t="s">
        <v>35</v>
      </c>
    </row>
    <row r="2656" spans="1:8" ht="13" hidden="1">
      <c r="A2656" s="15">
        <v>45812.863690219907</v>
      </c>
      <c r="B2656" s="16">
        <v>45805</v>
      </c>
      <c r="C2656" s="2" t="s">
        <v>114</v>
      </c>
      <c r="D2656" s="2" t="s">
        <v>38</v>
      </c>
      <c r="E2656" s="2">
        <v>431</v>
      </c>
      <c r="F2656" s="2" t="s">
        <v>102</v>
      </c>
      <c r="G2656" s="2" t="s">
        <v>356</v>
      </c>
      <c r="H2656" s="2" t="s">
        <v>35</v>
      </c>
    </row>
    <row r="2657" spans="1:8" ht="13" hidden="1">
      <c r="A2657" s="15">
        <v>45830.963851689812</v>
      </c>
      <c r="B2657" s="16">
        <v>45805</v>
      </c>
      <c r="C2657" s="2" t="s">
        <v>158</v>
      </c>
      <c r="D2657" s="2" t="s">
        <v>49</v>
      </c>
      <c r="E2657" s="2">
        <v>4980</v>
      </c>
      <c r="F2657" s="2" t="s">
        <v>100</v>
      </c>
      <c r="H2657" s="2" t="s">
        <v>35</v>
      </c>
    </row>
    <row r="2658" spans="1:8" ht="13" hidden="1">
      <c r="A2658" s="15">
        <v>45812.86396599537</v>
      </c>
      <c r="B2658" s="16">
        <v>45806</v>
      </c>
      <c r="C2658" s="2" t="s">
        <v>199</v>
      </c>
      <c r="D2658" s="2" t="s">
        <v>38</v>
      </c>
      <c r="E2658" s="2">
        <v>690</v>
      </c>
      <c r="F2658" s="2" t="s">
        <v>102</v>
      </c>
      <c r="H2658" s="2" t="s">
        <v>35</v>
      </c>
    </row>
    <row r="2659" spans="1:8" ht="13" hidden="1">
      <c r="A2659" s="15">
        <v>45812.869897488425</v>
      </c>
      <c r="B2659" s="16">
        <v>45806</v>
      </c>
      <c r="C2659" s="2" t="s">
        <v>323</v>
      </c>
      <c r="D2659" s="2" t="s">
        <v>38</v>
      </c>
      <c r="E2659" s="2">
        <v>1300</v>
      </c>
      <c r="F2659" s="2" t="s">
        <v>102</v>
      </c>
      <c r="G2659" s="2" t="s">
        <v>965</v>
      </c>
      <c r="H2659" s="2" t="s">
        <v>35</v>
      </c>
    </row>
    <row r="2660" spans="1:8" ht="13" hidden="1">
      <c r="A2660" s="15">
        <v>45830.964165798607</v>
      </c>
      <c r="B2660" s="16">
        <v>45806</v>
      </c>
      <c r="C2660" s="2" t="s">
        <v>240</v>
      </c>
      <c r="D2660" s="2" t="s">
        <v>42</v>
      </c>
      <c r="E2660" s="2">
        <v>990</v>
      </c>
      <c r="F2660" s="2" t="s">
        <v>100</v>
      </c>
      <c r="H2660" s="2" t="s">
        <v>35</v>
      </c>
    </row>
    <row r="2661" spans="1:8" ht="13" hidden="1">
      <c r="A2661" s="15">
        <v>45830.965198807869</v>
      </c>
      <c r="B2661" s="16">
        <v>45806</v>
      </c>
      <c r="C2661" s="2" t="s">
        <v>409</v>
      </c>
      <c r="D2661" s="2" t="s">
        <v>40</v>
      </c>
      <c r="E2661" s="2">
        <v>12860</v>
      </c>
      <c r="F2661" s="2" t="s">
        <v>100</v>
      </c>
      <c r="H2661" s="2" t="s">
        <v>35</v>
      </c>
    </row>
    <row r="2662" spans="1:8" ht="13" hidden="1">
      <c r="A2662" s="15">
        <v>45812.864398923615</v>
      </c>
      <c r="B2662" s="16">
        <v>45807</v>
      </c>
      <c r="C2662" s="2" t="s">
        <v>114</v>
      </c>
      <c r="D2662" s="2" t="s">
        <v>38</v>
      </c>
      <c r="E2662" s="2">
        <v>149</v>
      </c>
      <c r="F2662" s="2" t="s">
        <v>102</v>
      </c>
      <c r="G2662" s="2" t="s">
        <v>103</v>
      </c>
      <c r="H2662" s="2" t="s">
        <v>35</v>
      </c>
    </row>
    <row r="2663" spans="1:8" ht="13" hidden="1">
      <c r="A2663" s="15">
        <v>45812.86469289352</v>
      </c>
      <c r="B2663" s="16">
        <v>45807</v>
      </c>
      <c r="C2663" s="2" t="s">
        <v>112</v>
      </c>
      <c r="D2663" s="2" t="s">
        <v>38</v>
      </c>
      <c r="E2663" s="2">
        <v>280</v>
      </c>
      <c r="F2663" s="2" t="s">
        <v>102</v>
      </c>
      <c r="G2663" s="2" t="s">
        <v>113</v>
      </c>
      <c r="H2663" s="2" t="s">
        <v>35</v>
      </c>
    </row>
    <row r="2664" spans="1:8" ht="13" hidden="1">
      <c r="A2664" s="15">
        <v>45812.865055497685</v>
      </c>
      <c r="B2664" s="16">
        <v>45807</v>
      </c>
      <c r="C2664" s="2" t="s">
        <v>1064</v>
      </c>
      <c r="D2664" s="2" t="s">
        <v>38</v>
      </c>
      <c r="E2664" s="2">
        <v>524</v>
      </c>
      <c r="F2664" s="2" t="s">
        <v>102</v>
      </c>
      <c r="G2664" s="2" t="s">
        <v>661</v>
      </c>
      <c r="H2664" s="2" t="s">
        <v>35</v>
      </c>
    </row>
    <row r="2665" spans="1:8" ht="13" hidden="1">
      <c r="A2665" s="15">
        <v>45812.870704641202</v>
      </c>
      <c r="B2665" s="16">
        <v>45807</v>
      </c>
      <c r="C2665" s="2" t="s">
        <v>154</v>
      </c>
      <c r="D2665" s="2" t="s">
        <v>38</v>
      </c>
      <c r="E2665" s="2">
        <v>500</v>
      </c>
      <c r="F2665" s="2" t="s">
        <v>102</v>
      </c>
      <c r="H2665" s="2" t="s">
        <v>35</v>
      </c>
    </row>
    <row r="2666" spans="1:8" ht="13" hidden="1">
      <c r="A2666" s="15">
        <v>45830.966573321755</v>
      </c>
      <c r="B2666" s="16">
        <v>45807</v>
      </c>
      <c r="C2666" s="2" t="s">
        <v>350</v>
      </c>
      <c r="D2666" s="2" t="s">
        <v>40</v>
      </c>
      <c r="E2666" s="2">
        <v>2000</v>
      </c>
      <c r="F2666" s="2" t="s">
        <v>100</v>
      </c>
      <c r="H2666" s="2" t="s">
        <v>35</v>
      </c>
    </row>
    <row r="2667" spans="1:8" ht="13" hidden="1">
      <c r="A2667" s="15">
        <v>45812.865384999997</v>
      </c>
      <c r="B2667" s="16">
        <v>45808</v>
      </c>
      <c r="C2667" s="2" t="s">
        <v>1065</v>
      </c>
      <c r="D2667" s="2" t="s">
        <v>39</v>
      </c>
      <c r="E2667" s="2">
        <v>1600</v>
      </c>
      <c r="F2667" s="2" t="s">
        <v>102</v>
      </c>
      <c r="H2667" s="2" t="s">
        <v>35</v>
      </c>
    </row>
    <row r="2668" spans="1:8" ht="13" hidden="1">
      <c r="A2668" s="15">
        <v>45812.865784791662</v>
      </c>
      <c r="B2668" s="16">
        <v>45808</v>
      </c>
      <c r="C2668" s="2" t="s">
        <v>884</v>
      </c>
      <c r="D2668" s="2" t="s">
        <v>38</v>
      </c>
      <c r="E2668" s="2">
        <v>284</v>
      </c>
      <c r="F2668" s="2" t="s">
        <v>102</v>
      </c>
      <c r="G2668" s="2" t="s">
        <v>103</v>
      </c>
      <c r="H2668" s="2" t="s">
        <v>35</v>
      </c>
    </row>
    <row r="2669" spans="1:8" ht="13" hidden="1">
      <c r="A2669" s="15">
        <v>45797.959578530092</v>
      </c>
      <c r="B2669" s="16">
        <v>45793</v>
      </c>
      <c r="C2669" s="2" t="s">
        <v>682</v>
      </c>
      <c r="D2669" s="2" t="s">
        <v>45</v>
      </c>
      <c r="E2669" s="2">
        <v>1058</v>
      </c>
      <c r="F2669" s="2" t="s">
        <v>102</v>
      </c>
      <c r="G2669" s="2" t="s">
        <v>285</v>
      </c>
      <c r="H2669" s="2" t="s">
        <v>35</v>
      </c>
    </row>
    <row r="2670" spans="1:8" ht="13" hidden="1">
      <c r="A2670" s="15">
        <v>45812.866068831019</v>
      </c>
      <c r="B2670" s="16">
        <v>45809</v>
      </c>
      <c r="C2670" s="2" t="s">
        <v>1066</v>
      </c>
      <c r="D2670" s="2" t="s">
        <v>38</v>
      </c>
      <c r="E2670" s="2">
        <v>2910</v>
      </c>
      <c r="F2670" s="2" t="s">
        <v>102</v>
      </c>
      <c r="H2670" s="2" t="s">
        <v>35</v>
      </c>
    </row>
    <row r="2671" spans="1:8" ht="13" hidden="1">
      <c r="A2671" s="15">
        <v>45812.86634709491</v>
      </c>
      <c r="B2671" s="16">
        <v>45809</v>
      </c>
      <c r="C2671" s="2" t="s">
        <v>44</v>
      </c>
      <c r="D2671" s="2" t="s">
        <v>44</v>
      </c>
      <c r="E2671" s="2">
        <v>2570</v>
      </c>
      <c r="F2671" s="2" t="s">
        <v>102</v>
      </c>
      <c r="G2671" s="2" t="s">
        <v>354</v>
      </c>
      <c r="H2671" s="2" t="s">
        <v>35</v>
      </c>
    </row>
    <row r="2672" spans="1:8" ht="13" hidden="1">
      <c r="A2672" s="15">
        <v>45812.867007256944</v>
      </c>
      <c r="B2672" s="16">
        <v>45809</v>
      </c>
      <c r="C2672" s="2" t="s">
        <v>332</v>
      </c>
      <c r="D2672" s="2" t="s">
        <v>38</v>
      </c>
      <c r="E2672" s="2">
        <v>1392</v>
      </c>
      <c r="F2672" s="2" t="s">
        <v>102</v>
      </c>
      <c r="H2672" s="2" t="s">
        <v>35</v>
      </c>
    </row>
    <row r="2673" spans="1:8" ht="13" hidden="1">
      <c r="A2673" s="15">
        <v>45697.63345768518</v>
      </c>
      <c r="B2673" s="16">
        <v>45697</v>
      </c>
      <c r="C2673" s="2" t="s">
        <v>715</v>
      </c>
      <c r="D2673" s="2" t="s">
        <v>45</v>
      </c>
      <c r="E2673" s="2">
        <v>995</v>
      </c>
      <c r="F2673" s="2" t="s">
        <v>102</v>
      </c>
      <c r="G2673" s="2" t="s">
        <v>285</v>
      </c>
      <c r="H2673" s="2" t="s">
        <v>35</v>
      </c>
    </row>
    <row r="2674" spans="1:8" ht="13" hidden="1">
      <c r="A2674" s="15">
        <v>45830.96760758102</v>
      </c>
      <c r="B2674" s="16">
        <v>45809</v>
      </c>
      <c r="C2674" s="2" t="s">
        <v>248</v>
      </c>
      <c r="D2674" s="2" t="s">
        <v>49</v>
      </c>
      <c r="E2674" s="2">
        <v>700</v>
      </c>
      <c r="F2674" s="2" t="s">
        <v>100</v>
      </c>
      <c r="G2674" s="2" t="s">
        <v>179</v>
      </c>
      <c r="H2674" s="2" t="s">
        <v>35</v>
      </c>
    </row>
    <row r="2675" spans="1:8" ht="13" hidden="1">
      <c r="A2675" s="15">
        <v>45830.968140879631</v>
      </c>
      <c r="B2675" s="16">
        <v>45809</v>
      </c>
      <c r="C2675" s="2" t="s">
        <v>1067</v>
      </c>
      <c r="D2675" s="2" t="s">
        <v>49</v>
      </c>
      <c r="E2675" s="2">
        <v>500</v>
      </c>
      <c r="F2675" s="2" t="s">
        <v>100</v>
      </c>
      <c r="G2675" s="2" t="s">
        <v>179</v>
      </c>
      <c r="H2675" s="2" t="s">
        <v>35</v>
      </c>
    </row>
    <row r="2676" spans="1:8" ht="13" hidden="1">
      <c r="A2676" s="15">
        <v>45710.87236739583</v>
      </c>
      <c r="B2676" s="16">
        <v>45697</v>
      </c>
      <c r="C2676" s="2" t="s">
        <v>1068</v>
      </c>
      <c r="D2676" s="2" t="s">
        <v>45</v>
      </c>
      <c r="E2676" s="2">
        <v>980</v>
      </c>
      <c r="F2676" s="2" t="s">
        <v>100</v>
      </c>
      <c r="G2676" s="2" t="s">
        <v>696</v>
      </c>
      <c r="H2676" s="2" t="s">
        <v>35</v>
      </c>
    </row>
    <row r="2677" spans="1:8" ht="13" hidden="1">
      <c r="A2677" s="15">
        <v>45812.867731087958</v>
      </c>
      <c r="B2677" s="16">
        <v>45810</v>
      </c>
      <c r="C2677" s="2" t="s">
        <v>112</v>
      </c>
      <c r="D2677" s="2" t="s">
        <v>38</v>
      </c>
      <c r="E2677" s="2">
        <v>360</v>
      </c>
      <c r="F2677" s="2" t="s">
        <v>102</v>
      </c>
      <c r="G2677" s="2" t="s">
        <v>880</v>
      </c>
      <c r="H2677" s="2" t="s">
        <v>35</v>
      </c>
    </row>
    <row r="2678" spans="1:8" ht="13" hidden="1">
      <c r="A2678" s="15">
        <v>45812.867992916668</v>
      </c>
      <c r="B2678" s="16">
        <v>45810</v>
      </c>
      <c r="C2678" s="2" t="s">
        <v>112</v>
      </c>
      <c r="D2678" s="2" t="s">
        <v>38</v>
      </c>
      <c r="E2678" s="2">
        <v>760</v>
      </c>
      <c r="F2678" s="2" t="s">
        <v>102</v>
      </c>
      <c r="G2678" s="2" t="s">
        <v>113</v>
      </c>
      <c r="H2678" s="2" t="s">
        <v>35</v>
      </c>
    </row>
    <row r="2679" spans="1:8" ht="13" hidden="1">
      <c r="A2679" s="15">
        <v>45812.868238541661</v>
      </c>
      <c r="B2679" s="16">
        <v>45810</v>
      </c>
      <c r="C2679" s="2" t="s">
        <v>518</v>
      </c>
      <c r="D2679" s="2" t="s">
        <v>38</v>
      </c>
      <c r="E2679" s="2">
        <v>180</v>
      </c>
      <c r="F2679" s="2" t="s">
        <v>102</v>
      </c>
      <c r="G2679" s="2" t="s">
        <v>356</v>
      </c>
      <c r="H2679" s="2" t="s">
        <v>35</v>
      </c>
    </row>
    <row r="2680" spans="1:8" ht="13" hidden="1">
      <c r="A2680" s="15">
        <v>45830.968809467595</v>
      </c>
      <c r="B2680" s="16">
        <v>45810</v>
      </c>
      <c r="C2680" s="2" t="s">
        <v>26</v>
      </c>
      <c r="D2680" s="2" t="s">
        <v>41</v>
      </c>
      <c r="E2680" s="2">
        <v>4214</v>
      </c>
      <c r="F2680" s="2" t="s">
        <v>100</v>
      </c>
      <c r="H2680" s="2" t="s">
        <v>35</v>
      </c>
    </row>
    <row r="2681" spans="1:8" ht="13" hidden="1">
      <c r="A2681" s="15">
        <v>45830.969306030092</v>
      </c>
      <c r="B2681" s="16">
        <v>45810</v>
      </c>
      <c r="C2681" s="2" t="s">
        <v>350</v>
      </c>
      <c r="D2681" s="2" t="s">
        <v>40</v>
      </c>
      <c r="E2681" s="2">
        <v>2000</v>
      </c>
      <c r="F2681" s="2" t="s">
        <v>100</v>
      </c>
      <c r="H2681" s="2" t="s">
        <v>35</v>
      </c>
    </row>
    <row r="2682" spans="1:8" ht="13" hidden="1">
      <c r="A2682" s="15">
        <v>45830.970152511574</v>
      </c>
      <c r="B2682" s="16">
        <v>45810</v>
      </c>
      <c r="C2682" s="2" t="s">
        <v>240</v>
      </c>
      <c r="D2682" s="2" t="s">
        <v>42</v>
      </c>
      <c r="E2682" s="2">
        <v>990</v>
      </c>
      <c r="F2682" s="2" t="s">
        <v>100</v>
      </c>
      <c r="H2682" s="2" t="s">
        <v>35</v>
      </c>
    </row>
    <row r="2683" spans="1:8" ht="13" hidden="1">
      <c r="A2683" s="15">
        <v>45871.649929594903</v>
      </c>
      <c r="B2683" s="16">
        <v>45864</v>
      </c>
      <c r="C2683" s="2" t="s">
        <v>1068</v>
      </c>
      <c r="D2683" s="2" t="s">
        <v>45</v>
      </c>
      <c r="E2683" s="2">
        <v>980</v>
      </c>
      <c r="F2683" s="2" t="s">
        <v>100</v>
      </c>
      <c r="G2683" s="2" t="s">
        <v>696</v>
      </c>
      <c r="H2683" s="2" t="s">
        <v>35</v>
      </c>
    </row>
    <row r="2684" spans="1:8" ht="13" hidden="1">
      <c r="A2684" s="15">
        <v>45760.733623761575</v>
      </c>
      <c r="B2684" s="16">
        <v>45749</v>
      </c>
      <c r="C2684" s="2" t="s">
        <v>104</v>
      </c>
      <c r="D2684" s="2" t="s">
        <v>45</v>
      </c>
      <c r="E2684" s="2">
        <v>940</v>
      </c>
      <c r="F2684" s="2" t="s">
        <v>102</v>
      </c>
      <c r="G2684" s="2" t="s">
        <v>285</v>
      </c>
      <c r="H2684" s="2" t="s">
        <v>35</v>
      </c>
    </row>
    <row r="2685" spans="1:8" ht="13" hidden="1">
      <c r="A2685" s="15">
        <v>45812.868534120367</v>
      </c>
      <c r="B2685" s="16">
        <v>45811</v>
      </c>
      <c r="C2685" s="2" t="s">
        <v>236</v>
      </c>
      <c r="D2685" s="2" t="s">
        <v>43</v>
      </c>
      <c r="E2685" s="2">
        <v>316</v>
      </c>
      <c r="F2685" s="2" t="s">
        <v>102</v>
      </c>
      <c r="G2685" s="2" t="s">
        <v>1035</v>
      </c>
      <c r="H2685" s="2" t="s">
        <v>35</v>
      </c>
    </row>
    <row r="2686" spans="1:8" ht="13" hidden="1">
      <c r="A2686" s="15">
        <v>45812.868785497689</v>
      </c>
      <c r="B2686" s="16">
        <v>45811</v>
      </c>
      <c r="C2686" s="2" t="s">
        <v>1037</v>
      </c>
      <c r="D2686" s="2" t="s">
        <v>38</v>
      </c>
      <c r="E2686" s="2">
        <v>583</v>
      </c>
      <c r="F2686" s="2" t="s">
        <v>102</v>
      </c>
      <c r="G2686" s="2" t="s">
        <v>356</v>
      </c>
      <c r="H2686" s="2" t="s">
        <v>35</v>
      </c>
    </row>
    <row r="2687" spans="1:8" ht="13" hidden="1">
      <c r="A2687" s="15">
        <v>45738.866361944441</v>
      </c>
      <c r="B2687" s="16">
        <v>45737</v>
      </c>
      <c r="C2687" s="2" t="s">
        <v>1069</v>
      </c>
      <c r="D2687" s="2" t="s">
        <v>45</v>
      </c>
      <c r="E2687" s="2">
        <v>878</v>
      </c>
      <c r="F2687" s="2" t="s">
        <v>102</v>
      </c>
      <c r="G2687" s="2" t="s">
        <v>285</v>
      </c>
      <c r="H2687" s="2" t="s">
        <v>35</v>
      </c>
    </row>
    <row r="2688" spans="1:8" ht="13" hidden="1">
      <c r="A2688" s="15">
        <v>45844.96206824074</v>
      </c>
      <c r="B2688" s="16">
        <v>45811</v>
      </c>
      <c r="C2688" s="2" t="s">
        <v>116</v>
      </c>
      <c r="D2688" s="2" t="s">
        <v>38</v>
      </c>
      <c r="E2688" s="2">
        <v>979</v>
      </c>
      <c r="F2688" s="2" t="s">
        <v>100</v>
      </c>
      <c r="G2688" s="2" t="s">
        <v>626</v>
      </c>
      <c r="H2688" s="2" t="s">
        <v>35</v>
      </c>
    </row>
    <row r="2689" spans="1:8" ht="13" hidden="1">
      <c r="A2689" s="15">
        <v>45690.54589425926</v>
      </c>
      <c r="B2689" s="16">
        <v>45690</v>
      </c>
      <c r="C2689" s="2" t="s">
        <v>779</v>
      </c>
      <c r="D2689" s="2" t="s">
        <v>45</v>
      </c>
      <c r="E2689" s="2">
        <v>871</v>
      </c>
      <c r="F2689" s="2" t="s">
        <v>102</v>
      </c>
      <c r="G2689" s="2" t="s">
        <v>285</v>
      </c>
      <c r="H2689" s="2" t="s">
        <v>35</v>
      </c>
    </row>
    <row r="2690" spans="1:8" ht="13" hidden="1">
      <c r="A2690" s="15">
        <v>45812.870523831021</v>
      </c>
      <c r="B2690" s="16">
        <v>45812</v>
      </c>
      <c r="C2690" s="2" t="s">
        <v>154</v>
      </c>
      <c r="D2690" s="2" t="s">
        <v>38</v>
      </c>
      <c r="E2690" s="2">
        <v>500</v>
      </c>
      <c r="F2690" s="2" t="s">
        <v>102</v>
      </c>
      <c r="H2690" s="2" t="s">
        <v>35</v>
      </c>
    </row>
    <row r="2691" spans="1:8" ht="13" hidden="1">
      <c r="A2691" s="15">
        <v>45891.895581261575</v>
      </c>
      <c r="B2691" s="16">
        <v>45883</v>
      </c>
      <c r="C2691" s="2" t="s">
        <v>45</v>
      </c>
      <c r="D2691" s="2" t="s">
        <v>45</v>
      </c>
      <c r="E2691" s="2">
        <v>869</v>
      </c>
      <c r="F2691" s="2" t="s">
        <v>102</v>
      </c>
      <c r="G2691" s="2" t="s">
        <v>285</v>
      </c>
      <c r="H2691" s="2" t="s">
        <v>35</v>
      </c>
    </row>
    <row r="2692" spans="1:8" ht="13" hidden="1">
      <c r="A2692" s="15">
        <v>45844.963518368051</v>
      </c>
      <c r="B2692" s="16">
        <v>45812</v>
      </c>
      <c r="C2692" s="2" t="s">
        <v>183</v>
      </c>
      <c r="D2692" s="2" t="s">
        <v>46</v>
      </c>
      <c r="E2692" s="2">
        <v>1307</v>
      </c>
      <c r="F2692" s="2" t="s">
        <v>100</v>
      </c>
      <c r="G2692" s="2" t="s">
        <v>129</v>
      </c>
      <c r="H2692" s="2" t="s">
        <v>35</v>
      </c>
    </row>
    <row r="2693" spans="1:8" ht="13" hidden="1">
      <c r="A2693" s="15">
        <v>45722.859413333332</v>
      </c>
      <c r="B2693" s="16">
        <v>45714</v>
      </c>
      <c r="C2693" s="2" t="s">
        <v>715</v>
      </c>
      <c r="D2693" s="2" t="s">
        <v>45</v>
      </c>
      <c r="E2693" s="2">
        <v>857</v>
      </c>
      <c r="F2693" s="2" t="s">
        <v>102</v>
      </c>
      <c r="G2693" s="2" t="s">
        <v>285</v>
      </c>
      <c r="H2693" s="2" t="s">
        <v>35</v>
      </c>
    </row>
    <row r="2694" spans="1:8" ht="13" hidden="1">
      <c r="A2694" s="15">
        <v>45823.431080150462</v>
      </c>
      <c r="B2694" s="16">
        <v>45813</v>
      </c>
      <c r="C2694" s="2" t="s">
        <v>110</v>
      </c>
      <c r="D2694" s="2" t="s">
        <v>38</v>
      </c>
      <c r="E2694" s="2">
        <v>480</v>
      </c>
      <c r="F2694" s="2" t="s">
        <v>102</v>
      </c>
      <c r="G2694" s="2" t="s">
        <v>593</v>
      </c>
      <c r="H2694" s="2" t="s">
        <v>35</v>
      </c>
    </row>
    <row r="2695" spans="1:8" ht="13" hidden="1">
      <c r="A2695" s="15">
        <v>45823.431351736115</v>
      </c>
      <c r="B2695" s="16">
        <v>45813</v>
      </c>
      <c r="C2695" s="2" t="s">
        <v>1070</v>
      </c>
      <c r="D2695" s="2" t="s">
        <v>38</v>
      </c>
      <c r="E2695" s="2">
        <v>227</v>
      </c>
      <c r="F2695" s="2" t="s">
        <v>102</v>
      </c>
      <c r="G2695" s="2" t="s">
        <v>107</v>
      </c>
      <c r="H2695" s="2" t="s">
        <v>35</v>
      </c>
    </row>
    <row r="2696" spans="1:8" ht="13" hidden="1">
      <c r="A2696" s="15">
        <v>45891.902248078703</v>
      </c>
      <c r="B2696" s="16">
        <v>45891</v>
      </c>
      <c r="C2696" s="2" t="s">
        <v>1071</v>
      </c>
      <c r="D2696" s="2" t="s">
        <v>38</v>
      </c>
      <c r="E2696" s="2">
        <v>183</v>
      </c>
      <c r="F2696" s="2" t="s">
        <v>102</v>
      </c>
      <c r="G2696" s="2" t="s">
        <v>356</v>
      </c>
      <c r="H2696" s="2" t="s">
        <v>35</v>
      </c>
    </row>
    <row r="2697" spans="1:8" ht="13" hidden="1">
      <c r="A2697" s="15">
        <v>45844.964453553242</v>
      </c>
      <c r="B2697" s="16">
        <v>45813</v>
      </c>
      <c r="C2697" s="2" t="s">
        <v>176</v>
      </c>
      <c r="D2697" s="2" t="s">
        <v>41</v>
      </c>
      <c r="E2697" s="2">
        <v>3124</v>
      </c>
      <c r="F2697" s="2" t="s">
        <v>100</v>
      </c>
      <c r="H2697" s="2" t="s">
        <v>35</v>
      </c>
    </row>
    <row r="2698" spans="1:8" ht="13" hidden="1">
      <c r="A2698" s="15">
        <v>45844.964750046296</v>
      </c>
      <c r="B2698" s="16">
        <v>45813</v>
      </c>
      <c r="C2698" s="2" t="s">
        <v>350</v>
      </c>
      <c r="D2698" s="2" t="s">
        <v>40</v>
      </c>
      <c r="E2698" s="2">
        <v>2000</v>
      </c>
      <c r="F2698" s="2" t="s">
        <v>100</v>
      </c>
      <c r="H2698" s="2" t="s">
        <v>35</v>
      </c>
    </row>
    <row r="2699" spans="1:8" ht="13" hidden="1">
      <c r="A2699" s="15">
        <v>45823.431998506945</v>
      </c>
      <c r="B2699" s="16">
        <v>45814</v>
      </c>
      <c r="C2699" s="2" t="s">
        <v>398</v>
      </c>
      <c r="D2699" s="2" t="s">
        <v>38</v>
      </c>
      <c r="E2699" s="2">
        <v>118</v>
      </c>
      <c r="F2699" s="2" t="s">
        <v>102</v>
      </c>
      <c r="G2699" s="2" t="s">
        <v>356</v>
      </c>
      <c r="H2699" s="2" t="s">
        <v>35</v>
      </c>
    </row>
    <row r="2700" spans="1:8" ht="13" hidden="1">
      <c r="A2700" s="15">
        <v>45823.432266365737</v>
      </c>
      <c r="B2700" s="16">
        <v>45814</v>
      </c>
      <c r="C2700" s="2" t="s">
        <v>1072</v>
      </c>
      <c r="D2700" s="2" t="s">
        <v>38</v>
      </c>
      <c r="E2700" s="2">
        <v>1300</v>
      </c>
      <c r="F2700" s="2" t="s">
        <v>102</v>
      </c>
      <c r="G2700" s="2" t="s">
        <v>1073</v>
      </c>
      <c r="H2700" s="2" t="s">
        <v>35</v>
      </c>
    </row>
    <row r="2701" spans="1:8" ht="13" hidden="1">
      <c r="A2701" s="15">
        <v>45823.4325393287</v>
      </c>
      <c r="B2701" s="16">
        <v>45814</v>
      </c>
      <c r="C2701" s="2" t="s">
        <v>1074</v>
      </c>
      <c r="D2701" s="2" t="s">
        <v>38</v>
      </c>
      <c r="E2701" s="2">
        <v>900</v>
      </c>
      <c r="F2701" s="2" t="s">
        <v>102</v>
      </c>
      <c r="G2701" s="2" t="s">
        <v>1075</v>
      </c>
      <c r="H2701" s="2" t="s">
        <v>35</v>
      </c>
    </row>
    <row r="2702" spans="1:8" ht="13" hidden="1">
      <c r="A2702" s="15">
        <v>45823.442926469907</v>
      </c>
      <c r="B2702" s="16">
        <v>45814</v>
      </c>
      <c r="C2702" s="2" t="s">
        <v>258</v>
      </c>
      <c r="E2702" s="2">
        <v>7118</v>
      </c>
      <c r="H2702" s="2" t="s">
        <v>34</v>
      </c>
    </row>
    <row r="2703" spans="1:8" ht="13" hidden="1">
      <c r="A2703" s="15">
        <v>45823.4329244213</v>
      </c>
      <c r="B2703" s="16">
        <v>45815</v>
      </c>
      <c r="C2703" s="2" t="s">
        <v>110</v>
      </c>
      <c r="D2703" s="2" t="s">
        <v>38</v>
      </c>
      <c r="E2703" s="2">
        <v>836</v>
      </c>
      <c r="F2703" s="2" t="s">
        <v>102</v>
      </c>
      <c r="G2703" s="2" t="s">
        <v>1076</v>
      </c>
      <c r="H2703" s="2" t="s">
        <v>35</v>
      </c>
    </row>
    <row r="2704" spans="1:8" ht="13" hidden="1">
      <c r="A2704" s="15">
        <v>45823.433204988425</v>
      </c>
      <c r="B2704" s="16">
        <v>45815</v>
      </c>
      <c r="C2704" s="2" t="s">
        <v>398</v>
      </c>
      <c r="D2704" s="2" t="s">
        <v>38</v>
      </c>
      <c r="E2704" s="2">
        <v>118</v>
      </c>
      <c r="F2704" s="2" t="s">
        <v>102</v>
      </c>
      <c r="G2704" s="2" t="s">
        <v>356</v>
      </c>
      <c r="H2704" s="2" t="s">
        <v>35</v>
      </c>
    </row>
    <row r="2705" spans="1:8" ht="13" hidden="1">
      <c r="A2705" s="15">
        <v>45823.433669039354</v>
      </c>
      <c r="B2705" s="16">
        <v>45815</v>
      </c>
      <c r="C2705" s="2" t="s">
        <v>112</v>
      </c>
      <c r="D2705" s="2" t="s">
        <v>38</v>
      </c>
      <c r="E2705" s="2">
        <v>550</v>
      </c>
      <c r="F2705" s="2" t="s">
        <v>102</v>
      </c>
      <c r="G2705" s="2" t="s">
        <v>1077</v>
      </c>
      <c r="H2705" s="2" t="s">
        <v>35</v>
      </c>
    </row>
    <row r="2706" spans="1:8" ht="13" hidden="1">
      <c r="A2706" s="15">
        <v>45823.43390167824</v>
      </c>
      <c r="B2706" s="16">
        <v>45815</v>
      </c>
      <c r="C2706" s="2" t="s">
        <v>112</v>
      </c>
      <c r="D2706" s="2" t="s">
        <v>38</v>
      </c>
      <c r="E2706" s="2">
        <v>510</v>
      </c>
      <c r="F2706" s="2" t="s">
        <v>102</v>
      </c>
      <c r="H2706" s="2" t="s">
        <v>35</v>
      </c>
    </row>
    <row r="2707" spans="1:8" ht="13" hidden="1">
      <c r="A2707" s="15">
        <v>45823.434232314816</v>
      </c>
      <c r="B2707" s="16">
        <v>45815</v>
      </c>
      <c r="C2707" s="2" t="s">
        <v>1078</v>
      </c>
      <c r="D2707" s="2" t="s">
        <v>39</v>
      </c>
      <c r="E2707" s="2">
        <v>803</v>
      </c>
      <c r="F2707" s="2" t="s">
        <v>102</v>
      </c>
      <c r="G2707" s="2" t="s">
        <v>1079</v>
      </c>
      <c r="H2707" s="2" t="s">
        <v>35</v>
      </c>
    </row>
    <row r="2708" spans="1:8" ht="13" hidden="1">
      <c r="A2708" s="15">
        <v>45823.434594386577</v>
      </c>
      <c r="B2708" s="16">
        <v>45815</v>
      </c>
      <c r="C2708" s="2" t="s">
        <v>1080</v>
      </c>
      <c r="D2708" s="2" t="s">
        <v>39</v>
      </c>
      <c r="E2708" s="2">
        <v>612</v>
      </c>
      <c r="F2708" s="2" t="s">
        <v>102</v>
      </c>
      <c r="G2708" s="2" t="s">
        <v>213</v>
      </c>
      <c r="H2708" s="2" t="s">
        <v>35</v>
      </c>
    </row>
    <row r="2709" spans="1:8" ht="13" hidden="1">
      <c r="A2709" s="15">
        <v>45823.434830578699</v>
      </c>
      <c r="B2709" s="16">
        <v>45815</v>
      </c>
      <c r="C2709" s="2" t="s">
        <v>360</v>
      </c>
      <c r="D2709" s="2" t="s">
        <v>38</v>
      </c>
      <c r="E2709" s="2">
        <v>750</v>
      </c>
      <c r="F2709" s="2" t="s">
        <v>102</v>
      </c>
      <c r="H2709" s="2" t="s">
        <v>35</v>
      </c>
    </row>
    <row r="2710" spans="1:8" ht="13" hidden="1">
      <c r="A2710" s="15">
        <v>45823.435130937505</v>
      </c>
      <c r="B2710" s="16">
        <v>45815</v>
      </c>
      <c r="C2710" s="2" t="s">
        <v>1080</v>
      </c>
      <c r="D2710" s="2" t="s">
        <v>39</v>
      </c>
      <c r="E2710" s="2">
        <v>1100</v>
      </c>
      <c r="F2710" s="2" t="s">
        <v>102</v>
      </c>
      <c r="H2710" s="2" t="s">
        <v>35</v>
      </c>
    </row>
    <row r="2711" spans="1:8" ht="13" hidden="1">
      <c r="A2711" s="15">
        <v>45823.43537762732</v>
      </c>
      <c r="B2711" s="16">
        <v>45815</v>
      </c>
      <c r="C2711" s="2" t="s">
        <v>1080</v>
      </c>
      <c r="D2711" s="2" t="s">
        <v>39</v>
      </c>
      <c r="E2711" s="2">
        <v>940</v>
      </c>
      <c r="F2711" s="2" t="s">
        <v>102</v>
      </c>
      <c r="H2711" s="2" t="s">
        <v>35</v>
      </c>
    </row>
    <row r="2712" spans="1:8" ht="13" hidden="1">
      <c r="A2712" s="15">
        <v>45823.435678263893</v>
      </c>
      <c r="B2712" s="16">
        <v>45815</v>
      </c>
      <c r="C2712" s="2" t="s">
        <v>114</v>
      </c>
      <c r="D2712" s="2" t="s">
        <v>38</v>
      </c>
      <c r="E2712" s="2">
        <v>214</v>
      </c>
      <c r="F2712" s="2" t="s">
        <v>102</v>
      </c>
      <c r="G2712" s="2" t="s">
        <v>107</v>
      </c>
      <c r="H2712" s="2" t="s">
        <v>35</v>
      </c>
    </row>
    <row r="2713" spans="1:8" ht="13" hidden="1">
      <c r="A2713" s="15">
        <v>45823.435980787035</v>
      </c>
      <c r="B2713" s="16">
        <v>45815</v>
      </c>
      <c r="C2713" s="2" t="s">
        <v>333</v>
      </c>
      <c r="D2713" s="2" t="s">
        <v>38</v>
      </c>
      <c r="E2713" s="2">
        <v>690</v>
      </c>
      <c r="F2713" s="2" t="s">
        <v>102</v>
      </c>
      <c r="G2713" s="2" t="s">
        <v>199</v>
      </c>
      <c r="H2713" s="2" t="s">
        <v>35</v>
      </c>
    </row>
    <row r="2714" spans="1:8" ht="13" hidden="1">
      <c r="A2714" s="15">
        <v>45844.965249409724</v>
      </c>
      <c r="B2714" s="16">
        <v>45815</v>
      </c>
      <c r="C2714" s="2" t="s">
        <v>209</v>
      </c>
      <c r="D2714" s="2" t="s">
        <v>42</v>
      </c>
      <c r="E2714" s="2">
        <v>990</v>
      </c>
      <c r="F2714" s="2" t="s">
        <v>100</v>
      </c>
      <c r="H2714" s="2" t="s">
        <v>35</v>
      </c>
    </row>
    <row r="2715" spans="1:8" ht="13" hidden="1">
      <c r="A2715" s="15">
        <v>45844.965736180558</v>
      </c>
      <c r="B2715" s="16">
        <v>45815</v>
      </c>
      <c r="C2715" s="2" t="s">
        <v>116</v>
      </c>
      <c r="D2715" s="2" t="s">
        <v>38</v>
      </c>
      <c r="E2715" s="2">
        <v>1323</v>
      </c>
      <c r="F2715" s="2" t="s">
        <v>100</v>
      </c>
      <c r="G2715" s="2" t="s">
        <v>652</v>
      </c>
      <c r="H2715" s="2" t="s">
        <v>35</v>
      </c>
    </row>
    <row r="2716" spans="1:8" ht="13" hidden="1">
      <c r="A2716" s="15">
        <v>45844.966180763891</v>
      </c>
      <c r="B2716" s="16">
        <v>45815</v>
      </c>
      <c r="C2716" s="2" t="s">
        <v>350</v>
      </c>
      <c r="D2716" s="2" t="s">
        <v>40</v>
      </c>
      <c r="E2716" s="2">
        <v>2000</v>
      </c>
      <c r="F2716" s="2" t="s">
        <v>100</v>
      </c>
      <c r="H2716" s="2" t="s">
        <v>35</v>
      </c>
    </row>
    <row r="2717" spans="1:8" ht="13" hidden="1">
      <c r="A2717" s="15">
        <v>45844.966449236112</v>
      </c>
      <c r="B2717" s="16">
        <v>45815</v>
      </c>
      <c r="C2717" s="2" t="s">
        <v>240</v>
      </c>
      <c r="D2717" s="2" t="s">
        <v>42</v>
      </c>
      <c r="E2717" s="2">
        <v>990</v>
      </c>
      <c r="F2717" s="2" t="s">
        <v>100</v>
      </c>
      <c r="H2717" s="2" t="s">
        <v>35</v>
      </c>
    </row>
    <row r="2718" spans="1:8" ht="13" hidden="1">
      <c r="A2718" s="15">
        <v>45844.966836597217</v>
      </c>
      <c r="B2718" s="16">
        <v>45816</v>
      </c>
      <c r="C2718" s="2" t="s">
        <v>1081</v>
      </c>
      <c r="D2718" s="2" t="s">
        <v>39</v>
      </c>
      <c r="E2718" s="2">
        <v>300</v>
      </c>
      <c r="F2718" s="2" t="s">
        <v>100</v>
      </c>
      <c r="H2718" s="2" t="s">
        <v>35</v>
      </c>
    </row>
    <row r="2719" spans="1:8" ht="13" hidden="1">
      <c r="A2719" s="15">
        <v>45844.967255659722</v>
      </c>
      <c r="B2719" s="16">
        <v>45816</v>
      </c>
      <c r="C2719" s="2" t="s">
        <v>654</v>
      </c>
      <c r="D2719" s="2" t="s">
        <v>48</v>
      </c>
      <c r="E2719" s="2">
        <v>150</v>
      </c>
      <c r="F2719" s="2" t="s">
        <v>100</v>
      </c>
      <c r="H2719" s="2" t="s">
        <v>35</v>
      </c>
    </row>
    <row r="2720" spans="1:8" ht="13" hidden="1">
      <c r="A2720" s="15">
        <v>45844.967591446759</v>
      </c>
      <c r="B2720" s="16">
        <v>45816</v>
      </c>
      <c r="C2720" s="2" t="s">
        <v>12</v>
      </c>
      <c r="D2720" s="2" t="s">
        <v>39</v>
      </c>
      <c r="E2720" s="2">
        <v>1520</v>
      </c>
      <c r="F2720" s="2" t="s">
        <v>100</v>
      </c>
      <c r="H2720" s="2" t="s">
        <v>35</v>
      </c>
    </row>
    <row r="2721" spans="1:8" ht="13" hidden="1">
      <c r="A2721" s="15">
        <v>45823.436299594905</v>
      </c>
      <c r="B2721" s="16">
        <v>45817</v>
      </c>
      <c r="C2721" s="2" t="s">
        <v>1082</v>
      </c>
      <c r="D2721" s="2" t="s">
        <v>44</v>
      </c>
      <c r="E2721" s="2">
        <v>590</v>
      </c>
      <c r="F2721" s="2" t="s">
        <v>102</v>
      </c>
      <c r="G2721" s="2" t="s">
        <v>132</v>
      </c>
      <c r="H2721" s="2" t="s">
        <v>35</v>
      </c>
    </row>
    <row r="2722" spans="1:8" ht="13" hidden="1">
      <c r="A2722" s="15">
        <v>45823.436587488424</v>
      </c>
      <c r="B2722" s="16">
        <v>45817</v>
      </c>
      <c r="C2722" s="2" t="s">
        <v>615</v>
      </c>
      <c r="D2722" s="2" t="s">
        <v>38</v>
      </c>
      <c r="E2722" s="2">
        <v>390</v>
      </c>
      <c r="F2722" s="2" t="s">
        <v>102</v>
      </c>
      <c r="G2722" s="2" t="s">
        <v>356</v>
      </c>
      <c r="H2722" s="2" t="s">
        <v>35</v>
      </c>
    </row>
    <row r="2723" spans="1:8" ht="13" hidden="1">
      <c r="A2723" s="15">
        <v>45844.968097476856</v>
      </c>
      <c r="B2723" s="16">
        <v>45817</v>
      </c>
      <c r="C2723" s="2" t="s">
        <v>15</v>
      </c>
      <c r="D2723" s="2" t="s">
        <v>48</v>
      </c>
      <c r="E2723" s="2">
        <v>880</v>
      </c>
      <c r="F2723" s="2" t="s">
        <v>100</v>
      </c>
      <c r="H2723" s="2" t="s">
        <v>35</v>
      </c>
    </row>
    <row r="2724" spans="1:8" ht="13" hidden="1">
      <c r="A2724" s="15">
        <v>45844.968650057868</v>
      </c>
      <c r="B2724" s="16">
        <v>45817</v>
      </c>
      <c r="C2724" s="2" t="s">
        <v>350</v>
      </c>
      <c r="D2724" s="2" t="s">
        <v>40</v>
      </c>
      <c r="E2724" s="2">
        <v>2000</v>
      </c>
      <c r="F2724" s="2" t="s">
        <v>100</v>
      </c>
      <c r="H2724" s="2" t="s">
        <v>35</v>
      </c>
    </row>
    <row r="2725" spans="1:8" ht="13" hidden="1">
      <c r="A2725" s="15">
        <v>45844.968937245372</v>
      </c>
      <c r="B2725" s="16">
        <v>45817</v>
      </c>
      <c r="C2725" s="2" t="s">
        <v>240</v>
      </c>
      <c r="D2725" s="2" t="s">
        <v>42</v>
      </c>
      <c r="E2725" s="2">
        <v>990</v>
      </c>
      <c r="F2725" s="2" t="s">
        <v>100</v>
      </c>
      <c r="H2725" s="2" t="s">
        <v>35</v>
      </c>
    </row>
    <row r="2726" spans="1:8" ht="13" hidden="1">
      <c r="A2726" s="15">
        <v>45844.969248692127</v>
      </c>
      <c r="B2726" s="16">
        <v>45818</v>
      </c>
      <c r="C2726" s="2" t="s">
        <v>240</v>
      </c>
      <c r="D2726" s="2" t="s">
        <v>42</v>
      </c>
      <c r="E2726" s="2">
        <v>154</v>
      </c>
      <c r="F2726" s="2" t="s">
        <v>100</v>
      </c>
      <c r="H2726" s="2" t="s">
        <v>35</v>
      </c>
    </row>
    <row r="2727" spans="1:8" ht="13" hidden="1">
      <c r="A2727" s="15">
        <v>45823.436877071756</v>
      </c>
      <c r="B2727" s="16">
        <v>45819</v>
      </c>
      <c r="C2727" s="2" t="s">
        <v>106</v>
      </c>
      <c r="D2727" s="2" t="s">
        <v>38</v>
      </c>
      <c r="E2727" s="2">
        <v>890</v>
      </c>
      <c r="F2727" s="2" t="s">
        <v>102</v>
      </c>
      <c r="G2727" s="2" t="s">
        <v>199</v>
      </c>
      <c r="H2727" s="2" t="s">
        <v>35</v>
      </c>
    </row>
    <row r="2728" spans="1:8" ht="13" hidden="1">
      <c r="A2728" s="15">
        <v>45823.437125972225</v>
      </c>
      <c r="B2728" s="16">
        <v>45819</v>
      </c>
      <c r="C2728" s="2" t="s">
        <v>112</v>
      </c>
      <c r="D2728" s="2" t="s">
        <v>38</v>
      </c>
      <c r="E2728" s="2">
        <v>360</v>
      </c>
      <c r="F2728" s="2" t="s">
        <v>102</v>
      </c>
      <c r="G2728" s="2" t="s">
        <v>880</v>
      </c>
      <c r="H2728" s="2" t="s">
        <v>35</v>
      </c>
    </row>
    <row r="2729" spans="1:8" ht="13" hidden="1">
      <c r="A2729" s="15">
        <v>45823.437439085646</v>
      </c>
      <c r="B2729" s="16">
        <v>45819</v>
      </c>
      <c r="C2729" s="2" t="s">
        <v>1083</v>
      </c>
      <c r="D2729" s="2" t="s">
        <v>38</v>
      </c>
      <c r="E2729" s="2">
        <v>580</v>
      </c>
      <c r="F2729" s="2" t="s">
        <v>102</v>
      </c>
      <c r="G2729" s="2" t="s">
        <v>113</v>
      </c>
      <c r="H2729" s="2" t="s">
        <v>35</v>
      </c>
    </row>
    <row r="2730" spans="1:8" ht="13" hidden="1">
      <c r="A2730" s="15">
        <v>45823.437694340275</v>
      </c>
      <c r="B2730" s="16">
        <v>45819</v>
      </c>
      <c r="C2730" s="2" t="s">
        <v>518</v>
      </c>
      <c r="D2730" s="2" t="s">
        <v>38</v>
      </c>
      <c r="E2730" s="2">
        <v>235</v>
      </c>
      <c r="F2730" s="2" t="s">
        <v>102</v>
      </c>
      <c r="G2730" s="2" t="s">
        <v>103</v>
      </c>
      <c r="H2730" s="2" t="s">
        <v>35</v>
      </c>
    </row>
    <row r="2731" spans="1:8" ht="13" hidden="1">
      <c r="A2731" s="15">
        <v>45845.882616886578</v>
      </c>
      <c r="B2731" s="16">
        <v>45819</v>
      </c>
      <c r="C2731" s="2" t="s">
        <v>18</v>
      </c>
      <c r="D2731" s="2" t="s">
        <v>41</v>
      </c>
      <c r="E2731" s="2">
        <v>5868</v>
      </c>
      <c r="F2731" s="2" t="s">
        <v>100</v>
      </c>
      <c r="H2731" s="2" t="s">
        <v>35</v>
      </c>
    </row>
    <row r="2732" spans="1:8" ht="13" hidden="1">
      <c r="A2732" s="15">
        <v>45845.88295003472</v>
      </c>
      <c r="B2732" s="16">
        <v>45820</v>
      </c>
      <c r="C2732" s="2" t="s">
        <v>116</v>
      </c>
      <c r="D2732" s="2" t="s">
        <v>38</v>
      </c>
      <c r="E2732" s="2">
        <v>279</v>
      </c>
      <c r="F2732" s="2" t="s">
        <v>100</v>
      </c>
      <c r="G2732" s="2" t="s">
        <v>1084</v>
      </c>
      <c r="H2732" s="2" t="s">
        <v>35</v>
      </c>
    </row>
    <row r="2733" spans="1:8" ht="13" hidden="1">
      <c r="A2733" s="15">
        <v>45845.883397303245</v>
      </c>
      <c r="B2733" s="16">
        <v>45820</v>
      </c>
      <c r="C2733" s="2" t="s">
        <v>116</v>
      </c>
      <c r="D2733" s="2" t="s">
        <v>38</v>
      </c>
      <c r="E2733" s="2">
        <v>1774</v>
      </c>
      <c r="F2733" s="2" t="s">
        <v>100</v>
      </c>
      <c r="G2733" s="2" t="s">
        <v>1084</v>
      </c>
      <c r="H2733" s="2" t="s">
        <v>35</v>
      </c>
    </row>
    <row r="2734" spans="1:8" ht="13" hidden="1">
      <c r="A2734" s="15">
        <v>45845.883796087961</v>
      </c>
      <c r="B2734" s="16">
        <v>45820</v>
      </c>
      <c r="C2734" s="2" t="s">
        <v>371</v>
      </c>
      <c r="D2734" s="2" t="s">
        <v>39</v>
      </c>
      <c r="E2734" s="2">
        <v>2310</v>
      </c>
      <c r="F2734" s="2" t="s">
        <v>100</v>
      </c>
      <c r="H2734" s="2" t="s">
        <v>35</v>
      </c>
    </row>
    <row r="2735" spans="1:8" ht="13" hidden="1">
      <c r="A2735" s="15">
        <v>45823.438058506945</v>
      </c>
      <c r="B2735" s="16">
        <v>45821</v>
      </c>
      <c r="C2735" s="2" t="s">
        <v>1085</v>
      </c>
      <c r="D2735" s="2" t="s">
        <v>38</v>
      </c>
      <c r="E2735" s="2">
        <v>253</v>
      </c>
      <c r="F2735" s="2" t="s">
        <v>102</v>
      </c>
      <c r="G2735" s="2" t="s">
        <v>356</v>
      </c>
      <c r="H2735" s="2" t="s">
        <v>35</v>
      </c>
    </row>
    <row r="2736" spans="1:8" ht="13" hidden="1">
      <c r="A2736" s="15">
        <v>45766.706061886573</v>
      </c>
      <c r="B2736" s="16">
        <v>45764</v>
      </c>
      <c r="C2736" s="2" t="s">
        <v>542</v>
      </c>
      <c r="D2736" s="2" t="s">
        <v>45</v>
      </c>
      <c r="E2736" s="2">
        <v>850</v>
      </c>
      <c r="F2736" s="2" t="s">
        <v>102</v>
      </c>
      <c r="H2736" s="2" t="s">
        <v>35</v>
      </c>
    </row>
    <row r="2737" spans="1:8" ht="13" hidden="1">
      <c r="A2737" s="15">
        <v>45845.884207442126</v>
      </c>
      <c r="B2737" s="16">
        <v>45821</v>
      </c>
      <c r="C2737" s="2" t="s">
        <v>116</v>
      </c>
      <c r="D2737" s="2" t="s">
        <v>38</v>
      </c>
      <c r="E2737" s="2">
        <v>1577</v>
      </c>
      <c r="F2737" s="2" t="s">
        <v>100</v>
      </c>
      <c r="G2737" s="2" t="s">
        <v>652</v>
      </c>
      <c r="H2737" s="2" t="s">
        <v>35</v>
      </c>
    </row>
    <row r="2738" spans="1:8" ht="13" hidden="1">
      <c r="A2738" s="15">
        <v>45845.88462971065</v>
      </c>
      <c r="B2738" s="16">
        <v>45821</v>
      </c>
      <c r="C2738" s="2" t="s">
        <v>350</v>
      </c>
      <c r="D2738" s="2" t="s">
        <v>40</v>
      </c>
      <c r="E2738" s="2">
        <v>2000</v>
      </c>
      <c r="F2738" s="2" t="s">
        <v>100</v>
      </c>
      <c r="H2738" s="2" t="s">
        <v>35</v>
      </c>
    </row>
    <row r="2739" spans="1:8" ht="13" hidden="1">
      <c r="A2739" s="15">
        <v>45865.674917199074</v>
      </c>
      <c r="B2739" s="16">
        <v>45860</v>
      </c>
      <c r="C2739" s="2" t="s">
        <v>1086</v>
      </c>
      <c r="D2739" s="2" t="s">
        <v>45</v>
      </c>
      <c r="E2739" s="2">
        <v>845</v>
      </c>
      <c r="F2739" s="2" t="s">
        <v>100</v>
      </c>
      <c r="G2739" s="2" t="s">
        <v>129</v>
      </c>
      <c r="H2739" s="2" t="s">
        <v>35</v>
      </c>
    </row>
    <row r="2740" spans="1:8" ht="13" hidden="1">
      <c r="A2740" s="15">
        <v>45823.439045324078</v>
      </c>
      <c r="B2740" s="16">
        <v>45822</v>
      </c>
      <c r="C2740" s="2" t="s">
        <v>109</v>
      </c>
      <c r="D2740" s="2" t="s">
        <v>38</v>
      </c>
      <c r="E2740" s="2">
        <v>534</v>
      </c>
      <c r="F2740" s="2" t="s">
        <v>102</v>
      </c>
      <c r="G2740" s="2" t="s">
        <v>661</v>
      </c>
      <c r="H2740" s="2" t="s">
        <v>35</v>
      </c>
    </row>
    <row r="2741" spans="1:8" ht="13" hidden="1">
      <c r="A2741" s="15">
        <v>45845.884896747681</v>
      </c>
      <c r="B2741" s="16">
        <v>45822</v>
      </c>
      <c r="C2741" s="2" t="s">
        <v>240</v>
      </c>
      <c r="D2741" s="2" t="s">
        <v>42</v>
      </c>
      <c r="E2741" s="2">
        <v>330</v>
      </c>
      <c r="F2741" s="2" t="s">
        <v>100</v>
      </c>
      <c r="H2741" s="2" t="s">
        <v>35</v>
      </c>
    </row>
    <row r="2742" spans="1:8" ht="13" hidden="1">
      <c r="A2742" s="15">
        <v>45845.885226458333</v>
      </c>
      <c r="B2742" s="16">
        <v>45822</v>
      </c>
      <c r="C2742" s="2" t="s">
        <v>1087</v>
      </c>
      <c r="D2742" s="2" t="s">
        <v>39</v>
      </c>
      <c r="E2742" s="2">
        <v>1150</v>
      </c>
      <c r="F2742" s="2" t="s">
        <v>100</v>
      </c>
      <c r="H2742" s="2" t="s">
        <v>35</v>
      </c>
    </row>
    <row r="2743" spans="1:8" ht="13" hidden="1">
      <c r="A2743" s="15">
        <v>45845.886425347227</v>
      </c>
      <c r="B2743" s="16">
        <v>45822</v>
      </c>
      <c r="C2743" s="2" t="s">
        <v>662</v>
      </c>
      <c r="D2743" s="2" t="s">
        <v>48</v>
      </c>
      <c r="E2743" s="2">
        <v>3249</v>
      </c>
      <c r="F2743" s="2" t="s">
        <v>100</v>
      </c>
      <c r="H2743" s="2" t="s">
        <v>35</v>
      </c>
    </row>
    <row r="2744" spans="1:8" ht="13" hidden="1">
      <c r="A2744" s="15">
        <v>45830.947223842595</v>
      </c>
      <c r="B2744" s="16">
        <v>45823</v>
      </c>
      <c r="C2744" s="2" t="s">
        <v>1088</v>
      </c>
      <c r="D2744" s="2" t="s">
        <v>39</v>
      </c>
      <c r="E2744" s="2">
        <v>2547</v>
      </c>
      <c r="F2744" s="2" t="s">
        <v>102</v>
      </c>
      <c r="G2744" s="2" t="s">
        <v>1089</v>
      </c>
      <c r="H2744" s="2" t="s">
        <v>35</v>
      </c>
    </row>
    <row r="2745" spans="1:8" ht="13" hidden="1">
      <c r="A2745" s="15">
        <v>45845.886766516203</v>
      </c>
      <c r="B2745" s="16">
        <v>45823</v>
      </c>
      <c r="C2745" s="2" t="s">
        <v>1090</v>
      </c>
      <c r="D2745" s="2" t="s">
        <v>39</v>
      </c>
      <c r="E2745" s="2">
        <v>91999</v>
      </c>
      <c r="F2745" s="2" t="s">
        <v>100</v>
      </c>
      <c r="H2745" s="2" t="s">
        <v>35</v>
      </c>
    </row>
    <row r="2746" spans="1:8" ht="13" hidden="1">
      <c r="A2746" s="15">
        <v>45845.887058356486</v>
      </c>
      <c r="B2746" s="16">
        <v>45823</v>
      </c>
      <c r="C2746" s="2" t="s">
        <v>1091</v>
      </c>
      <c r="D2746" s="2" t="s">
        <v>39</v>
      </c>
      <c r="E2746" s="2">
        <v>972</v>
      </c>
      <c r="F2746" s="2" t="s">
        <v>100</v>
      </c>
      <c r="H2746" s="2" t="s">
        <v>35</v>
      </c>
    </row>
    <row r="2747" spans="1:8" ht="13" hidden="1">
      <c r="A2747" s="15">
        <v>45845.887382129629</v>
      </c>
      <c r="B2747" s="16">
        <v>45823</v>
      </c>
      <c r="C2747" s="2" t="s">
        <v>105</v>
      </c>
      <c r="D2747" s="2" t="s">
        <v>40</v>
      </c>
      <c r="E2747" s="2">
        <v>1100</v>
      </c>
      <c r="F2747" s="2" t="s">
        <v>100</v>
      </c>
      <c r="H2747" s="2" t="s">
        <v>35</v>
      </c>
    </row>
    <row r="2748" spans="1:8" ht="13" hidden="1">
      <c r="A2748" s="15">
        <v>45845.888039895828</v>
      </c>
      <c r="B2748" s="16">
        <v>45823</v>
      </c>
      <c r="C2748" s="2" t="s">
        <v>277</v>
      </c>
      <c r="D2748" s="2" t="s">
        <v>46</v>
      </c>
      <c r="E2748" s="2">
        <v>1485</v>
      </c>
      <c r="F2748" s="2" t="s">
        <v>100</v>
      </c>
      <c r="G2748" s="2" t="s">
        <v>1092</v>
      </c>
      <c r="H2748" s="2" t="s">
        <v>35</v>
      </c>
    </row>
    <row r="2749" spans="1:8" ht="13" hidden="1">
      <c r="A2749" s="15">
        <v>45845.888392118053</v>
      </c>
      <c r="B2749" s="16">
        <v>45823</v>
      </c>
      <c r="C2749" s="2" t="s">
        <v>350</v>
      </c>
      <c r="D2749" s="2" t="s">
        <v>40</v>
      </c>
      <c r="E2749" s="2">
        <v>2000</v>
      </c>
      <c r="F2749" s="2" t="s">
        <v>100</v>
      </c>
      <c r="H2749" s="2" t="s">
        <v>35</v>
      </c>
    </row>
    <row r="2750" spans="1:8" ht="13" hidden="1">
      <c r="A2750" s="15">
        <v>45845.888751099541</v>
      </c>
      <c r="B2750" s="16">
        <v>45824</v>
      </c>
      <c r="C2750" s="2" t="s">
        <v>20</v>
      </c>
      <c r="D2750" s="2" t="s">
        <v>39</v>
      </c>
      <c r="E2750" s="2">
        <v>1590</v>
      </c>
      <c r="F2750" s="2" t="s">
        <v>100</v>
      </c>
      <c r="H2750" s="2" t="s">
        <v>35</v>
      </c>
    </row>
    <row r="2751" spans="1:8" ht="13" hidden="1">
      <c r="A2751" s="15">
        <v>45845.889263865742</v>
      </c>
      <c r="B2751" s="16">
        <v>45824</v>
      </c>
      <c r="C2751" s="2" t="s">
        <v>871</v>
      </c>
      <c r="D2751" s="2" t="s">
        <v>46</v>
      </c>
      <c r="E2751" s="2">
        <v>1320</v>
      </c>
      <c r="F2751" s="2" t="s">
        <v>100</v>
      </c>
      <c r="H2751" s="2" t="s">
        <v>35</v>
      </c>
    </row>
    <row r="2752" spans="1:8" ht="13" hidden="1">
      <c r="A2752" s="15">
        <v>45845.889701979162</v>
      </c>
      <c r="B2752" s="16">
        <v>45824</v>
      </c>
      <c r="C2752" s="2" t="s">
        <v>116</v>
      </c>
      <c r="D2752" s="2" t="s">
        <v>38</v>
      </c>
      <c r="E2752" s="2">
        <v>1762</v>
      </c>
      <c r="F2752" s="2" t="s">
        <v>100</v>
      </c>
      <c r="G2752" s="2" t="s">
        <v>1084</v>
      </c>
      <c r="H2752" s="2" t="s">
        <v>35</v>
      </c>
    </row>
    <row r="2753" spans="1:8" ht="13" hidden="1">
      <c r="A2753" s="15">
        <v>45830.94784025463</v>
      </c>
      <c r="B2753" s="16">
        <v>45825</v>
      </c>
      <c r="C2753" s="2" t="s">
        <v>912</v>
      </c>
      <c r="D2753" s="2" t="s">
        <v>38</v>
      </c>
      <c r="E2753" s="2">
        <v>378</v>
      </c>
      <c r="F2753" s="2" t="s">
        <v>102</v>
      </c>
      <c r="G2753" s="2" t="s">
        <v>356</v>
      </c>
      <c r="H2753" s="2" t="s">
        <v>35</v>
      </c>
    </row>
    <row r="2754" spans="1:8" ht="13" hidden="1">
      <c r="A2754" s="15">
        <v>45845.89002875</v>
      </c>
      <c r="B2754" s="16">
        <v>45825</v>
      </c>
      <c r="C2754" s="2" t="s">
        <v>240</v>
      </c>
      <c r="D2754" s="2" t="s">
        <v>42</v>
      </c>
      <c r="E2754" s="2">
        <v>990</v>
      </c>
      <c r="F2754" s="2" t="s">
        <v>100</v>
      </c>
      <c r="H2754" s="2" t="s">
        <v>35</v>
      </c>
    </row>
    <row r="2755" spans="1:8" ht="13" hidden="1">
      <c r="A2755" s="15">
        <v>45845.890344247688</v>
      </c>
      <c r="B2755" s="16">
        <v>45825</v>
      </c>
      <c r="C2755" s="2" t="s">
        <v>368</v>
      </c>
      <c r="D2755" s="2" t="s">
        <v>39</v>
      </c>
      <c r="E2755" s="2">
        <v>1180</v>
      </c>
      <c r="F2755" s="2" t="s">
        <v>100</v>
      </c>
      <c r="H2755" s="2" t="s">
        <v>35</v>
      </c>
    </row>
    <row r="2756" spans="1:8" ht="13" hidden="1">
      <c r="A2756" s="15">
        <v>45845.890657951386</v>
      </c>
      <c r="B2756" s="16">
        <v>45825</v>
      </c>
      <c r="C2756" s="2" t="s">
        <v>1093</v>
      </c>
      <c r="D2756" s="2" t="s">
        <v>48</v>
      </c>
      <c r="E2756" s="2">
        <v>980</v>
      </c>
      <c r="F2756" s="2" t="s">
        <v>100</v>
      </c>
      <c r="H2756" s="2" t="s">
        <v>35</v>
      </c>
    </row>
    <row r="2757" spans="1:8" ht="13" hidden="1">
      <c r="A2757" s="15">
        <v>45830.948319108793</v>
      </c>
      <c r="B2757" s="16">
        <v>45826</v>
      </c>
      <c r="C2757" s="2" t="s">
        <v>1094</v>
      </c>
      <c r="D2757" s="2" t="s">
        <v>38</v>
      </c>
      <c r="E2757" s="2">
        <v>1030</v>
      </c>
      <c r="F2757" s="2" t="s">
        <v>102</v>
      </c>
      <c r="G2757" s="2" t="s">
        <v>1095</v>
      </c>
      <c r="H2757" s="2" t="s">
        <v>35</v>
      </c>
    </row>
    <row r="2758" spans="1:8" ht="13" hidden="1">
      <c r="A2758" s="15">
        <v>45830.948623090277</v>
      </c>
      <c r="B2758" s="16">
        <v>45826</v>
      </c>
      <c r="C2758" s="2" t="s">
        <v>112</v>
      </c>
      <c r="D2758" s="2" t="s">
        <v>38</v>
      </c>
      <c r="E2758" s="2">
        <v>330</v>
      </c>
      <c r="F2758" s="2" t="s">
        <v>102</v>
      </c>
      <c r="G2758" s="2" t="s">
        <v>113</v>
      </c>
      <c r="H2758" s="2" t="s">
        <v>35</v>
      </c>
    </row>
    <row r="2759" spans="1:8" ht="13" hidden="1">
      <c r="A2759" s="15">
        <v>45830.954890347217</v>
      </c>
      <c r="B2759" s="16">
        <v>45826</v>
      </c>
      <c r="C2759" s="2" t="s">
        <v>154</v>
      </c>
      <c r="D2759" s="2" t="s">
        <v>38</v>
      </c>
      <c r="E2759" s="2">
        <v>500</v>
      </c>
      <c r="F2759" s="2" t="s">
        <v>102</v>
      </c>
      <c r="H2759" s="2" t="s">
        <v>35</v>
      </c>
    </row>
    <row r="2760" spans="1:8" ht="13" hidden="1">
      <c r="A2760" s="15">
        <v>45845.891193275464</v>
      </c>
      <c r="B2760" s="16">
        <v>45826</v>
      </c>
      <c r="C2760" s="2" t="s">
        <v>116</v>
      </c>
      <c r="D2760" s="2" t="s">
        <v>38</v>
      </c>
      <c r="E2760" s="2">
        <v>417</v>
      </c>
      <c r="F2760" s="2" t="s">
        <v>100</v>
      </c>
      <c r="G2760" s="2" t="s">
        <v>652</v>
      </c>
      <c r="H2760" s="2" t="s">
        <v>35</v>
      </c>
    </row>
    <row r="2761" spans="1:8" ht="13" hidden="1">
      <c r="A2761" s="15">
        <v>45845.891473842596</v>
      </c>
      <c r="B2761" s="16">
        <v>45826</v>
      </c>
      <c r="C2761" s="2" t="s">
        <v>308</v>
      </c>
      <c r="D2761" s="2" t="s">
        <v>40</v>
      </c>
      <c r="E2761" s="2">
        <v>13690</v>
      </c>
      <c r="F2761" s="2" t="s">
        <v>100</v>
      </c>
      <c r="H2761" s="2" t="s">
        <v>35</v>
      </c>
    </row>
    <row r="2762" spans="1:8" ht="13" hidden="1">
      <c r="A2762" s="15">
        <v>45830.950269560184</v>
      </c>
      <c r="B2762" s="16">
        <v>45827</v>
      </c>
      <c r="C2762" s="2" t="s">
        <v>912</v>
      </c>
      <c r="D2762" s="2" t="s">
        <v>38</v>
      </c>
      <c r="E2762" s="2">
        <v>407</v>
      </c>
      <c r="F2762" s="2" t="s">
        <v>102</v>
      </c>
      <c r="G2762" s="2" t="s">
        <v>356</v>
      </c>
      <c r="H2762" s="2" t="s">
        <v>35</v>
      </c>
    </row>
    <row r="2763" spans="1:8" ht="13" hidden="1">
      <c r="A2763" s="15">
        <v>45830.950652013889</v>
      </c>
      <c r="B2763" s="16">
        <v>45828</v>
      </c>
      <c r="C2763" s="2" t="s">
        <v>1096</v>
      </c>
      <c r="D2763" s="2" t="s">
        <v>38</v>
      </c>
      <c r="E2763" s="2">
        <v>390</v>
      </c>
      <c r="F2763" s="2" t="s">
        <v>102</v>
      </c>
      <c r="G2763" s="2" t="s">
        <v>356</v>
      </c>
      <c r="H2763" s="2" t="s">
        <v>35</v>
      </c>
    </row>
    <row r="2764" spans="1:8" ht="13" hidden="1">
      <c r="A2764" s="15">
        <v>45830.951122546292</v>
      </c>
      <c r="B2764" s="16">
        <v>45828</v>
      </c>
      <c r="C2764" s="2" t="s">
        <v>674</v>
      </c>
      <c r="D2764" s="2" t="s">
        <v>39</v>
      </c>
      <c r="E2764" s="2">
        <v>2000</v>
      </c>
      <c r="F2764" s="2" t="s">
        <v>102</v>
      </c>
      <c r="G2764" s="2" t="s">
        <v>667</v>
      </c>
      <c r="H2764" s="2" t="s">
        <v>35</v>
      </c>
    </row>
    <row r="2765" spans="1:8" ht="13" hidden="1">
      <c r="A2765" s="15">
        <v>45845.891815937503</v>
      </c>
      <c r="B2765" s="16">
        <v>45828</v>
      </c>
      <c r="C2765" s="2" t="s">
        <v>350</v>
      </c>
      <c r="D2765" s="2" t="s">
        <v>40</v>
      </c>
      <c r="E2765" s="2">
        <v>2000</v>
      </c>
      <c r="F2765" s="2" t="s">
        <v>100</v>
      </c>
      <c r="H2765" s="2" t="s">
        <v>35</v>
      </c>
    </row>
    <row r="2766" spans="1:8" ht="13" hidden="1">
      <c r="A2766" s="15">
        <v>45845.892147199076</v>
      </c>
      <c r="B2766" s="16">
        <v>45828</v>
      </c>
      <c r="C2766" s="2" t="s">
        <v>674</v>
      </c>
      <c r="D2766" s="2" t="s">
        <v>39</v>
      </c>
      <c r="E2766" s="2">
        <v>10000</v>
      </c>
      <c r="F2766" s="2" t="s">
        <v>100</v>
      </c>
      <c r="H2766" s="2" t="s">
        <v>35</v>
      </c>
    </row>
    <row r="2767" spans="1:8" ht="13" hidden="1">
      <c r="A2767" s="15">
        <v>45845.892425497688</v>
      </c>
      <c r="B2767" s="16">
        <v>45828</v>
      </c>
      <c r="C2767" s="2" t="s">
        <v>240</v>
      </c>
      <c r="D2767" s="2" t="s">
        <v>42</v>
      </c>
      <c r="E2767" s="2">
        <v>990</v>
      </c>
      <c r="F2767" s="2" t="s">
        <v>100</v>
      </c>
      <c r="H2767" s="2" t="s">
        <v>35</v>
      </c>
    </row>
    <row r="2768" spans="1:8" ht="13" hidden="1">
      <c r="A2768" s="15">
        <v>45845.892766516205</v>
      </c>
      <c r="B2768" s="16">
        <v>45828</v>
      </c>
      <c r="C2768" s="2" t="s">
        <v>24</v>
      </c>
      <c r="D2768" s="2" t="s">
        <v>49</v>
      </c>
      <c r="E2768" s="2">
        <v>1100</v>
      </c>
      <c r="F2768" s="2" t="s">
        <v>100</v>
      </c>
      <c r="H2768" s="2" t="s">
        <v>35</v>
      </c>
    </row>
    <row r="2769" spans="1:8" ht="13" hidden="1">
      <c r="A2769" s="15">
        <v>45760.749022094911</v>
      </c>
      <c r="B2769" s="16">
        <v>45748</v>
      </c>
      <c r="C2769" s="2" t="s">
        <v>203</v>
      </c>
      <c r="D2769" s="2" t="s">
        <v>45</v>
      </c>
      <c r="E2769" s="2">
        <v>834</v>
      </c>
      <c r="F2769" s="2" t="s">
        <v>100</v>
      </c>
      <c r="G2769" s="2" t="s">
        <v>129</v>
      </c>
      <c r="H2769" s="2" t="s">
        <v>35</v>
      </c>
    </row>
    <row r="2770" spans="1:8" ht="13" hidden="1">
      <c r="A2770" s="15">
        <v>45760.733068194444</v>
      </c>
      <c r="B2770" s="16">
        <v>45747</v>
      </c>
      <c r="C2770" s="2" t="s">
        <v>719</v>
      </c>
      <c r="D2770" s="2" t="s">
        <v>45</v>
      </c>
      <c r="E2770" s="2">
        <v>816</v>
      </c>
      <c r="F2770" s="2" t="s">
        <v>102</v>
      </c>
      <c r="G2770" s="2" t="s">
        <v>285</v>
      </c>
      <c r="H2770" s="2" t="s">
        <v>35</v>
      </c>
    </row>
    <row r="2771" spans="1:8" ht="13" hidden="1">
      <c r="A2771" s="15">
        <v>45830.951595335646</v>
      </c>
      <c r="B2771" s="16">
        <v>45829</v>
      </c>
      <c r="C2771" s="2" t="s">
        <v>1097</v>
      </c>
      <c r="D2771" s="2" t="s">
        <v>38</v>
      </c>
      <c r="E2771" s="2">
        <v>739</v>
      </c>
      <c r="F2771" s="2" t="s">
        <v>102</v>
      </c>
      <c r="G2771" s="2" t="s">
        <v>356</v>
      </c>
      <c r="H2771" s="2" t="s">
        <v>35</v>
      </c>
    </row>
    <row r="2772" spans="1:8" ht="13" hidden="1">
      <c r="A2772" s="15">
        <v>45830.951966168985</v>
      </c>
      <c r="B2772" s="16">
        <v>45829</v>
      </c>
      <c r="C2772" s="2" t="s">
        <v>398</v>
      </c>
      <c r="D2772" s="2" t="s">
        <v>38</v>
      </c>
      <c r="E2772" s="2">
        <v>446</v>
      </c>
      <c r="F2772" s="2" t="s">
        <v>102</v>
      </c>
      <c r="G2772" s="2" t="s">
        <v>356</v>
      </c>
      <c r="H2772" s="2" t="s">
        <v>35</v>
      </c>
    </row>
    <row r="2773" spans="1:8" ht="13" hidden="1">
      <c r="A2773" s="15">
        <v>45830.952234166667</v>
      </c>
      <c r="B2773" s="16">
        <v>45829</v>
      </c>
      <c r="C2773" s="2" t="s">
        <v>287</v>
      </c>
      <c r="D2773" s="2" t="s">
        <v>38</v>
      </c>
      <c r="E2773" s="2">
        <v>690</v>
      </c>
      <c r="F2773" s="2" t="s">
        <v>102</v>
      </c>
      <c r="G2773" s="2" t="s">
        <v>199</v>
      </c>
      <c r="H2773" s="2" t="s">
        <v>35</v>
      </c>
    </row>
    <row r="2774" spans="1:8" ht="13" hidden="1">
      <c r="A2774" s="15">
        <v>45830.952546747685</v>
      </c>
      <c r="B2774" s="16">
        <v>45829</v>
      </c>
      <c r="C2774" s="2" t="s">
        <v>601</v>
      </c>
      <c r="D2774" s="2" t="s">
        <v>38</v>
      </c>
      <c r="E2774" s="2">
        <v>179</v>
      </c>
      <c r="F2774" s="2" t="s">
        <v>102</v>
      </c>
      <c r="G2774" s="2" t="s">
        <v>356</v>
      </c>
      <c r="H2774" s="2" t="s">
        <v>35</v>
      </c>
    </row>
    <row r="2775" spans="1:8" ht="13" hidden="1">
      <c r="A2775" s="15">
        <v>45830.953968043978</v>
      </c>
      <c r="B2775" s="16">
        <v>45829</v>
      </c>
      <c r="C2775" s="2" t="s">
        <v>542</v>
      </c>
      <c r="D2775" s="2" t="s">
        <v>39</v>
      </c>
      <c r="E2775" s="2">
        <v>500</v>
      </c>
      <c r="F2775" s="2" t="s">
        <v>102</v>
      </c>
      <c r="H2775" s="2" t="s">
        <v>35</v>
      </c>
    </row>
    <row r="2776" spans="1:8" ht="13" hidden="1">
      <c r="A2776" s="15">
        <v>45838.542954999997</v>
      </c>
      <c r="B2776" s="16">
        <v>45829</v>
      </c>
      <c r="C2776" s="2" t="s">
        <v>832</v>
      </c>
      <c r="D2776" s="2" t="s">
        <v>39</v>
      </c>
      <c r="E2776" s="2">
        <v>3333</v>
      </c>
      <c r="F2776" s="2" t="s">
        <v>102</v>
      </c>
      <c r="H2776" s="2" t="s">
        <v>35</v>
      </c>
    </row>
    <row r="2777" spans="1:8" ht="13" hidden="1">
      <c r="A2777" s="15">
        <v>45845.893770937502</v>
      </c>
      <c r="B2777" s="16">
        <v>45829</v>
      </c>
      <c r="C2777" s="2" t="s">
        <v>350</v>
      </c>
      <c r="D2777" s="2" t="s">
        <v>40</v>
      </c>
      <c r="E2777" s="2">
        <v>2000</v>
      </c>
      <c r="F2777" s="2" t="s">
        <v>100</v>
      </c>
      <c r="H2777" s="2" t="s">
        <v>35</v>
      </c>
    </row>
    <row r="2778" spans="1:8" ht="13" hidden="1">
      <c r="A2778" s="15">
        <v>45845.894089027774</v>
      </c>
      <c r="B2778" s="16">
        <v>45829</v>
      </c>
      <c r="C2778" s="2" t="s">
        <v>116</v>
      </c>
      <c r="D2778" s="2" t="s">
        <v>38</v>
      </c>
      <c r="E2778" s="2">
        <v>460</v>
      </c>
      <c r="F2778" s="2" t="s">
        <v>100</v>
      </c>
      <c r="G2778" s="2" t="s">
        <v>1084</v>
      </c>
      <c r="H2778" s="2" t="s">
        <v>35</v>
      </c>
    </row>
    <row r="2779" spans="1:8" ht="13" hidden="1">
      <c r="A2779" s="15">
        <v>45830.952946655088</v>
      </c>
      <c r="B2779" s="16">
        <v>45830</v>
      </c>
      <c r="C2779" s="2" t="s">
        <v>112</v>
      </c>
      <c r="D2779" s="2" t="s">
        <v>38</v>
      </c>
      <c r="E2779" s="2">
        <v>1590</v>
      </c>
      <c r="F2779" s="2" t="s">
        <v>102</v>
      </c>
      <c r="G2779" s="2" t="s">
        <v>186</v>
      </c>
      <c r="H2779" s="2" t="s">
        <v>35</v>
      </c>
    </row>
    <row r="2780" spans="1:8" ht="13" hidden="1">
      <c r="A2780" s="15">
        <v>45830.953289039353</v>
      </c>
      <c r="B2780" s="16">
        <v>45830</v>
      </c>
      <c r="C2780" s="2" t="s">
        <v>163</v>
      </c>
      <c r="D2780" s="2" t="s">
        <v>38</v>
      </c>
      <c r="E2780" s="2">
        <v>1780</v>
      </c>
      <c r="F2780" s="2" t="s">
        <v>102</v>
      </c>
      <c r="G2780" s="2" t="s">
        <v>164</v>
      </c>
      <c r="H2780" s="2" t="s">
        <v>35</v>
      </c>
    </row>
    <row r="2781" spans="1:8" ht="13" hidden="1">
      <c r="A2781" s="15">
        <v>45830.953606793977</v>
      </c>
      <c r="B2781" s="16">
        <v>45830</v>
      </c>
      <c r="C2781" s="2" t="s">
        <v>779</v>
      </c>
      <c r="D2781" s="2" t="s">
        <v>38</v>
      </c>
      <c r="E2781" s="2">
        <v>401</v>
      </c>
      <c r="F2781" s="2" t="s">
        <v>102</v>
      </c>
      <c r="G2781" s="2" t="s">
        <v>285</v>
      </c>
      <c r="H2781" s="2" t="s">
        <v>35</v>
      </c>
    </row>
    <row r="2782" spans="1:8" ht="13" hidden="1">
      <c r="A2782" s="15">
        <v>45845.894452789347</v>
      </c>
      <c r="B2782" s="16">
        <v>45830</v>
      </c>
      <c r="C2782" s="2" t="s">
        <v>240</v>
      </c>
      <c r="D2782" s="2" t="s">
        <v>42</v>
      </c>
      <c r="E2782" s="2">
        <v>990</v>
      </c>
      <c r="F2782" s="2" t="s">
        <v>100</v>
      </c>
      <c r="H2782" s="2" t="s">
        <v>35</v>
      </c>
    </row>
    <row r="2783" spans="1:8" ht="13" hidden="1">
      <c r="A2783" s="15">
        <v>45845.894834351857</v>
      </c>
      <c r="B2783" s="16">
        <v>45830</v>
      </c>
      <c r="C2783" s="2" t="s">
        <v>116</v>
      </c>
      <c r="D2783" s="2" t="s">
        <v>38</v>
      </c>
      <c r="E2783" s="2">
        <v>1741</v>
      </c>
      <c r="F2783" s="2" t="s">
        <v>100</v>
      </c>
      <c r="G2783" s="2" t="s">
        <v>652</v>
      </c>
      <c r="H2783" s="2" t="s">
        <v>35</v>
      </c>
    </row>
    <row r="2784" spans="1:8" ht="13" hidden="1">
      <c r="A2784" s="15">
        <v>45683.610381736115</v>
      </c>
      <c r="B2784" s="16">
        <v>45683</v>
      </c>
      <c r="C2784" s="2" t="s">
        <v>682</v>
      </c>
      <c r="D2784" s="2" t="s">
        <v>45</v>
      </c>
      <c r="E2784" s="2">
        <v>803</v>
      </c>
      <c r="F2784" s="2" t="s">
        <v>102</v>
      </c>
      <c r="G2784" s="2" t="s">
        <v>285</v>
      </c>
      <c r="H2784" s="2" t="s">
        <v>35</v>
      </c>
    </row>
    <row r="2785" spans="1:8" ht="13" hidden="1">
      <c r="A2785" s="15">
        <v>45838.541054386573</v>
      </c>
      <c r="B2785" s="16">
        <v>45831</v>
      </c>
      <c r="C2785" s="2" t="s">
        <v>112</v>
      </c>
      <c r="D2785" s="2" t="s">
        <v>38</v>
      </c>
      <c r="E2785" s="2">
        <v>190</v>
      </c>
      <c r="F2785" s="2" t="s">
        <v>102</v>
      </c>
      <c r="G2785" s="2" t="s">
        <v>356</v>
      </c>
      <c r="H2785" s="2" t="s">
        <v>35</v>
      </c>
    </row>
    <row r="2786" spans="1:8" ht="13" hidden="1">
      <c r="A2786" s="15">
        <v>45838.541350555555</v>
      </c>
      <c r="B2786" s="16">
        <v>45831</v>
      </c>
      <c r="C2786" s="2" t="s">
        <v>112</v>
      </c>
      <c r="D2786" s="2" t="s">
        <v>38</v>
      </c>
      <c r="E2786" s="2">
        <v>760</v>
      </c>
      <c r="F2786" s="2" t="s">
        <v>102</v>
      </c>
      <c r="G2786" s="2" t="s">
        <v>113</v>
      </c>
      <c r="H2786" s="2" t="s">
        <v>35</v>
      </c>
    </row>
    <row r="2787" spans="1:8" ht="13" hidden="1">
      <c r="A2787" s="15">
        <v>45838.541596898147</v>
      </c>
      <c r="B2787" s="16">
        <v>45831</v>
      </c>
      <c r="C2787" s="2" t="s">
        <v>114</v>
      </c>
      <c r="D2787" s="2" t="s">
        <v>38</v>
      </c>
      <c r="E2787" s="2">
        <v>130</v>
      </c>
      <c r="F2787" s="2" t="s">
        <v>102</v>
      </c>
      <c r="G2787" s="2" t="s">
        <v>356</v>
      </c>
      <c r="H2787" s="2" t="s">
        <v>35</v>
      </c>
    </row>
    <row r="2788" spans="1:8" ht="13" hidden="1">
      <c r="A2788" s="15">
        <v>45838.54193861111</v>
      </c>
      <c r="B2788" s="16">
        <v>45831</v>
      </c>
      <c r="C2788" s="2" t="s">
        <v>163</v>
      </c>
      <c r="D2788" s="2" t="s">
        <v>38</v>
      </c>
      <c r="E2788" s="2">
        <v>1100</v>
      </c>
      <c r="F2788" s="2" t="s">
        <v>102</v>
      </c>
      <c r="H2788" s="2" t="s">
        <v>35</v>
      </c>
    </row>
    <row r="2789" spans="1:8" ht="13" hidden="1">
      <c r="A2789" s="15">
        <v>45838.542329050921</v>
      </c>
      <c r="B2789" s="16">
        <v>45831</v>
      </c>
      <c r="C2789" s="2" t="s">
        <v>1098</v>
      </c>
      <c r="D2789" s="2" t="s">
        <v>39</v>
      </c>
      <c r="E2789" s="2">
        <v>3283</v>
      </c>
      <c r="F2789" s="2" t="s">
        <v>102</v>
      </c>
      <c r="G2789" s="2" t="s">
        <v>1099</v>
      </c>
      <c r="H2789" s="2" t="s">
        <v>35</v>
      </c>
    </row>
    <row r="2790" spans="1:8" ht="13" hidden="1">
      <c r="A2790" s="15">
        <v>45838.542590474535</v>
      </c>
      <c r="B2790" s="16">
        <v>45831</v>
      </c>
      <c r="C2790" s="2" t="s">
        <v>1100</v>
      </c>
      <c r="D2790" s="2" t="s">
        <v>38</v>
      </c>
      <c r="E2790" s="2">
        <v>127</v>
      </c>
      <c r="F2790" s="2" t="s">
        <v>102</v>
      </c>
      <c r="G2790" s="2" t="s">
        <v>103</v>
      </c>
      <c r="H2790" s="2" t="s">
        <v>35</v>
      </c>
    </row>
    <row r="2791" spans="1:8" ht="13" hidden="1">
      <c r="A2791" s="15">
        <v>45845.895692407408</v>
      </c>
      <c r="B2791" s="16">
        <v>45831</v>
      </c>
      <c r="C2791" s="2" t="s">
        <v>1101</v>
      </c>
      <c r="D2791" s="2" t="s">
        <v>48</v>
      </c>
      <c r="E2791" s="2">
        <v>660</v>
      </c>
      <c r="F2791" s="2" t="s">
        <v>100</v>
      </c>
      <c r="H2791" s="2" t="s">
        <v>35</v>
      </c>
    </row>
    <row r="2792" spans="1:8" ht="13" hidden="1">
      <c r="A2792" s="15">
        <v>45891.901977465277</v>
      </c>
      <c r="B2792" s="16">
        <v>45891</v>
      </c>
      <c r="C2792" s="2" t="s">
        <v>1014</v>
      </c>
      <c r="D2792" s="2" t="s">
        <v>38</v>
      </c>
      <c r="E2792" s="2">
        <v>600</v>
      </c>
      <c r="F2792" s="2" t="s">
        <v>102</v>
      </c>
      <c r="H2792" s="2" t="s">
        <v>35</v>
      </c>
    </row>
    <row r="2793" spans="1:8" ht="13" hidden="1">
      <c r="A2793" s="15">
        <v>45845.896034618054</v>
      </c>
      <c r="B2793" s="16">
        <v>45832</v>
      </c>
      <c r="C2793" s="2" t="s">
        <v>1102</v>
      </c>
      <c r="D2793" s="2" t="s">
        <v>39</v>
      </c>
      <c r="E2793" s="2">
        <v>990</v>
      </c>
      <c r="F2793" s="2" t="s">
        <v>100</v>
      </c>
      <c r="H2793" s="2" t="s">
        <v>35</v>
      </c>
    </row>
    <row r="2794" spans="1:8" ht="13" hidden="1">
      <c r="A2794" s="15">
        <v>45838.543548657406</v>
      </c>
      <c r="B2794" s="16">
        <v>45833</v>
      </c>
      <c r="C2794" s="2" t="s">
        <v>106</v>
      </c>
      <c r="D2794" s="2" t="s">
        <v>38</v>
      </c>
      <c r="E2794" s="2">
        <v>950</v>
      </c>
      <c r="F2794" s="2" t="s">
        <v>102</v>
      </c>
      <c r="G2794" s="2" t="s">
        <v>1095</v>
      </c>
      <c r="H2794" s="2" t="s">
        <v>35</v>
      </c>
    </row>
    <row r="2795" spans="1:8" ht="13" hidden="1">
      <c r="A2795" s="15">
        <v>45838.543806793983</v>
      </c>
      <c r="B2795" s="16">
        <v>45833</v>
      </c>
      <c r="C2795" s="2" t="s">
        <v>112</v>
      </c>
      <c r="D2795" s="2" t="s">
        <v>38</v>
      </c>
      <c r="E2795" s="2">
        <v>280</v>
      </c>
      <c r="F2795" s="2" t="s">
        <v>102</v>
      </c>
      <c r="G2795" s="2" t="s">
        <v>113</v>
      </c>
      <c r="H2795" s="2" t="s">
        <v>35</v>
      </c>
    </row>
    <row r="2796" spans="1:8" ht="13" hidden="1">
      <c r="A2796" s="15">
        <v>45838.544052569443</v>
      </c>
      <c r="B2796" s="16">
        <v>45833</v>
      </c>
      <c r="C2796" s="2" t="s">
        <v>114</v>
      </c>
      <c r="D2796" s="2" t="s">
        <v>38</v>
      </c>
      <c r="E2796" s="2">
        <v>183</v>
      </c>
      <c r="F2796" s="2" t="s">
        <v>102</v>
      </c>
      <c r="G2796" s="2" t="s">
        <v>356</v>
      </c>
      <c r="H2796" s="2" t="s">
        <v>35</v>
      </c>
    </row>
    <row r="2797" spans="1:8" ht="13" hidden="1">
      <c r="A2797" s="15">
        <v>45838.544519988427</v>
      </c>
      <c r="B2797" s="16">
        <v>45833</v>
      </c>
      <c r="C2797" s="2" t="s">
        <v>1103</v>
      </c>
      <c r="D2797" s="2" t="s">
        <v>39</v>
      </c>
      <c r="E2797" s="2">
        <v>10400</v>
      </c>
      <c r="F2797" s="2" t="s">
        <v>102</v>
      </c>
      <c r="H2797" s="2" t="s">
        <v>35</v>
      </c>
    </row>
    <row r="2798" spans="1:8" ht="13" hidden="1">
      <c r="A2798" s="15">
        <v>45845.896383923609</v>
      </c>
      <c r="B2798" s="16">
        <v>45833</v>
      </c>
      <c r="C2798" s="2" t="s">
        <v>240</v>
      </c>
      <c r="D2798" s="2" t="s">
        <v>42</v>
      </c>
      <c r="E2798" s="2">
        <v>990</v>
      </c>
      <c r="F2798" s="2" t="s">
        <v>100</v>
      </c>
      <c r="H2798" s="2" t="s">
        <v>35</v>
      </c>
    </row>
    <row r="2799" spans="1:8" ht="13" hidden="1">
      <c r="A2799" s="15">
        <v>45845.896621967593</v>
      </c>
      <c r="B2799" s="16">
        <v>45833</v>
      </c>
      <c r="C2799" s="2" t="s">
        <v>350</v>
      </c>
      <c r="D2799" s="2" t="s">
        <v>40</v>
      </c>
      <c r="E2799" s="2">
        <v>2000</v>
      </c>
      <c r="F2799" s="2" t="s">
        <v>100</v>
      </c>
      <c r="H2799" s="2" t="s">
        <v>35</v>
      </c>
    </row>
    <row r="2800" spans="1:8" ht="13" hidden="1">
      <c r="A2800" s="15">
        <v>45838.547724965276</v>
      </c>
      <c r="B2800" s="16">
        <v>45833</v>
      </c>
      <c r="C2800" s="2" t="s">
        <v>1104</v>
      </c>
      <c r="E2800" s="2">
        <v>378905</v>
      </c>
      <c r="H2800" s="2" t="s">
        <v>34</v>
      </c>
    </row>
    <row r="2801" spans="1:8" ht="13" hidden="1">
      <c r="A2801" s="15">
        <v>45838.544846666671</v>
      </c>
      <c r="B2801" s="16">
        <v>45834</v>
      </c>
      <c r="C2801" s="2" t="s">
        <v>116</v>
      </c>
      <c r="D2801" s="2" t="s">
        <v>38</v>
      </c>
      <c r="E2801" s="2">
        <v>239</v>
      </c>
      <c r="F2801" s="2" t="s">
        <v>102</v>
      </c>
      <c r="G2801" s="2" t="s">
        <v>969</v>
      </c>
      <c r="H2801" s="2" t="s">
        <v>35</v>
      </c>
    </row>
    <row r="2802" spans="1:8" ht="13" hidden="1">
      <c r="A2802" s="15">
        <v>45838.548144722226</v>
      </c>
      <c r="B2802" s="16">
        <v>45835</v>
      </c>
      <c r="C2802" s="2" t="s">
        <v>11</v>
      </c>
      <c r="D2802" s="2" t="s">
        <v>47</v>
      </c>
      <c r="E2802" s="2">
        <v>40000</v>
      </c>
      <c r="F2802" s="2" t="s">
        <v>102</v>
      </c>
      <c r="H2802" s="2" t="s">
        <v>35</v>
      </c>
    </row>
    <row r="2803" spans="1:8" ht="13" hidden="1">
      <c r="A2803" s="15">
        <v>45838.5485003125</v>
      </c>
      <c r="B2803" s="16">
        <v>45835</v>
      </c>
      <c r="C2803" s="2" t="s">
        <v>9</v>
      </c>
      <c r="D2803" s="2" t="s">
        <v>47</v>
      </c>
      <c r="E2803" s="2">
        <v>13600</v>
      </c>
      <c r="F2803" s="2" t="s">
        <v>102</v>
      </c>
      <c r="H2803" s="2" t="s">
        <v>35</v>
      </c>
    </row>
    <row r="2804" spans="1:8" ht="13" hidden="1">
      <c r="A2804" s="15">
        <v>45838.548962037035</v>
      </c>
      <c r="B2804" s="16">
        <v>45835</v>
      </c>
      <c r="C2804" s="2" t="s">
        <v>146</v>
      </c>
      <c r="D2804" s="2" t="s">
        <v>47</v>
      </c>
      <c r="E2804" s="2">
        <v>3600</v>
      </c>
      <c r="F2804" s="2" t="s">
        <v>102</v>
      </c>
      <c r="H2804" s="2" t="s">
        <v>35</v>
      </c>
    </row>
    <row r="2805" spans="1:8" ht="13" hidden="1">
      <c r="A2805" s="15">
        <v>45838.549187604163</v>
      </c>
      <c r="B2805" s="16">
        <v>45835</v>
      </c>
      <c r="C2805" s="2" t="s">
        <v>408</v>
      </c>
      <c r="D2805" s="2" t="s">
        <v>152</v>
      </c>
      <c r="E2805" s="2">
        <v>15000</v>
      </c>
      <c r="F2805" s="2" t="s">
        <v>102</v>
      </c>
      <c r="H2805" s="2" t="s">
        <v>35</v>
      </c>
    </row>
    <row r="2806" spans="1:8" ht="13" hidden="1">
      <c r="A2806" s="15">
        <v>45838.549656388888</v>
      </c>
      <c r="B2806" s="16">
        <v>45835</v>
      </c>
      <c r="C2806" s="2" t="s">
        <v>138</v>
      </c>
      <c r="D2806" s="2" t="s">
        <v>5</v>
      </c>
      <c r="E2806" s="2">
        <v>93000</v>
      </c>
      <c r="F2806" s="2" t="s">
        <v>102</v>
      </c>
      <c r="H2806" s="2" t="s">
        <v>35</v>
      </c>
    </row>
    <row r="2807" spans="1:8" ht="13" hidden="1">
      <c r="A2807" s="15">
        <v>45838.549932222224</v>
      </c>
      <c r="B2807" s="16">
        <v>45835</v>
      </c>
      <c r="C2807" s="2" t="s">
        <v>133</v>
      </c>
      <c r="D2807" s="2" t="s">
        <v>47</v>
      </c>
      <c r="E2807" s="2">
        <v>24000</v>
      </c>
      <c r="F2807" s="2" t="s">
        <v>102</v>
      </c>
      <c r="H2807" s="2" t="s">
        <v>35</v>
      </c>
    </row>
    <row r="2808" spans="1:8" ht="13" hidden="1">
      <c r="A2808" s="15">
        <v>45838.545222650464</v>
      </c>
      <c r="B2808" s="16">
        <v>45836</v>
      </c>
      <c r="C2808" s="2" t="s">
        <v>1105</v>
      </c>
      <c r="D2808" s="2" t="s">
        <v>39</v>
      </c>
      <c r="E2808" s="2">
        <v>1800</v>
      </c>
      <c r="F2808" s="2" t="s">
        <v>102</v>
      </c>
      <c r="G2808" s="2" t="s">
        <v>1106</v>
      </c>
      <c r="H2808" s="2" t="s">
        <v>35</v>
      </c>
    </row>
    <row r="2809" spans="1:8" ht="13" hidden="1">
      <c r="A2809" s="15">
        <v>45838.545635428236</v>
      </c>
      <c r="B2809" s="16">
        <v>45836</v>
      </c>
      <c r="C2809" s="2" t="s">
        <v>1107</v>
      </c>
      <c r="D2809" s="2" t="s">
        <v>38</v>
      </c>
      <c r="E2809" s="2">
        <v>623</v>
      </c>
      <c r="F2809" s="2" t="s">
        <v>102</v>
      </c>
      <c r="G2809" s="2" t="s">
        <v>103</v>
      </c>
      <c r="H2809" s="2" t="s">
        <v>35</v>
      </c>
    </row>
    <row r="2810" spans="1:8" ht="13" hidden="1">
      <c r="A2810" s="15">
        <v>45838.546034884261</v>
      </c>
      <c r="B2810" s="16">
        <v>45836</v>
      </c>
      <c r="C2810" s="2" t="s">
        <v>1108</v>
      </c>
      <c r="D2810" s="2" t="s">
        <v>43</v>
      </c>
      <c r="E2810" s="2">
        <v>1376</v>
      </c>
      <c r="F2810" s="2" t="s">
        <v>102</v>
      </c>
      <c r="G2810" s="2" t="s">
        <v>956</v>
      </c>
      <c r="H2810" s="2" t="s">
        <v>35</v>
      </c>
    </row>
    <row r="2811" spans="1:8" ht="13" hidden="1">
      <c r="A2811" s="15">
        <v>45838.546272025458</v>
      </c>
      <c r="B2811" s="16">
        <v>45836</v>
      </c>
      <c r="C2811" s="2" t="s">
        <v>398</v>
      </c>
      <c r="D2811" s="2" t="s">
        <v>38</v>
      </c>
      <c r="E2811" s="2">
        <v>130</v>
      </c>
      <c r="F2811" s="2" t="s">
        <v>102</v>
      </c>
      <c r="H2811" s="2" t="s">
        <v>35</v>
      </c>
    </row>
    <row r="2812" spans="1:8" ht="13" hidden="1">
      <c r="A2812" s="15">
        <v>45845.897088518519</v>
      </c>
      <c r="B2812" s="16">
        <v>45836</v>
      </c>
      <c r="C2812" s="2" t="s">
        <v>105</v>
      </c>
      <c r="D2812" s="2" t="s">
        <v>40</v>
      </c>
      <c r="E2812" s="2">
        <v>3700</v>
      </c>
      <c r="F2812" s="2" t="s">
        <v>100</v>
      </c>
      <c r="H2812" s="2" t="s">
        <v>35</v>
      </c>
    </row>
    <row r="2813" spans="1:8" ht="13" hidden="1">
      <c r="A2813" s="15">
        <v>45845.897414814812</v>
      </c>
      <c r="B2813" s="16">
        <v>45836</v>
      </c>
      <c r="C2813" s="2" t="s">
        <v>350</v>
      </c>
      <c r="D2813" s="2" t="s">
        <v>40</v>
      </c>
      <c r="E2813" s="2">
        <v>2000</v>
      </c>
      <c r="F2813" s="2" t="s">
        <v>100</v>
      </c>
      <c r="H2813" s="2" t="s">
        <v>35</v>
      </c>
    </row>
    <row r="2814" spans="1:8" ht="13" hidden="1">
      <c r="A2814" s="15">
        <v>45845.897889166663</v>
      </c>
      <c r="B2814" s="16">
        <v>45836</v>
      </c>
      <c r="C2814" s="2" t="s">
        <v>1109</v>
      </c>
      <c r="D2814" s="2" t="s">
        <v>39</v>
      </c>
      <c r="E2814" s="2">
        <v>1570</v>
      </c>
      <c r="F2814" s="2" t="s">
        <v>100</v>
      </c>
      <c r="H2814" s="2" t="s">
        <v>35</v>
      </c>
    </row>
    <row r="2815" spans="1:8" ht="13" hidden="1">
      <c r="A2815" s="15">
        <v>45858.947575127313</v>
      </c>
      <c r="B2815" s="16">
        <v>45856</v>
      </c>
      <c r="C2815" s="2" t="s">
        <v>719</v>
      </c>
      <c r="D2815" s="2" t="s">
        <v>45</v>
      </c>
      <c r="E2815" s="2">
        <v>747</v>
      </c>
      <c r="F2815" s="2" t="s">
        <v>102</v>
      </c>
      <c r="G2815" s="2" t="s">
        <v>285</v>
      </c>
      <c r="H2815" s="2" t="s">
        <v>35</v>
      </c>
    </row>
    <row r="2816" spans="1:8" ht="13" hidden="1">
      <c r="A2816" s="15">
        <v>45871.644680231482</v>
      </c>
      <c r="B2816" s="16">
        <v>45871</v>
      </c>
      <c r="C2816" s="2" t="s">
        <v>719</v>
      </c>
      <c r="D2816" s="2" t="s">
        <v>45</v>
      </c>
      <c r="E2816" s="2">
        <v>734</v>
      </c>
      <c r="F2816" s="2" t="s">
        <v>102</v>
      </c>
      <c r="G2816" s="2" t="s">
        <v>285</v>
      </c>
      <c r="H2816" s="2" t="s">
        <v>35</v>
      </c>
    </row>
    <row r="2817" spans="1:8" ht="13" hidden="1">
      <c r="A2817" s="15">
        <v>45845.898589398144</v>
      </c>
      <c r="B2817" s="16">
        <v>45837</v>
      </c>
      <c r="C2817" s="2" t="s">
        <v>116</v>
      </c>
      <c r="D2817" s="2" t="s">
        <v>38</v>
      </c>
      <c r="E2817" s="2">
        <v>1258</v>
      </c>
      <c r="F2817" s="2" t="s">
        <v>100</v>
      </c>
      <c r="G2817" s="2" t="s">
        <v>652</v>
      </c>
      <c r="H2817" s="2" t="s">
        <v>35</v>
      </c>
    </row>
    <row r="2818" spans="1:8" ht="13" hidden="1">
      <c r="A2818" s="15">
        <v>45844.725209895834</v>
      </c>
      <c r="B2818" s="16">
        <v>45839</v>
      </c>
      <c r="C2818" s="2" t="s">
        <v>106</v>
      </c>
      <c r="D2818" s="2" t="s">
        <v>38</v>
      </c>
      <c r="E2818" s="2">
        <v>1300</v>
      </c>
      <c r="F2818" s="2" t="s">
        <v>102</v>
      </c>
      <c r="G2818" s="2" t="s">
        <v>957</v>
      </c>
      <c r="H2818" s="2" t="s">
        <v>35</v>
      </c>
    </row>
    <row r="2819" spans="1:8" ht="13" hidden="1">
      <c r="A2819" s="15">
        <v>45845.8982703125</v>
      </c>
      <c r="B2819" s="16">
        <v>45837</v>
      </c>
      <c r="C2819" s="2" t="s">
        <v>1110</v>
      </c>
      <c r="D2819" s="2" t="s">
        <v>45</v>
      </c>
      <c r="E2819" s="2">
        <v>700</v>
      </c>
      <c r="F2819" s="2" t="s">
        <v>100</v>
      </c>
      <c r="G2819" s="2" t="s">
        <v>129</v>
      </c>
      <c r="H2819" s="2" t="s">
        <v>35</v>
      </c>
    </row>
    <row r="2820" spans="1:8" ht="13" hidden="1">
      <c r="A2820" s="15">
        <v>45865.658413379628</v>
      </c>
      <c r="B2820" s="16">
        <v>45839</v>
      </c>
      <c r="C2820" s="2" t="s">
        <v>1111</v>
      </c>
      <c r="D2820" s="2" t="s">
        <v>49</v>
      </c>
      <c r="E2820" s="2">
        <v>500</v>
      </c>
      <c r="F2820" s="2" t="s">
        <v>100</v>
      </c>
      <c r="G2820" s="2" t="s">
        <v>179</v>
      </c>
      <c r="H2820" s="2" t="s">
        <v>35</v>
      </c>
    </row>
    <row r="2821" spans="1:8" ht="13" hidden="1">
      <c r="A2821" s="15">
        <v>45865.65883320602</v>
      </c>
      <c r="B2821" s="16">
        <v>45839</v>
      </c>
      <c r="C2821" s="2" t="s">
        <v>248</v>
      </c>
      <c r="D2821" s="2" t="s">
        <v>49</v>
      </c>
      <c r="E2821" s="2">
        <v>700</v>
      </c>
      <c r="F2821" s="2" t="s">
        <v>100</v>
      </c>
      <c r="G2821" s="2" t="s">
        <v>179</v>
      </c>
      <c r="H2821" s="2" t="s">
        <v>35</v>
      </c>
    </row>
    <row r="2822" spans="1:8" ht="13" hidden="1">
      <c r="A2822" s="15">
        <v>45783.777336736108</v>
      </c>
      <c r="B2822" s="16">
        <v>45779</v>
      </c>
      <c r="C2822" s="2" t="s">
        <v>1112</v>
      </c>
      <c r="D2822" s="2" t="s">
        <v>45</v>
      </c>
      <c r="E2822" s="2">
        <v>691</v>
      </c>
      <c r="F2822" s="2" t="s">
        <v>102</v>
      </c>
      <c r="H2822" s="2" t="s">
        <v>35</v>
      </c>
    </row>
    <row r="2823" spans="1:8" ht="13" hidden="1">
      <c r="A2823" s="15">
        <v>45865.659485219905</v>
      </c>
      <c r="B2823" s="16">
        <v>45839</v>
      </c>
      <c r="C2823" s="2" t="s">
        <v>26</v>
      </c>
      <c r="D2823" s="2" t="s">
        <v>41</v>
      </c>
      <c r="E2823" s="2">
        <v>4039</v>
      </c>
      <c r="F2823" s="2" t="s">
        <v>100</v>
      </c>
      <c r="H2823" s="2" t="s">
        <v>35</v>
      </c>
    </row>
    <row r="2824" spans="1:8" ht="13" hidden="1">
      <c r="A2824" s="15">
        <v>45844.726138587968</v>
      </c>
      <c r="B2824" s="16">
        <v>45840</v>
      </c>
      <c r="C2824" s="2" t="s">
        <v>1113</v>
      </c>
      <c r="D2824" s="2" t="s">
        <v>44</v>
      </c>
      <c r="E2824" s="2">
        <v>1990</v>
      </c>
      <c r="F2824" s="2" t="s">
        <v>102</v>
      </c>
      <c r="G2824" s="2" t="s">
        <v>132</v>
      </c>
      <c r="H2824" s="2" t="s">
        <v>35</v>
      </c>
    </row>
    <row r="2825" spans="1:8" ht="13" hidden="1">
      <c r="A2825" s="15">
        <v>45844.726460590275</v>
      </c>
      <c r="B2825" s="16">
        <v>45840</v>
      </c>
      <c r="C2825" s="2" t="s">
        <v>112</v>
      </c>
      <c r="D2825" s="2" t="s">
        <v>38</v>
      </c>
      <c r="E2825" s="2">
        <v>330</v>
      </c>
      <c r="F2825" s="2" t="s">
        <v>102</v>
      </c>
      <c r="G2825" s="2" t="s">
        <v>113</v>
      </c>
      <c r="H2825" s="2" t="s">
        <v>35</v>
      </c>
    </row>
    <row r="2826" spans="1:8" ht="13" hidden="1">
      <c r="A2826" s="15">
        <v>45844.726750844908</v>
      </c>
      <c r="B2826" s="16">
        <v>45840</v>
      </c>
      <c r="C2826" s="2" t="s">
        <v>114</v>
      </c>
      <c r="D2826" s="2" t="s">
        <v>38</v>
      </c>
      <c r="E2826" s="2">
        <v>155</v>
      </c>
      <c r="F2826" s="2" t="s">
        <v>102</v>
      </c>
      <c r="G2826" s="2" t="s">
        <v>1114</v>
      </c>
      <c r="H2826" s="2" t="s">
        <v>35</v>
      </c>
    </row>
    <row r="2827" spans="1:8" ht="13" hidden="1">
      <c r="A2827" s="15">
        <v>45710.867787696756</v>
      </c>
      <c r="B2827" s="16">
        <v>45709</v>
      </c>
      <c r="C2827" s="2" t="s">
        <v>1115</v>
      </c>
      <c r="D2827" s="2" t="s">
        <v>45</v>
      </c>
      <c r="E2827" s="2">
        <v>660</v>
      </c>
      <c r="F2827" s="2" t="s">
        <v>102</v>
      </c>
      <c r="G2827" s="2" t="s">
        <v>136</v>
      </c>
      <c r="H2827" s="2" t="s">
        <v>35</v>
      </c>
    </row>
    <row r="2828" spans="1:8" ht="13" hidden="1">
      <c r="A2828" s="15">
        <v>45844.727526331015</v>
      </c>
      <c r="B2828" s="16">
        <v>45840</v>
      </c>
      <c r="C2828" s="2" t="s">
        <v>1116</v>
      </c>
      <c r="D2828" s="2" t="s">
        <v>38</v>
      </c>
      <c r="E2828" s="2">
        <v>331</v>
      </c>
      <c r="F2828" s="2" t="s">
        <v>102</v>
      </c>
      <c r="G2828" s="2" t="s">
        <v>969</v>
      </c>
      <c r="H2828" s="2" t="s">
        <v>35</v>
      </c>
    </row>
    <row r="2829" spans="1:8" ht="13" hidden="1">
      <c r="A2829" s="15">
        <v>45844.725817557875</v>
      </c>
      <c r="B2829" s="16">
        <v>45839</v>
      </c>
      <c r="C2829" s="2" t="s">
        <v>779</v>
      </c>
      <c r="D2829" s="2" t="s">
        <v>45</v>
      </c>
      <c r="E2829" s="2">
        <v>650</v>
      </c>
      <c r="F2829" s="2" t="s">
        <v>102</v>
      </c>
      <c r="G2829" s="2" t="s">
        <v>285</v>
      </c>
      <c r="H2829" s="2" t="s">
        <v>35</v>
      </c>
    </row>
    <row r="2830" spans="1:8" ht="13" hidden="1">
      <c r="A2830" s="15">
        <v>45865.659818449072</v>
      </c>
      <c r="B2830" s="16">
        <v>45840</v>
      </c>
      <c r="C2830" s="2" t="s">
        <v>240</v>
      </c>
      <c r="D2830" s="2" t="s">
        <v>42</v>
      </c>
      <c r="E2830" s="2">
        <v>990</v>
      </c>
      <c r="F2830" s="2" t="s">
        <v>100</v>
      </c>
      <c r="H2830" s="2" t="s">
        <v>35</v>
      </c>
    </row>
    <row r="2831" spans="1:8" ht="13" hidden="1">
      <c r="A2831" s="15">
        <v>45865.660241851852</v>
      </c>
      <c r="B2831" s="16">
        <v>45840</v>
      </c>
      <c r="C2831" s="2" t="s">
        <v>350</v>
      </c>
      <c r="D2831" s="2" t="s">
        <v>40</v>
      </c>
      <c r="E2831" s="2">
        <v>2000</v>
      </c>
      <c r="F2831" s="2" t="s">
        <v>100</v>
      </c>
      <c r="H2831" s="2" t="s">
        <v>35</v>
      </c>
    </row>
    <row r="2832" spans="1:8" ht="13" hidden="1">
      <c r="A2832" s="15">
        <v>45865.660870775464</v>
      </c>
      <c r="B2832" s="16">
        <v>45840</v>
      </c>
      <c r="C2832" s="2" t="s">
        <v>1117</v>
      </c>
      <c r="D2832" s="2" t="s">
        <v>38</v>
      </c>
      <c r="E2832" s="2">
        <v>700</v>
      </c>
      <c r="F2832" s="2" t="s">
        <v>100</v>
      </c>
      <c r="H2832" s="2" t="s">
        <v>35</v>
      </c>
    </row>
    <row r="2833" spans="1:8" ht="13" hidden="1">
      <c r="A2833" s="15">
        <v>45865.661208368052</v>
      </c>
      <c r="B2833" s="16">
        <v>45840</v>
      </c>
      <c r="C2833" s="2" t="s">
        <v>116</v>
      </c>
      <c r="D2833" s="2" t="s">
        <v>38</v>
      </c>
      <c r="E2833" s="2">
        <v>1524</v>
      </c>
      <c r="F2833" s="2" t="s">
        <v>100</v>
      </c>
      <c r="H2833" s="2" t="s">
        <v>35</v>
      </c>
    </row>
    <row r="2834" spans="1:8" ht="13" hidden="1">
      <c r="A2834" s="15">
        <v>45844.731006087968</v>
      </c>
      <c r="B2834" s="16">
        <v>45840</v>
      </c>
      <c r="C2834" s="2" t="s">
        <v>258</v>
      </c>
      <c r="E2834" s="2">
        <v>6287</v>
      </c>
      <c r="H2834" s="2" t="s">
        <v>34</v>
      </c>
    </row>
    <row r="2835" spans="1:8" ht="13" hidden="1">
      <c r="A2835" s="15">
        <v>45858.945764641205</v>
      </c>
      <c r="B2835" s="16">
        <v>45853</v>
      </c>
      <c r="C2835" s="2" t="s">
        <v>104</v>
      </c>
      <c r="D2835" s="2" t="s">
        <v>45</v>
      </c>
      <c r="E2835" s="2">
        <v>641</v>
      </c>
      <c r="F2835" s="2" t="s">
        <v>102</v>
      </c>
      <c r="G2835" s="2" t="s">
        <v>285</v>
      </c>
      <c r="H2835" s="2" t="s">
        <v>35</v>
      </c>
    </row>
    <row r="2836" spans="1:8" ht="13" hidden="1">
      <c r="A2836" s="15">
        <v>45844.728259895834</v>
      </c>
      <c r="B2836" s="16">
        <v>45841</v>
      </c>
      <c r="C2836" s="2" t="s">
        <v>1118</v>
      </c>
      <c r="E2836" s="2">
        <v>8361</v>
      </c>
      <c r="H2836" s="2" t="s">
        <v>34</v>
      </c>
    </row>
    <row r="2837" spans="1:8" ht="13" hidden="1">
      <c r="A2837" s="15">
        <v>45844.728927071759</v>
      </c>
      <c r="B2837" s="16">
        <v>45842</v>
      </c>
      <c r="C2837" s="2" t="s">
        <v>113</v>
      </c>
      <c r="D2837" s="2" t="s">
        <v>38</v>
      </c>
      <c r="E2837" s="2">
        <v>280</v>
      </c>
      <c r="F2837" s="2" t="s">
        <v>102</v>
      </c>
      <c r="G2837" s="2" t="s">
        <v>113</v>
      </c>
      <c r="H2837" s="2" t="s">
        <v>35</v>
      </c>
    </row>
    <row r="2838" spans="1:8" ht="13" hidden="1">
      <c r="A2838" s="15">
        <v>45844.729181006944</v>
      </c>
      <c r="B2838" s="16">
        <v>45842</v>
      </c>
      <c r="C2838" s="2" t="s">
        <v>1119</v>
      </c>
      <c r="D2838" s="2" t="s">
        <v>46</v>
      </c>
      <c r="E2838" s="2">
        <v>3500</v>
      </c>
      <c r="F2838" s="2" t="s">
        <v>102</v>
      </c>
      <c r="H2838" s="2" t="s">
        <v>35</v>
      </c>
    </row>
    <row r="2839" spans="1:8" ht="13" hidden="1">
      <c r="A2839" s="15">
        <v>45683.609535405092</v>
      </c>
      <c r="B2839" s="16">
        <v>45682</v>
      </c>
      <c r="C2839" s="2" t="s">
        <v>912</v>
      </c>
      <c r="D2839" s="2" t="s">
        <v>45</v>
      </c>
      <c r="E2839" s="2">
        <v>632</v>
      </c>
      <c r="F2839" s="2" t="s">
        <v>102</v>
      </c>
      <c r="G2839" s="2" t="s">
        <v>285</v>
      </c>
      <c r="H2839" s="2" t="s">
        <v>35</v>
      </c>
    </row>
    <row r="2840" spans="1:8" ht="13" hidden="1">
      <c r="A2840" s="15">
        <v>45865.661598182865</v>
      </c>
      <c r="B2840" s="16">
        <v>45843</v>
      </c>
      <c r="C2840" s="2" t="s">
        <v>116</v>
      </c>
      <c r="D2840" s="2" t="s">
        <v>38</v>
      </c>
      <c r="E2840" s="2">
        <v>409</v>
      </c>
      <c r="F2840" s="2" t="s">
        <v>100</v>
      </c>
      <c r="H2840" s="2" t="s">
        <v>35</v>
      </c>
    </row>
    <row r="2841" spans="1:8" ht="13" hidden="1">
      <c r="A2841" s="15">
        <v>45865.661895185185</v>
      </c>
      <c r="B2841" s="16">
        <v>45843</v>
      </c>
      <c r="C2841" s="2" t="s">
        <v>105</v>
      </c>
      <c r="D2841" s="2" t="s">
        <v>40</v>
      </c>
      <c r="E2841" s="2">
        <v>2100</v>
      </c>
      <c r="F2841" s="2" t="s">
        <v>100</v>
      </c>
      <c r="H2841" s="2" t="s">
        <v>35</v>
      </c>
    </row>
    <row r="2842" spans="1:8" ht="13" hidden="1">
      <c r="A2842" s="15">
        <v>45865.662249583329</v>
      </c>
      <c r="B2842" s="16">
        <v>45843</v>
      </c>
      <c r="C2842" s="2" t="s">
        <v>1120</v>
      </c>
      <c r="D2842" s="2" t="s">
        <v>40</v>
      </c>
      <c r="E2842" s="2">
        <v>800</v>
      </c>
      <c r="F2842" s="2" t="s">
        <v>100</v>
      </c>
      <c r="H2842" s="2" t="s">
        <v>35</v>
      </c>
    </row>
    <row r="2843" spans="1:8" ht="13" hidden="1">
      <c r="A2843" s="15">
        <v>45670.566204710645</v>
      </c>
      <c r="B2843" s="16">
        <v>45669</v>
      </c>
      <c r="C2843" s="2" t="s">
        <v>1005</v>
      </c>
      <c r="D2843" s="2" t="s">
        <v>45</v>
      </c>
      <c r="E2843" s="2">
        <v>626</v>
      </c>
      <c r="F2843" s="2" t="s">
        <v>102</v>
      </c>
      <c r="G2843" s="2" t="s">
        <v>285</v>
      </c>
      <c r="H2843" s="2" t="s">
        <v>35</v>
      </c>
    </row>
    <row r="2844" spans="1:8" ht="13" hidden="1">
      <c r="A2844" s="15">
        <v>45697.631163217593</v>
      </c>
      <c r="B2844" s="16">
        <v>45693</v>
      </c>
      <c r="C2844" s="2" t="s">
        <v>719</v>
      </c>
      <c r="D2844" s="2" t="s">
        <v>45</v>
      </c>
      <c r="E2844" s="2">
        <v>626</v>
      </c>
      <c r="F2844" s="2" t="s">
        <v>102</v>
      </c>
      <c r="G2844" s="2" t="s">
        <v>285</v>
      </c>
      <c r="H2844" s="2" t="s">
        <v>35</v>
      </c>
    </row>
    <row r="2845" spans="1:8" ht="13" hidden="1">
      <c r="A2845" s="15">
        <v>45858.937748611112</v>
      </c>
      <c r="B2845" s="16">
        <v>45844</v>
      </c>
      <c r="C2845" s="2" t="s">
        <v>1121</v>
      </c>
      <c r="D2845" s="2" t="s">
        <v>38</v>
      </c>
      <c r="E2845" s="2">
        <v>1757</v>
      </c>
      <c r="F2845" s="2" t="s">
        <v>102</v>
      </c>
      <c r="G2845" s="2" t="s">
        <v>332</v>
      </c>
      <c r="H2845" s="2" t="s">
        <v>35</v>
      </c>
    </row>
    <row r="2846" spans="1:8" ht="13" hidden="1">
      <c r="A2846" s="15">
        <v>45865.662613657405</v>
      </c>
      <c r="B2846" s="16">
        <v>45844</v>
      </c>
      <c r="C2846" s="2" t="s">
        <v>116</v>
      </c>
      <c r="D2846" s="2" t="s">
        <v>38</v>
      </c>
      <c r="E2846" s="2">
        <v>1454</v>
      </c>
      <c r="F2846" s="2" t="s">
        <v>100</v>
      </c>
      <c r="G2846" s="2" t="s">
        <v>652</v>
      </c>
      <c r="H2846" s="2" t="s">
        <v>35</v>
      </c>
    </row>
    <row r="2847" spans="1:8" ht="13" hidden="1">
      <c r="A2847" s="15">
        <v>45865.663145046296</v>
      </c>
      <c r="B2847" s="16">
        <v>45844</v>
      </c>
      <c r="C2847" s="2" t="s">
        <v>1122</v>
      </c>
      <c r="D2847" s="2" t="s">
        <v>40</v>
      </c>
      <c r="E2847" s="2">
        <v>13860</v>
      </c>
      <c r="F2847" s="2" t="s">
        <v>100</v>
      </c>
      <c r="H2847" s="2" t="s">
        <v>35</v>
      </c>
    </row>
    <row r="2848" spans="1:8" ht="13" hidden="1">
      <c r="A2848" s="15">
        <v>45865.663636585647</v>
      </c>
      <c r="B2848" s="16">
        <v>45844</v>
      </c>
      <c r="C2848" s="2" t="s">
        <v>1123</v>
      </c>
      <c r="D2848" s="2" t="s">
        <v>40</v>
      </c>
      <c r="E2848" s="2">
        <v>11860</v>
      </c>
      <c r="F2848" s="2" t="s">
        <v>100</v>
      </c>
      <c r="H2848" s="2" t="s">
        <v>35</v>
      </c>
    </row>
    <row r="2849" spans="1:8" ht="13" hidden="1">
      <c r="A2849" s="15">
        <v>45865.663890613425</v>
      </c>
      <c r="B2849" s="16">
        <v>45844</v>
      </c>
      <c r="C2849" s="2" t="s">
        <v>350</v>
      </c>
      <c r="D2849" s="2" t="s">
        <v>40</v>
      </c>
      <c r="E2849" s="2">
        <v>2000</v>
      </c>
      <c r="F2849" s="2" t="s">
        <v>100</v>
      </c>
      <c r="H2849" s="2" t="s">
        <v>35</v>
      </c>
    </row>
    <row r="2850" spans="1:8" ht="13" hidden="1">
      <c r="A2850" s="15">
        <v>45858.938265069446</v>
      </c>
      <c r="B2850" s="16">
        <v>45845</v>
      </c>
      <c r="C2850" s="2" t="s">
        <v>106</v>
      </c>
      <c r="D2850" s="2" t="s">
        <v>38</v>
      </c>
      <c r="E2850" s="2">
        <v>1700</v>
      </c>
      <c r="F2850" s="2" t="s">
        <v>102</v>
      </c>
      <c r="G2850" s="2" t="s">
        <v>931</v>
      </c>
      <c r="H2850" s="2" t="s">
        <v>35</v>
      </c>
    </row>
    <row r="2851" spans="1:8" ht="13" hidden="1">
      <c r="A2851" s="15">
        <v>45858.938583379626</v>
      </c>
      <c r="B2851" s="16">
        <v>45845</v>
      </c>
      <c r="C2851" s="2" t="s">
        <v>1124</v>
      </c>
      <c r="D2851" s="2" t="s">
        <v>38</v>
      </c>
      <c r="E2851" s="2">
        <v>1380</v>
      </c>
      <c r="F2851" s="2" t="s">
        <v>102</v>
      </c>
      <c r="G2851" s="2" t="s">
        <v>199</v>
      </c>
      <c r="H2851" s="2" t="s">
        <v>35</v>
      </c>
    </row>
    <row r="2852" spans="1:8" ht="13" hidden="1">
      <c r="A2852" s="15">
        <v>45865.664191087963</v>
      </c>
      <c r="B2852" s="16">
        <v>45846</v>
      </c>
      <c r="C2852" s="2" t="s">
        <v>12</v>
      </c>
      <c r="D2852" s="2" t="s">
        <v>39</v>
      </c>
      <c r="E2852" s="2">
        <v>1520</v>
      </c>
      <c r="F2852" s="2" t="s">
        <v>100</v>
      </c>
      <c r="H2852" s="2" t="s">
        <v>35</v>
      </c>
    </row>
    <row r="2853" spans="1:8" ht="13" hidden="1">
      <c r="A2853" s="15">
        <v>45865.665163206024</v>
      </c>
      <c r="B2853" s="16">
        <v>45846</v>
      </c>
      <c r="C2853" s="2" t="s">
        <v>1125</v>
      </c>
      <c r="D2853" s="2" t="s">
        <v>39</v>
      </c>
      <c r="E2853" s="2">
        <v>300</v>
      </c>
      <c r="F2853" s="2" t="s">
        <v>100</v>
      </c>
      <c r="H2853" s="2" t="s">
        <v>35</v>
      </c>
    </row>
    <row r="2854" spans="1:8" ht="13" hidden="1">
      <c r="A2854" s="15">
        <v>45865.665618993051</v>
      </c>
      <c r="B2854" s="16">
        <v>45846</v>
      </c>
      <c r="C2854" s="2" t="s">
        <v>654</v>
      </c>
      <c r="D2854" s="2" t="s">
        <v>48</v>
      </c>
      <c r="E2854" s="2">
        <v>150</v>
      </c>
      <c r="F2854" s="2" t="s">
        <v>100</v>
      </c>
      <c r="H2854" s="2" t="s">
        <v>35</v>
      </c>
    </row>
    <row r="2855" spans="1:8" ht="13" hidden="1">
      <c r="A2855" s="15">
        <v>45865.666051203705</v>
      </c>
      <c r="B2855" s="16">
        <v>45846</v>
      </c>
      <c r="C2855" s="2" t="s">
        <v>736</v>
      </c>
      <c r="D2855" s="2" t="s">
        <v>39</v>
      </c>
      <c r="E2855" s="2">
        <v>2310</v>
      </c>
      <c r="F2855" s="2" t="s">
        <v>100</v>
      </c>
      <c r="H2855" s="2" t="s">
        <v>35</v>
      </c>
    </row>
    <row r="2856" spans="1:8" ht="13" hidden="1">
      <c r="A2856" s="15">
        <v>45858.938922835645</v>
      </c>
      <c r="B2856" s="16">
        <v>45847</v>
      </c>
      <c r="C2856" s="2" t="s">
        <v>114</v>
      </c>
      <c r="D2856" s="2" t="s">
        <v>38</v>
      </c>
      <c r="E2856" s="2">
        <v>140</v>
      </c>
      <c r="F2856" s="2" t="s">
        <v>102</v>
      </c>
      <c r="G2856" s="2" t="s">
        <v>1126</v>
      </c>
      <c r="H2856" s="2" t="s">
        <v>35</v>
      </c>
    </row>
    <row r="2857" spans="1:8" ht="13" hidden="1">
      <c r="A2857" s="15">
        <v>45858.939265428242</v>
      </c>
      <c r="B2857" s="16">
        <v>45847</v>
      </c>
      <c r="C2857" s="2" t="s">
        <v>1100</v>
      </c>
      <c r="D2857" s="2" t="s">
        <v>38</v>
      </c>
      <c r="E2857" s="2">
        <v>149</v>
      </c>
      <c r="F2857" s="2" t="s">
        <v>102</v>
      </c>
      <c r="G2857" s="2" t="s">
        <v>356</v>
      </c>
      <c r="H2857" s="2" t="s">
        <v>35</v>
      </c>
    </row>
    <row r="2858" spans="1:8" ht="13" hidden="1">
      <c r="A2858" s="15">
        <v>45865.666524826389</v>
      </c>
      <c r="B2858" s="16">
        <v>45847</v>
      </c>
      <c r="C2858" s="2" t="s">
        <v>1127</v>
      </c>
      <c r="D2858" s="2" t="s">
        <v>152</v>
      </c>
      <c r="E2858" s="2">
        <v>1056</v>
      </c>
      <c r="F2858" s="2" t="s">
        <v>100</v>
      </c>
      <c r="H2858" s="2" t="s">
        <v>35</v>
      </c>
    </row>
    <row r="2859" spans="1:8" ht="13" hidden="1">
      <c r="A2859" s="15">
        <v>45865.667037187501</v>
      </c>
      <c r="B2859" s="16">
        <v>45847</v>
      </c>
      <c r="C2859" s="2" t="s">
        <v>197</v>
      </c>
      <c r="D2859" s="2" t="s">
        <v>48</v>
      </c>
      <c r="E2859" s="2">
        <v>880</v>
      </c>
      <c r="F2859" s="2" t="s">
        <v>100</v>
      </c>
      <c r="H2859" s="2" t="s">
        <v>35</v>
      </c>
    </row>
    <row r="2860" spans="1:8" ht="13" hidden="1">
      <c r="A2860" s="15">
        <v>45865.667375104167</v>
      </c>
      <c r="B2860" s="16">
        <v>45847</v>
      </c>
      <c r="C2860" s="2" t="s">
        <v>990</v>
      </c>
      <c r="D2860" s="2" t="s">
        <v>42</v>
      </c>
      <c r="E2860" s="2">
        <v>1012</v>
      </c>
      <c r="F2860" s="2" t="s">
        <v>100</v>
      </c>
      <c r="H2860" s="2" t="s">
        <v>35</v>
      </c>
    </row>
    <row r="2861" spans="1:8" ht="13" hidden="1">
      <c r="A2861" s="15">
        <v>45858.93964384259</v>
      </c>
      <c r="B2861" s="16">
        <v>45848</v>
      </c>
      <c r="C2861" s="2" t="s">
        <v>398</v>
      </c>
      <c r="D2861" s="2" t="s">
        <v>38</v>
      </c>
      <c r="E2861" s="2">
        <v>120</v>
      </c>
      <c r="F2861" s="2" t="s">
        <v>102</v>
      </c>
      <c r="G2861" s="2" t="s">
        <v>356</v>
      </c>
      <c r="H2861" s="2" t="s">
        <v>35</v>
      </c>
    </row>
    <row r="2862" spans="1:8" ht="13" hidden="1">
      <c r="A2862" s="15">
        <v>45865.667796412032</v>
      </c>
      <c r="B2862" s="16">
        <v>45849</v>
      </c>
      <c r="C2862" s="2" t="s">
        <v>18</v>
      </c>
      <c r="D2862" s="2" t="s">
        <v>41</v>
      </c>
      <c r="E2862" s="2">
        <v>5868</v>
      </c>
      <c r="F2862" s="2" t="s">
        <v>100</v>
      </c>
      <c r="H2862" s="2" t="s">
        <v>35</v>
      </c>
    </row>
    <row r="2863" spans="1:8" ht="13" hidden="1">
      <c r="A2863" s="15">
        <v>45858.939925335653</v>
      </c>
      <c r="B2863" s="16">
        <v>45850</v>
      </c>
      <c r="C2863" s="2" t="s">
        <v>1128</v>
      </c>
      <c r="D2863" s="2" t="s">
        <v>39</v>
      </c>
      <c r="E2863" s="2">
        <v>1000</v>
      </c>
      <c r="F2863" s="2" t="s">
        <v>102</v>
      </c>
      <c r="H2863" s="2" t="s">
        <v>35</v>
      </c>
    </row>
    <row r="2864" spans="1:8" ht="13" hidden="1">
      <c r="A2864" s="15">
        <v>45858.940951099532</v>
      </c>
      <c r="B2864" s="16">
        <v>45850</v>
      </c>
      <c r="C2864" s="2" t="s">
        <v>912</v>
      </c>
      <c r="D2864" s="2" t="s">
        <v>38</v>
      </c>
      <c r="E2864" s="2">
        <v>298</v>
      </c>
      <c r="F2864" s="2" t="s">
        <v>102</v>
      </c>
      <c r="G2864" s="2" t="s">
        <v>356</v>
      </c>
      <c r="H2864" s="2" t="s">
        <v>35</v>
      </c>
    </row>
    <row r="2865" spans="1:8" ht="13" hidden="1">
      <c r="A2865" s="15">
        <v>45865.668215891201</v>
      </c>
      <c r="B2865" s="16">
        <v>45850</v>
      </c>
      <c r="C2865" s="2" t="s">
        <v>350</v>
      </c>
      <c r="D2865" s="2" t="s">
        <v>40</v>
      </c>
      <c r="E2865" s="2">
        <v>2000</v>
      </c>
      <c r="F2865" s="2" t="s">
        <v>100</v>
      </c>
      <c r="H2865" s="2" t="s">
        <v>35</v>
      </c>
    </row>
    <row r="2866" spans="1:8" ht="13" hidden="1">
      <c r="A2866" s="15">
        <v>45858.940197974538</v>
      </c>
      <c r="B2866" s="16">
        <v>45850</v>
      </c>
      <c r="C2866" s="2" t="s">
        <v>1129</v>
      </c>
      <c r="E2866" s="2">
        <v>200</v>
      </c>
      <c r="H2866" s="2" t="s">
        <v>34</v>
      </c>
    </row>
    <row r="2867" spans="1:8" ht="13" hidden="1">
      <c r="A2867" s="15">
        <v>45858.941286493056</v>
      </c>
      <c r="B2867" s="16">
        <v>45851</v>
      </c>
      <c r="C2867" s="2" t="s">
        <v>110</v>
      </c>
      <c r="D2867" s="2" t="s">
        <v>38</v>
      </c>
      <c r="E2867" s="2">
        <v>530</v>
      </c>
      <c r="F2867" s="2" t="s">
        <v>102</v>
      </c>
      <c r="G2867" s="2" t="s">
        <v>113</v>
      </c>
      <c r="H2867" s="2" t="s">
        <v>35</v>
      </c>
    </row>
    <row r="2868" spans="1:8" ht="13" hidden="1">
      <c r="A2868" s="15">
        <v>45858.94166950231</v>
      </c>
      <c r="B2868" s="16">
        <v>45851</v>
      </c>
      <c r="C2868" s="2" t="s">
        <v>1130</v>
      </c>
      <c r="D2868" s="2" t="s">
        <v>38</v>
      </c>
      <c r="E2868" s="2">
        <v>335</v>
      </c>
      <c r="F2868" s="2" t="s">
        <v>102</v>
      </c>
      <c r="G2868" s="2" t="s">
        <v>103</v>
      </c>
      <c r="H2868" s="2" t="s">
        <v>35</v>
      </c>
    </row>
    <row r="2869" spans="1:8" ht="13" hidden="1">
      <c r="A2869" s="15">
        <v>45858.942047268516</v>
      </c>
      <c r="B2869" s="16">
        <v>45851</v>
      </c>
      <c r="C2869" s="2" t="s">
        <v>659</v>
      </c>
      <c r="D2869" s="2" t="s">
        <v>39</v>
      </c>
      <c r="E2869" s="2">
        <v>3450</v>
      </c>
      <c r="F2869" s="2" t="s">
        <v>102</v>
      </c>
      <c r="G2869" s="2" t="s">
        <v>1131</v>
      </c>
      <c r="H2869" s="2" t="s">
        <v>35</v>
      </c>
    </row>
    <row r="2870" spans="1:8" ht="13" hidden="1">
      <c r="A2870" s="15">
        <v>45858.942561145828</v>
      </c>
      <c r="B2870" s="16">
        <v>45851</v>
      </c>
      <c r="C2870" s="2" t="s">
        <v>1132</v>
      </c>
      <c r="D2870" s="2" t="s">
        <v>39</v>
      </c>
      <c r="E2870" s="2">
        <v>1000</v>
      </c>
      <c r="F2870" s="2" t="s">
        <v>102</v>
      </c>
      <c r="G2870" s="2" t="s">
        <v>1133</v>
      </c>
      <c r="H2870" s="2" t="s">
        <v>35</v>
      </c>
    </row>
    <row r="2871" spans="1:8" ht="13" hidden="1">
      <c r="A2871" s="15">
        <v>45858.94284113426</v>
      </c>
      <c r="B2871" s="16">
        <v>45851</v>
      </c>
      <c r="C2871" s="2" t="s">
        <v>1134</v>
      </c>
      <c r="D2871" s="2" t="s">
        <v>38</v>
      </c>
      <c r="E2871" s="2">
        <v>1500</v>
      </c>
      <c r="F2871" s="2" t="s">
        <v>102</v>
      </c>
      <c r="H2871" s="2" t="s">
        <v>35</v>
      </c>
    </row>
    <row r="2872" spans="1:8" ht="13" hidden="1">
      <c r="A2872" s="15">
        <v>45858.943227187498</v>
      </c>
      <c r="B2872" s="16">
        <v>45851</v>
      </c>
      <c r="C2872" s="2" t="s">
        <v>1135</v>
      </c>
      <c r="D2872" s="2" t="s">
        <v>38</v>
      </c>
      <c r="E2872" s="2">
        <v>468</v>
      </c>
      <c r="F2872" s="2" t="s">
        <v>102</v>
      </c>
      <c r="G2872" s="2" t="s">
        <v>107</v>
      </c>
      <c r="H2872" s="2" t="s">
        <v>35</v>
      </c>
    </row>
    <row r="2873" spans="1:8" ht="13" hidden="1">
      <c r="A2873" s="15">
        <v>45865.6689362037</v>
      </c>
      <c r="B2873" s="16">
        <v>45851</v>
      </c>
      <c r="C2873" s="2" t="s">
        <v>499</v>
      </c>
      <c r="D2873" s="2" t="s">
        <v>38</v>
      </c>
      <c r="E2873" s="2">
        <v>3371</v>
      </c>
      <c r="F2873" s="2" t="s">
        <v>100</v>
      </c>
      <c r="G2873" s="2" t="s">
        <v>1092</v>
      </c>
      <c r="H2873" s="2" t="s">
        <v>35</v>
      </c>
    </row>
    <row r="2874" spans="1:8" ht="13" hidden="1">
      <c r="A2874" s="15">
        <v>45858.942257233793</v>
      </c>
      <c r="B2874" s="16">
        <v>45851</v>
      </c>
      <c r="C2874" s="2" t="s">
        <v>1136</v>
      </c>
      <c r="E2874" s="2">
        <v>1600</v>
      </c>
      <c r="H2874" s="2" t="s">
        <v>34</v>
      </c>
    </row>
    <row r="2875" spans="1:8" ht="13" hidden="1">
      <c r="A2875" s="15">
        <v>45858.943570092597</v>
      </c>
      <c r="B2875" s="16">
        <v>45852</v>
      </c>
      <c r="C2875" s="2" t="s">
        <v>1137</v>
      </c>
      <c r="D2875" s="2" t="s">
        <v>38</v>
      </c>
      <c r="E2875" s="2">
        <v>1340</v>
      </c>
      <c r="F2875" s="2" t="s">
        <v>102</v>
      </c>
      <c r="G2875" s="2" t="s">
        <v>1138</v>
      </c>
      <c r="H2875" s="2" t="s">
        <v>35</v>
      </c>
    </row>
    <row r="2876" spans="1:8" ht="13" hidden="1">
      <c r="A2876" s="15">
        <v>45858.943868518516</v>
      </c>
      <c r="B2876" s="16">
        <v>45852</v>
      </c>
      <c r="C2876" s="2" t="s">
        <v>1139</v>
      </c>
      <c r="D2876" s="2" t="s">
        <v>39</v>
      </c>
      <c r="E2876" s="2">
        <v>1309</v>
      </c>
      <c r="F2876" s="2" t="s">
        <v>102</v>
      </c>
      <c r="H2876" s="2" t="s">
        <v>35</v>
      </c>
    </row>
    <row r="2877" spans="1:8" ht="13" hidden="1">
      <c r="A2877" s="15">
        <v>45858.94411950231</v>
      </c>
      <c r="B2877" s="16">
        <v>45852</v>
      </c>
      <c r="C2877" s="2" t="s">
        <v>207</v>
      </c>
      <c r="D2877" s="2" t="s">
        <v>39</v>
      </c>
      <c r="E2877" s="2">
        <v>1002</v>
      </c>
      <c r="F2877" s="2" t="s">
        <v>102</v>
      </c>
      <c r="G2877" s="2" t="s">
        <v>1140</v>
      </c>
      <c r="H2877" s="2" t="s">
        <v>35</v>
      </c>
    </row>
    <row r="2878" spans="1:8" ht="13" hidden="1">
      <c r="A2878" s="15">
        <v>45858.944402013891</v>
      </c>
      <c r="B2878" s="16">
        <v>45852</v>
      </c>
      <c r="C2878" s="2" t="s">
        <v>207</v>
      </c>
      <c r="D2878" s="2" t="s">
        <v>39</v>
      </c>
      <c r="E2878" s="2">
        <v>1755</v>
      </c>
      <c r="F2878" s="2" t="s">
        <v>102</v>
      </c>
      <c r="G2878" s="2" t="s">
        <v>1141</v>
      </c>
      <c r="H2878" s="2" t="s">
        <v>35</v>
      </c>
    </row>
    <row r="2879" spans="1:8" ht="13" hidden="1">
      <c r="A2879" s="15">
        <v>45858.944873865737</v>
      </c>
      <c r="B2879" s="16">
        <v>45852</v>
      </c>
      <c r="C2879" s="2" t="s">
        <v>294</v>
      </c>
      <c r="D2879" s="2" t="s">
        <v>38</v>
      </c>
      <c r="E2879" s="2">
        <v>950</v>
      </c>
      <c r="F2879" s="2" t="s">
        <v>102</v>
      </c>
      <c r="G2879" s="2" t="s">
        <v>1142</v>
      </c>
      <c r="H2879" s="2" t="s">
        <v>35</v>
      </c>
    </row>
    <row r="2880" spans="1:8" ht="13" hidden="1">
      <c r="A2880" s="15">
        <v>45858.94526734954</v>
      </c>
      <c r="B2880" s="16">
        <v>45852</v>
      </c>
      <c r="C2880" s="2" t="s">
        <v>114</v>
      </c>
      <c r="D2880" s="2" t="s">
        <v>38</v>
      </c>
      <c r="E2880" s="2">
        <v>180</v>
      </c>
      <c r="F2880" s="2" t="s">
        <v>102</v>
      </c>
      <c r="G2880" s="2" t="s">
        <v>356</v>
      </c>
      <c r="H2880" s="2" t="s">
        <v>35</v>
      </c>
    </row>
    <row r="2881" spans="1:8" ht="13" hidden="1">
      <c r="A2881" s="15">
        <v>45865.669339618056</v>
      </c>
      <c r="B2881" s="16">
        <v>45852</v>
      </c>
      <c r="C2881" s="2" t="s">
        <v>1143</v>
      </c>
      <c r="D2881" s="2" t="s">
        <v>38</v>
      </c>
      <c r="E2881" s="2">
        <v>1860</v>
      </c>
      <c r="F2881" s="2" t="s">
        <v>100</v>
      </c>
      <c r="G2881" s="2" t="s">
        <v>129</v>
      </c>
      <c r="H2881" s="2" t="s">
        <v>35</v>
      </c>
    </row>
    <row r="2882" spans="1:8" ht="13" hidden="1">
      <c r="A2882" s="15">
        <v>45865.669632696758</v>
      </c>
      <c r="B2882" s="16">
        <v>45852</v>
      </c>
      <c r="C2882" s="2" t="s">
        <v>662</v>
      </c>
      <c r="D2882" s="2" t="s">
        <v>48</v>
      </c>
      <c r="E2882" s="2">
        <v>3371</v>
      </c>
      <c r="F2882" s="2" t="s">
        <v>100</v>
      </c>
      <c r="H2882" s="2" t="s">
        <v>35</v>
      </c>
    </row>
    <row r="2883" spans="1:8" ht="13" hidden="1">
      <c r="A2883" s="15">
        <v>45865.669928761577</v>
      </c>
      <c r="B2883" s="16">
        <v>45852</v>
      </c>
      <c r="C2883" s="2" t="s">
        <v>240</v>
      </c>
      <c r="D2883" s="2" t="s">
        <v>42</v>
      </c>
      <c r="E2883" s="2">
        <v>990</v>
      </c>
      <c r="F2883" s="2" t="s">
        <v>100</v>
      </c>
      <c r="H2883" s="2" t="s">
        <v>35</v>
      </c>
    </row>
    <row r="2884" spans="1:8" ht="13" hidden="1">
      <c r="A2884" s="15">
        <v>45865.670167303237</v>
      </c>
      <c r="B2884" s="16">
        <v>45852</v>
      </c>
      <c r="C2884" s="2" t="s">
        <v>350</v>
      </c>
      <c r="D2884" s="2" t="s">
        <v>40</v>
      </c>
      <c r="E2884" s="2">
        <v>2000</v>
      </c>
      <c r="F2884" s="2" t="s">
        <v>100</v>
      </c>
      <c r="H2884" s="2" t="s">
        <v>35</v>
      </c>
    </row>
    <row r="2885" spans="1:8" ht="13" hidden="1">
      <c r="A2885" s="15">
        <v>45858.950394363426</v>
      </c>
      <c r="B2885" s="16">
        <v>45852</v>
      </c>
      <c r="C2885" s="2" t="s">
        <v>1144</v>
      </c>
      <c r="E2885" s="2">
        <v>27620</v>
      </c>
      <c r="H2885" s="2" t="s">
        <v>34</v>
      </c>
    </row>
    <row r="2886" spans="1:8" ht="13" hidden="1">
      <c r="A2886" s="15">
        <v>45670.564517222221</v>
      </c>
      <c r="B2886" s="16">
        <v>45665</v>
      </c>
      <c r="C2886" s="2" t="s">
        <v>719</v>
      </c>
      <c r="D2886" s="2" t="s">
        <v>45</v>
      </c>
      <c r="E2886" s="2">
        <v>618</v>
      </c>
      <c r="F2886" s="2" t="s">
        <v>102</v>
      </c>
      <c r="G2886" s="2" t="s">
        <v>285</v>
      </c>
      <c r="H2886" s="2" t="s">
        <v>35</v>
      </c>
    </row>
    <row r="2887" spans="1:8" ht="13" hidden="1">
      <c r="A2887" s="15">
        <v>45865.670512928242</v>
      </c>
      <c r="B2887" s="16">
        <v>45853</v>
      </c>
      <c r="C2887" s="2" t="s">
        <v>116</v>
      </c>
      <c r="D2887" s="2" t="s">
        <v>38</v>
      </c>
      <c r="E2887" s="2">
        <v>1177</v>
      </c>
      <c r="F2887" s="2" t="s">
        <v>100</v>
      </c>
      <c r="G2887" s="2" t="s">
        <v>652</v>
      </c>
      <c r="H2887" s="2" t="s">
        <v>35</v>
      </c>
    </row>
    <row r="2888" spans="1:8" ht="13" hidden="1">
      <c r="A2888" s="15">
        <v>45858.946103634255</v>
      </c>
      <c r="B2888" s="16">
        <v>45854</v>
      </c>
      <c r="C2888" s="2" t="s">
        <v>1145</v>
      </c>
      <c r="D2888" s="2" t="s">
        <v>38</v>
      </c>
      <c r="E2888" s="2">
        <v>880</v>
      </c>
      <c r="F2888" s="2" t="s">
        <v>102</v>
      </c>
      <c r="G2888" s="2" t="s">
        <v>969</v>
      </c>
      <c r="H2888" s="2" t="s">
        <v>35</v>
      </c>
    </row>
    <row r="2889" spans="1:8" ht="13" hidden="1">
      <c r="A2889" s="15">
        <v>45865.670895358795</v>
      </c>
      <c r="B2889" s="16">
        <v>45854</v>
      </c>
      <c r="C2889" s="2" t="s">
        <v>20</v>
      </c>
      <c r="D2889" s="2" t="s">
        <v>39</v>
      </c>
      <c r="E2889" s="2">
        <v>1590</v>
      </c>
      <c r="F2889" s="2" t="s">
        <v>100</v>
      </c>
      <c r="H2889" s="2" t="s">
        <v>35</v>
      </c>
    </row>
    <row r="2890" spans="1:8" ht="13" hidden="1">
      <c r="A2890" s="15">
        <v>45865.671225370374</v>
      </c>
      <c r="B2890" s="16">
        <v>45855</v>
      </c>
      <c r="C2890" s="2" t="s">
        <v>368</v>
      </c>
      <c r="D2890" s="2" t="s">
        <v>48</v>
      </c>
      <c r="E2890" s="2">
        <v>1180</v>
      </c>
      <c r="F2890" s="2" t="s">
        <v>100</v>
      </c>
      <c r="H2890" s="2" t="s">
        <v>35</v>
      </c>
    </row>
    <row r="2891" spans="1:8" ht="13" hidden="1">
      <c r="A2891" s="15">
        <v>45858.946722604167</v>
      </c>
      <c r="B2891" s="16">
        <v>45856</v>
      </c>
      <c r="C2891" s="2" t="s">
        <v>1146</v>
      </c>
      <c r="D2891" s="2" t="s">
        <v>38</v>
      </c>
      <c r="E2891" s="2">
        <v>608</v>
      </c>
      <c r="F2891" s="2" t="s">
        <v>102</v>
      </c>
      <c r="G2891" s="2" t="s">
        <v>356</v>
      </c>
      <c r="H2891" s="2" t="s">
        <v>35</v>
      </c>
    </row>
    <row r="2892" spans="1:8" ht="13" hidden="1">
      <c r="A2892" s="15">
        <v>45858.947167719904</v>
      </c>
      <c r="B2892" s="16">
        <v>45856</v>
      </c>
      <c r="C2892" s="2" t="s">
        <v>106</v>
      </c>
      <c r="D2892" s="2" t="s">
        <v>38</v>
      </c>
      <c r="E2892" s="2">
        <v>1300</v>
      </c>
      <c r="F2892" s="2" t="s">
        <v>102</v>
      </c>
      <c r="G2892" s="2" t="s">
        <v>1147</v>
      </c>
      <c r="H2892" s="2" t="s">
        <v>35</v>
      </c>
    </row>
    <row r="2893" spans="1:8" ht="13" hidden="1">
      <c r="A2893" s="15">
        <v>45670.578858263892</v>
      </c>
      <c r="B2893" s="16">
        <v>45659</v>
      </c>
      <c r="C2893" s="2" t="s">
        <v>1148</v>
      </c>
      <c r="D2893" s="2" t="s">
        <v>45</v>
      </c>
      <c r="E2893" s="2">
        <v>600</v>
      </c>
      <c r="F2893" s="2" t="s">
        <v>100</v>
      </c>
      <c r="G2893" s="2" t="s">
        <v>696</v>
      </c>
      <c r="H2893" s="2" t="s">
        <v>35</v>
      </c>
    </row>
    <row r="2894" spans="1:8" ht="13" hidden="1">
      <c r="A2894" s="15">
        <v>45865.671787465282</v>
      </c>
      <c r="B2894" s="16">
        <v>45856</v>
      </c>
      <c r="C2894" s="2" t="s">
        <v>308</v>
      </c>
      <c r="D2894" s="2" t="s">
        <v>40</v>
      </c>
      <c r="E2894" s="2">
        <v>13690</v>
      </c>
      <c r="F2894" s="2" t="s">
        <v>100</v>
      </c>
      <c r="H2894" s="2" t="s">
        <v>35</v>
      </c>
    </row>
    <row r="2895" spans="1:8" ht="13" hidden="1">
      <c r="A2895" s="15">
        <v>45865.672193506944</v>
      </c>
      <c r="B2895" s="16">
        <v>45856</v>
      </c>
      <c r="C2895" s="2" t="s">
        <v>1149</v>
      </c>
      <c r="D2895" s="2" t="s">
        <v>40</v>
      </c>
      <c r="E2895" s="2">
        <v>14550</v>
      </c>
      <c r="F2895" s="2" t="s">
        <v>100</v>
      </c>
      <c r="H2895" s="2" t="s">
        <v>35</v>
      </c>
    </row>
    <row r="2896" spans="1:8" ht="13" hidden="1">
      <c r="A2896" s="15">
        <v>45865.672525416667</v>
      </c>
      <c r="B2896" s="16">
        <v>45856</v>
      </c>
      <c r="C2896" s="2" t="s">
        <v>240</v>
      </c>
      <c r="D2896" s="2" t="s">
        <v>42</v>
      </c>
      <c r="E2896" s="2">
        <v>990</v>
      </c>
      <c r="F2896" s="2" t="s">
        <v>100</v>
      </c>
      <c r="H2896" s="2" t="s">
        <v>35</v>
      </c>
    </row>
    <row r="2897" spans="1:8" ht="13" hidden="1">
      <c r="A2897" s="15">
        <v>45865.672918101853</v>
      </c>
      <c r="B2897" s="16">
        <v>45856</v>
      </c>
      <c r="C2897" s="2" t="s">
        <v>116</v>
      </c>
      <c r="D2897" s="2" t="s">
        <v>38</v>
      </c>
      <c r="E2897" s="2">
        <v>4275</v>
      </c>
      <c r="F2897" s="2" t="s">
        <v>100</v>
      </c>
      <c r="G2897" s="2" t="s">
        <v>652</v>
      </c>
      <c r="H2897" s="2" t="s">
        <v>35</v>
      </c>
    </row>
    <row r="2898" spans="1:8" ht="13" hidden="1">
      <c r="A2898" s="15">
        <v>45858.94799458333</v>
      </c>
      <c r="B2898" s="16">
        <v>45857</v>
      </c>
      <c r="C2898" s="2" t="s">
        <v>398</v>
      </c>
      <c r="D2898" s="2" t="s">
        <v>38</v>
      </c>
      <c r="E2898" s="2">
        <v>135</v>
      </c>
      <c r="F2898" s="2" t="s">
        <v>102</v>
      </c>
      <c r="G2898" s="2" t="s">
        <v>103</v>
      </c>
      <c r="H2898" s="2" t="s">
        <v>35</v>
      </c>
    </row>
    <row r="2899" spans="1:8" ht="13" hidden="1">
      <c r="A2899" s="15">
        <v>45858.948292465277</v>
      </c>
      <c r="B2899" s="16">
        <v>45857</v>
      </c>
      <c r="C2899" s="2" t="s">
        <v>1091</v>
      </c>
      <c r="D2899" s="2" t="s">
        <v>39</v>
      </c>
      <c r="E2899" s="2">
        <v>1000</v>
      </c>
      <c r="F2899" s="2" t="s">
        <v>102</v>
      </c>
      <c r="G2899" s="2" t="s">
        <v>1150</v>
      </c>
      <c r="H2899" s="2" t="s">
        <v>35</v>
      </c>
    </row>
    <row r="2900" spans="1:8" ht="13" hidden="1">
      <c r="A2900" s="15">
        <v>45858.948644583332</v>
      </c>
      <c r="B2900" s="16">
        <v>45858</v>
      </c>
      <c r="C2900" s="2" t="s">
        <v>112</v>
      </c>
      <c r="D2900" s="2" t="s">
        <v>38</v>
      </c>
      <c r="E2900" s="2">
        <v>700</v>
      </c>
      <c r="F2900" s="2" t="s">
        <v>102</v>
      </c>
      <c r="G2900" s="2" t="s">
        <v>186</v>
      </c>
      <c r="H2900" s="2" t="s">
        <v>35</v>
      </c>
    </row>
    <row r="2901" spans="1:8" ht="13" hidden="1">
      <c r="A2901" s="15">
        <v>45858.948984131945</v>
      </c>
      <c r="B2901" s="16">
        <v>45858</v>
      </c>
      <c r="C2901" s="2" t="s">
        <v>436</v>
      </c>
      <c r="D2901" s="2" t="s">
        <v>38</v>
      </c>
      <c r="E2901" s="2">
        <v>184</v>
      </c>
      <c r="F2901" s="2" t="s">
        <v>102</v>
      </c>
      <c r="G2901" s="2" t="s">
        <v>356</v>
      </c>
      <c r="H2901" s="2" t="s">
        <v>35</v>
      </c>
    </row>
    <row r="2902" spans="1:8" ht="13" hidden="1">
      <c r="A2902" s="15">
        <v>45865.673187905093</v>
      </c>
      <c r="B2902" s="16">
        <v>45858</v>
      </c>
      <c r="C2902" s="2" t="s">
        <v>1151</v>
      </c>
      <c r="D2902" s="2" t="s">
        <v>39</v>
      </c>
      <c r="E2902" s="2">
        <v>4000</v>
      </c>
      <c r="F2902" s="2" t="s">
        <v>100</v>
      </c>
      <c r="H2902" s="2" t="s">
        <v>35</v>
      </c>
    </row>
    <row r="2903" spans="1:8" ht="13" hidden="1">
      <c r="A2903" s="15">
        <v>45774.713578067131</v>
      </c>
      <c r="B2903" s="16">
        <v>45774</v>
      </c>
      <c r="C2903" s="2" t="s">
        <v>727</v>
      </c>
      <c r="D2903" s="2" t="s">
        <v>45</v>
      </c>
      <c r="E2903" s="2">
        <v>543</v>
      </c>
      <c r="F2903" s="2" t="s">
        <v>102</v>
      </c>
      <c r="G2903" s="2" t="s">
        <v>285</v>
      </c>
      <c r="H2903" s="2" t="s">
        <v>35</v>
      </c>
    </row>
    <row r="2904" spans="1:8" ht="13" hidden="1">
      <c r="A2904" s="15">
        <v>45865.673790567133</v>
      </c>
      <c r="B2904" s="16">
        <v>45858</v>
      </c>
      <c r="C2904" s="2" t="s">
        <v>24</v>
      </c>
      <c r="D2904" s="2" t="s">
        <v>49</v>
      </c>
      <c r="E2904" s="2">
        <v>1100</v>
      </c>
      <c r="F2904" s="2" t="s">
        <v>100</v>
      </c>
      <c r="H2904" s="2" t="s">
        <v>35</v>
      </c>
    </row>
    <row r="2905" spans="1:8" ht="13" hidden="1">
      <c r="A2905" s="15">
        <v>45861.584095347222</v>
      </c>
      <c r="B2905" s="16">
        <v>45858</v>
      </c>
      <c r="C2905" s="2" t="s">
        <v>1152</v>
      </c>
      <c r="E2905" s="2">
        <v>1100</v>
      </c>
      <c r="H2905" s="2" t="s">
        <v>34</v>
      </c>
    </row>
    <row r="2906" spans="1:8" ht="13" hidden="1">
      <c r="A2906" s="15">
        <v>45861.584425925925</v>
      </c>
      <c r="B2906" s="16">
        <v>45859</v>
      </c>
      <c r="C2906" s="2" t="s">
        <v>106</v>
      </c>
      <c r="D2906" s="2" t="s">
        <v>38</v>
      </c>
      <c r="E2906" s="2">
        <v>1000</v>
      </c>
      <c r="F2906" s="2" t="s">
        <v>102</v>
      </c>
      <c r="G2906" s="2" t="s">
        <v>1153</v>
      </c>
      <c r="H2906" s="2" t="s">
        <v>35</v>
      </c>
    </row>
    <row r="2907" spans="1:8" ht="13" hidden="1">
      <c r="A2907" s="15">
        <v>45861.584712569442</v>
      </c>
      <c r="B2907" s="16">
        <v>45859</v>
      </c>
      <c r="C2907" s="2" t="s">
        <v>1053</v>
      </c>
      <c r="D2907" s="2" t="s">
        <v>38</v>
      </c>
      <c r="E2907" s="2">
        <v>328</v>
      </c>
      <c r="F2907" s="2" t="s">
        <v>102</v>
      </c>
      <c r="G2907" s="2" t="s">
        <v>103</v>
      </c>
      <c r="H2907" s="2" t="s">
        <v>35</v>
      </c>
    </row>
    <row r="2908" spans="1:8" ht="13" hidden="1">
      <c r="A2908" s="15">
        <v>45861.58499116898</v>
      </c>
      <c r="B2908" s="16">
        <v>45859</v>
      </c>
      <c r="C2908" s="2" t="s">
        <v>287</v>
      </c>
      <c r="D2908" s="2" t="s">
        <v>38</v>
      </c>
      <c r="E2908" s="2">
        <v>650</v>
      </c>
      <c r="F2908" s="2" t="s">
        <v>102</v>
      </c>
      <c r="G2908" s="2" t="s">
        <v>199</v>
      </c>
      <c r="H2908" s="2" t="s">
        <v>35</v>
      </c>
    </row>
    <row r="2909" spans="1:8" ht="13" hidden="1">
      <c r="A2909" s="15">
        <v>45865.674070104171</v>
      </c>
      <c r="B2909" s="16">
        <v>45859</v>
      </c>
      <c r="C2909" s="2" t="s">
        <v>105</v>
      </c>
      <c r="D2909" s="2" t="s">
        <v>40</v>
      </c>
      <c r="E2909" s="2">
        <v>1100</v>
      </c>
      <c r="F2909" s="2" t="s">
        <v>100</v>
      </c>
      <c r="H2909" s="2" t="s">
        <v>35</v>
      </c>
    </row>
    <row r="2910" spans="1:8" ht="13" hidden="1">
      <c r="A2910" s="15">
        <v>45865.674412835651</v>
      </c>
      <c r="B2910" s="16">
        <v>45859</v>
      </c>
      <c r="C2910" s="2" t="s">
        <v>350</v>
      </c>
      <c r="D2910" s="2" t="s">
        <v>40</v>
      </c>
      <c r="E2910" s="2">
        <v>2000</v>
      </c>
      <c r="F2910" s="2" t="s">
        <v>100</v>
      </c>
      <c r="H2910" s="2" t="s">
        <v>35</v>
      </c>
    </row>
    <row r="2911" spans="1:8" ht="13" hidden="1">
      <c r="A2911" s="15">
        <v>45861.585254259262</v>
      </c>
      <c r="B2911" s="16">
        <v>45860</v>
      </c>
      <c r="C2911" s="2" t="s">
        <v>518</v>
      </c>
      <c r="D2911" s="2" t="s">
        <v>38</v>
      </c>
      <c r="E2911" s="2">
        <v>465</v>
      </c>
      <c r="F2911" s="2" t="s">
        <v>102</v>
      </c>
      <c r="G2911" s="2" t="s">
        <v>356</v>
      </c>
      <c r="H2911" s="2" t="s">
        <v>35</v>
      </c>
    </row>
    <row r="2912" spans="1:8" ht="13" hidden="1">
      <c r="A2912" s="15">
        <v>45902.731869756943</v>
      </c>
      <c r="B2912" s="16">
        <v>45881</v>
      </c>
      <c r="C2912" s="2" t="s">
        <v>1154</v>
      </c>
      <c r="D2912" s="2" t="s">
        <v>45</v>
      </c>
      <c r="E2912" s="2">
        <v>540</v>
      </c>
      <c r="F2912" s="2" t="s">
        <v>100</v>
      </c>
      <c r="G2912" s="2" t="s">
        <v>129</v>
      </c>
      <c r="H2912" s="2" t="s">
        <v>35</v>
      </c>
    </row>
    <row r="2913" spans="1:8" ht="13" hidden="1">
      <c r="A2913" s="15">
        <v>45865.6751553125</v>
      </c>
      <c r="B2913" s="16">
        <v>45860</v>
      </c>
      <c r="C2913" s="2" t="s">
        <v>240</v>
      </c>
      <c r="D2913" s="2" t="s">
        <v>42</v>
      </c>
      <c r="E2913" s="2">
        <v>990</v>
      </c>
      <c r="F2913" s="2" t="s">
        <v>100</v>
      </c>
      <c r="H2913" s="2" t="s">
        <v>35</v>
      </c>
    </row>
    <row r="2914" spans="1:8" ht="13" hidden="1">
      <c r="A2914" s="15">
        <v>45865.675435104167</v>
      </c>
      <c r="B2914" s="16">
        <v>45860</v>
      </c>
      <c r="C2914" s="2" t="s">
        <v>116</v>
      </c>
      <c r="D2914" s="2" t="s">
        <v>38</v>
      </c>
      <c r="E2914" s="2">
        <v>1037</v>
      </c>
      <c r="F2914" s="2" t="s">
        <v>100</v>
      </c>
      <c r="G2914" s="2" t="s">
        <v>652</v>
      </c>
      <c r="H2914" s="2" t="s">
        <v>35</v>
      </c>
    </row>
    <row r="2915" spans="1:8" ht="13" hidden="1">
      <c r="A2915" s="15">
        <v>45861.58555103009</v>
      </c>
      <c r="B2915" s="16">
        <v>45861</v>
      </c>
      <c r="C2915" s="2" t="s">
        <v>563</v>
      </c>
      <c r="D2915" s="2" t="s">
        <v>38</v>
      </c>
      <c r="E2915" s="2">
        <v>999</v>
      </c>
      <c r="F2915" s="2" t="s">
        <v>102</v>
      </c>
      <c r="G2915" s="2" t="s">
        <v>1155</v>
      </c>
      <c r="H2915" s="2" t="s">
        <v>35</v>
      </c>
    </row>
    <row r="2916" spans="1:8" ht="13" hidden="1">
      <c r="A2916" s="15">
        <v>45865.652087685186</v>
      </c>
      <c r="B2916" s="16">
        <v>45861</v>
      </c>
      <c r="C2916" s="2" t="s">
        <v>452</v>
      </c>
      <c r="D2916" s="2" t="s">
        <v>39</v>
      </c>
      <c r="E2916" s="2">
        <v>4900</v>
      </c>
      <c r="F2916" s="2" t="s">
        <v>102</v>
      </c>
      <c r="H2916" s="2" t="s">
        <v>35</v>
      </c>
    </row>
    <row r="2917" spans="1:8" ht="13" hidden="1">
      <c r="A2917" s="15">
        <v>45865.652305231481</v>
      </c>
      <c r="B2917" s="16">
        <v>45861</v>
      </c>
      <c r="C2917" s="2" t="s">
        <v>1040</v>
      </c>
      <c r="D2917" s="2" t="s">
        <v>38</v>
      </c>
      <c r="E2917" s="2">
        <v>248</v>
      </c>
      <c r="F2917" s="2" t="s">
        <v>102</v>
      </c>
      <c r="G2917" s="2" t="s">
        <v>356</v>
      </c>
      <c r="H2917" s="2" t="s">
        <v>35</v>
      </c>
    </row>
    <row r="2918" spans="1:8" ht="13" hidden="1">
      <c r="A2918" s="15">
        <v>45865.675708055554</v>
      </c>
      <c r="B2918" s="16">
        <v>45861</v>
      </c>
      <c r="C2918" s="2" t="s">
        <v>1156</v>
      </c>
      <c r="D2918" s="2" t="s">
        <v>40</v>
      </c>
      <c r="E2918" s="2">
        <v>13550</v>
      </c>
      <c r="F2918" s="2" t="s">
        <v>100</v>
      </c>
      <c r="H2918" s="2" t="s">
        <v>35</v>
      </c>
    </row>
    <row r="2919" spans="1:8" ht="13" hidden="1">
      <c r="A2919" s="15">
        <v>45871.646661689811</v>
      </c>
      <c r="B2919" s="16">
        <v>45861</v>
      </c>
      <c r="C2919" s="2" t="s">
        <v>807</v>
      </c>
      <c r="D2919" s="2" t="s">
        <v>152</v>
      </c>
      <c r="E2919" s="2">
        <v>3060</v>
      </c>
      <c r="F2919" s="2" t="s">
        <v>100</v>
      </c>
      <c r="H2919" s="2" t="s">
        <v>35</v>
      </c>
    </row>
    <row r="2920" spans="1:8" ht="13" hidden="1">
      <c r="A2920" s="15">
        <v>45865.652554444445</v>
      </c>
      <c r="B2920" s="16">
        <v>45862</v>
      </c>
      <c r="C2920" s="2" t="s">
        <v>106</v>
      </c>
      <c r="D2920" s="2" t="s">
        <v>38</v>
      </c>
      <c r="E2920" s="2">
        <v>1300</v>
      </c>
      <c r="F2920" s="2" t="s">
        <v>102</v>
      </c>
      <c r="G2920" s="2" t="s">
        <v>957</v>
      </c>
      <c r="H2920" s="2" t="s">
        <v>35</v>
      </c>
    </row>
    <row r="2921" spans="1:8" ht="13" hidden="1">
      <c r="A2921" s="15">
        <v>45865.653164409727</v>
      </c>
      <c r="B2921" s="16">
        <v>45862</v>
      </c>
      <c r="C2921" s="2" t="s">
        <v>1040</v>
      </c>
      <c r="D2921" s="2" t="s">
        <v>38</v>
      </c>
      <c r="E2921" s="2">
        <v>180</v>
      </c>
      <c r="F2921" s="2" t="s">
        <v>102</v>
      </c>
      <c r="G2921" s="2" t="s">
        <v>356</v>
      </c>
      <c r="H2921" s="2" t="s">
        <v>35</v>
      </c>
    </row>
    <row r="2922" spans="1:8" ht="13" hidden="1">
      <c r="A2922" s="15">
        <v>45865.652869456018</v>
      </c>
      <c r="B2922" s="16">
        <v>45862</v>
      </c>
      <c r="C2922" s="2" t="s">
        <v>1157</v>
      </c>
      <c r="E2922" s="2">
        <v>900</v>
      </c>
      <c r="H2922" s="2" t="s">
        <v>34</v>
      </c>
    </row>
    <row r="2923" spans="1:8" ht="13" hidden="1">
      <c r="A2923" s="15">
        <v>45871.647316736111</v>
      </c>
      <c r="B2923" s="16">
        <v>45862</v>
      </c>
      <c r="C2923" s="2" t="s">
        <v>105</v>
      </c>
      <c r="D2923" s="2" t="s">
        <v>40</v>
      </c>
      <c r="E2923" s="2">
        <v>1800</v>
      </c>
      <c r="F2923" s="2" t="s">
        <v>100</v>
      </c>
      <c r="H2923" s="2" t="s">
        <v>35</v>
      </c>
    </row>
    <row r="2924" spans="1:8" ht="13" hidden="1">
      <c r="A2924" s="15">
        <v>45861.586073171296</v>
      </c>
      <c r="B2924" s="16">
        <v>45863</v>
      </c>
      <c r="C2924" s="2" t="s">
        <v>11</v>
      </c>
      <c r="D2924" s="2" t="s">
        <v>47</v>
      </c>
      <c r="E2924" s="2">
        <v>40000</v>
      </c>
      <c r="F2924" s="2" t="s">
        <v>102</v>
      </c>
      <c r="H2924" s="2" t="s">
        <v>35</v>
      </c>
    </row>
    <row r="2925" spans="1:8" ht="13" hidden="1">
      <c r="A2925" s="15">
        <v>45865.653533113422</v>
      </c>
      <c r="B2925" s="16">
        <v>45863</v>
      </c>
      <c r="C2925" s="2" t="s">
        <v>106</v>
      </c>
      <c r="D2925" s="2" t="s">
        <v>38</v>
      </c>
      <c r="E2925" s="2">
        <v>1034</v>
      </c>
      <c r="F2925" s="2" t="s">
        <v>102</v>
      </c>
      <c r="H2925" s="2" t="s">
        <v>35</v>
      </c>
    </row>
    <row r="2926" spans="1:8" ht="13" hidden="1">
      <c r="A2926" s="15">
        <v>45865.653921458332</v>
      </c>
      <c r="B2926" s="16">
        <v>45863</v>
      </c>
      <c r="C2926" s="2" t="s">
        <v>112</v>
      </c>
      <c r="D2926" s="2" t="s">
        <v>38</v>
      </c>
      <c r="E2926" s="2">
        <v>280</v>
      </c>
      <c r="F2926" s="2" t="s">
        <v>102</v>
      </c>
      <c r="G2926" s="2" t="s">
        <v>113</v>
      </c>
      <c r="H2926" s="2" t="s">
        <v>35</v>
      </c>
    </row>
    <row r="2927" spans="1:8" ht="13" hidden="1">
      <c r="A2927" s="15">
        <v>45865.654229884254</v>
      </c>
      <c r="B2927" s="16">
        <v>45863</v>
      </c>
      <c r="C2927" s="2" t="s">
        <v>112</v>
      </c>
      <c r="D2927" s="2" t="s">
        <v>38</v>
      </c>
      <c r="E2927" s="2">
        <v>190</v>
      </c>
      <c r="F2927" s="2" t="s">
        <v>102</v>
      </c>
      <c r="G2927" s="2" t="s">
        <v>356</v>
      </c>
      <c r="H2927" s="2" t="s">
        <v>35</v>
      </c>
    </row>
    <row r="2928" spans="1:8" ht="13" hidden="1">
      <c r="A2928" s="15">
        <v>45865.654535000001</v>
      </c>
      <c r="B2928" s="16">
        <v>45863</v>
      </c>
      <c r="C2928" s="2" t="s">
        <v>1158</v>
      </c>
      <c r="D2928" s="2" t="s">
        <v>38</v>
      </c>
      <c r="E2928" s="2">
        <v>183</v>
      </c>
      <c r="F2928" s="2" t="s">
        <v>102</v>
      </c>
      <c r="G2928" s="2" t="s">
        <v>356</v>
      </c>
      <c r="H2928" s="2" t="s">
        <v>35</v>
      </c>
    </row>
    <row r="2929" spans="1:8" ht="13" hidden="1">
      <c r="A2929" s="15">
        <v>45865.65479753472</v>
      </c>
      <c r="B2929" s="16">
        <v>45863</v>
      </c>
      <c r="C2929" s="2" t="s">
        <v>1159</v>
      </c>
      <c r="D2929" s="2" t="s">
        <v>39</v>
      </c>
      <c r="E2929" s="2">
        <v>6000</v>
      </c>
      <c r="F2929" s="2" t="s">
        <v>102</v>
      </c>
      <c r="H2929" s="2" t="s">
        <v>35</v>
      </c>
    </row>
    <row r="2930" spans="1:8" ht="13" hidden="1">
      <c r="A2930" s="15">
        <v>45861.588976562503</v>
      </c>
      <c r="B2930" s="16">
        <v>45863</v>
      </c>
      <c r="C2930" s="2" t="s">
        <v>1160</v>
      </c>
      <c r="E2930" s="2">
        <v>379705</v>
      </c>
      <c r="H2930" s="2" t="s">
        <v>34</v>
      </c>
    </row>
    <row r="2931" spans="1:8" ht="13" hidden="1">
      <c r="A2931" s="15">
        <v>45871.647654467597</v>
      </c>
      <c r="B2931" s="16">
        <v>45863</v>
      </c>
      <c r="C2931" s="2" t="s">
        <v>277</v>
      </c>
      <c r="D2931" s="2" t="s">
        <v>46</v>
      </c>
      <c r="E2931" s="2">
        <v>1265</v>
      </c>
      <c r="F2931" s="2" t="s">
        <v>100</v>
      </c>
      <c r="G2931" s="2" t="s">
        <v>129</v>
      </c>
      <c r="H2931" s="2" t="s">
        <v>35</v>
      </c>
    </row>
    <row r="2932" spans="1:8" ht="13" hidden="1">
      <c r="A2932" s="15">
        <v>45871.648013842598</v>
      </c>
      <c r="B2932" s="16">
        <v>45863</v>
      </c>
      <c r="C2932" s="2" t="s">
        <v>350</v>
      </c>
      <c r="D2932" s="2" t="s">
        <v>40</v>
      </c>
      <c r="E2932" s="2">
        <v>2000</v>
      </c>
      <c r="F2932" s="2" t="s">
        <v>100</v>
      </c>
      <c r="H2932" s="2" t="s">
        <v>35</v>
      </c>
    </row>
    <row r="2933" spans="1:8" ht="13" hidden="1">
      <c r="A2933" s="15">
        <v>45722.862745335646</v>
      </c>
      <c r="B2933" s="16">
        <v>45722</v>
      </c>
      <c r="C2933" s="2" t="s">
        <v>1161</v>
      </c>
      <c r="D2933" s="2" t="s">
        <v>45</v>
      </c>
      <c r="E2933" s="2">
        <v>522</v>
      </c>
      <c r="F2933" s="2" t="s">
        <v>102</v>
      </c>
      <c r="G2933" s="2" t="s">
        <v>285</v>
      </c>
      <c r="H2933" s="2" t="s">
        <v>35</v>
      </c>
    </row>
    <row r="2934" spans="1:8" ht="13" hidden="1">
      <c r="A2934" s="15">
        <v>45865.655765115742</v>
      </c>
      <c r="B2934" s="16">
        <v>45864</v>
      </c>
      <c r="C2934" s="2" t="s">
        <v>1162</v>
      </c>
      <c r="D2934" s="2" t="s">
        <v>39</v>
      </c>
      <c r="E2934" s="2">
        <v>860</v>
      </c>
      <c r="F2934" s="2" t="s">
        <v>102</v>
      </c>
      <c r="H2934" s="2" t="s">
        <v>35</v>
      </c>
    </row>
    <row r="2935" spans="1:8" ht="13" hidden="1">
      <c r="A2935" s="15">
        <v>45865.656451585644</v>
      </c>
      <c r="B2935" s="16">
        <v>45864</v>
      </c>
      <c r="C2935" s="2" t="s">
        <v>280</v>
      </c>
      <c r="D2935" s="2" t="s">
        <v>46</v>
      </c>
      <c r="E2935" s="2">
        <v>1325</v>
      </c>
      <c r="F2935" s="2" t="s">
        <v>102</v>
      </c>
      <c r="G2935" s="2" t="s">
        <v>306</v>
      </c>
      <c r="H2935" s="2" t="s">
        <v>35</v>
      </c>
    </row>
    <row r="2936" spans="1:8" ht="13" hidden="1">
      <c r="A2936" s="15">
        <v>45871.648349421295</v>
      </c>
      <c r="B2936" s="16">
        <v>45864</v>
      </c>
      <c r="C2936" s="2" t="s">
        <v>240</v>
      </c>
      <c r="D2936" s="2" t="s">
        <v>42</v>
      </c>
      <c r="E2936" s="2">
        <v>990</v>
      </c>
      <c r="F2936" s="2" t="s">
        <v>100</v>
      </c>
      <c r="H2936" s="2" t="s">
        <v>35</v>
      </c>
    </row>
    <row r="2937" spans="1:8" ht="13" hidden="1">
      <c r="A2937" s="15">
        <v>45871.648861273148</v>
      </c>
      <c r="B2937" s="16">
        <v>45864</v>
      </c>
      <c r="C2937" s="2" t="s">
        <v>280</v>
      </c>
      <c r="D2937" s="2" t="s">
        <v>46</v>
      </c>
      <c r="E2937" s="2">
        <v>920</v>
      </c>
      <c r="F2937" s="2" t="s">
        <v>100</v>
      </c>
      <c r="G2937" s="2" t="s">
        <v>129</v>
      </c>
      <c r="H2937" s="2" t="s">
        <v>35</v>
      </c>
    </row>
    <row r="2938" spans="1:8" ht="13" hidden="1">
      <c r="A2938" s="15">
        <v>45871.649304791667</v>
      </c>
      <c r="B2938" s="16">
        <v>45864</v>
      </c>
      <c r="C2938" s="2" t="s">
        <v>116</v>
      </c>
      <c r="D2938" s="2" t="s">
        <v>38</v>
      </c>
      <c r="E2938" s="2">
        <v>1662</v>
      </c>
      <c r="F2938" s="2" t="s">
        <v>100</v>
      </c>
      <c r="G2938" s="2" t="s">
        <v>652</v>
      </c>
      <c r="H2938" s="2" t="s">
        <v>35</v>
      </c>
    </row>
    <row r="2939" spans="1:8" ht="13" hidden="1">
      <c r="A2939" s="15">
        <v>45871.649613611109</v>
      </c>
      <c r="B2939" s="16">
        <v>45864</v>
      </c>
      <c r="C2939" s="2" t="s">
        <v>1163</v>
      </c>
      <c r="D2939" s="2" t="s">
        <v>39</v>
      </c>
      <c r="E2939" s="2">
        <v>2200</v>
      </c>
      <c r="F2939" s="2" t="s">
        <v>100</v>
      </c>
      <c r="H2939" s="2" t="s">
        <v>35</v>
      </c>
    </row>
    <row r="2940" spans="1:8" ht="13" hidden="1">
      <c r="A2940" s="15">
        <v>45760.73809712963</v>
      </c>
      <c r="B2940" s="16">
        <v>45754</v>
      </c>
      <c r="C2940" s="2" t="s">
        <v>715</v>
      </c>
      <c r="D2940" s="2" t="s">
        <v>45</v>
      </c>
      <c r="E2940" s="2">
        <v>507</v>
      </c>
      <c r="F2940" s="2" t="s">
        <v>102</v>
      </c>
      <c r="G2940" s="2" t="s">
        <v>285</v>
      </c>
      <c r="H2940" s="2" t="s">
        <v>35</v>
      </c>
    </row>
    <row r="2941" spans="1:8" ht="13" hidden="1">
      <c r="A2941" s="15">
        <v>45865.656807777777</v>
      </c>
      <c r="B2941" s="16">
        <v>45865</v>
      </c>
      <c r="C2941" s="2" t="s">
        <v>163</v>
      </c>
      <c r="D2941" s="2" t="s">
        <v>38</v>
      </c>
      <c r="E2941" s="2">
        <v>1960</v>
      </c>
      <c r="F2941" s="2" t="s">
        <v>102</v>
      </c>
      <c r="G2941" s="2" t="s">
        <v>164</v>
      </c>
      <c r="H2941" s="2" t="s">
        <v>35</v>
      </c>
    </row>
    <row r="2942" spans="1:8" ht="13" hidden="1">
      <c r="A2942" s="15">
        <v>45865.682049814815</v>
      </c>
      <c r="B2942" s="16">
        <v>45865</v>
      </c>
      <c r="C2942" s="2" t="s">
        <v>87</v>
      </c>
      <c r="E2942" s="2">
        <v>100000</v>
      </c>
      <c r="H2942" s="2" t="s">
        <v>34</v>
      </c>
    </row>
    <row r="2943" spans="1:8" ht="13" hidden="1">
      <c r="A2943" s="15">
        <v>45861.586462071762</v>
      </c>
      <c r="B2943" s="16">
        <v>45866</v>
      </c>
      <c r="C2943" s="2" t="s">
        <v>9</v>
      </c>
      <c r="D2943" s="2" t="s">
        <v>47</v>
      </c>
      <c r="E2943" s="2">
        <v>13600</v>
      </c>
      <c r="F2943" s="2" t="s">
        <v>102</v>
      </c>
      <c r="H2943" s="2" t="s">
        <v>35</v>
      </c>
    </row>
    <row r="2944" spans="1:8" ht="13" hidden="1">
      <c r="A2944" s="15">
        <v>45861.586758530088</v>
      </c>
      <c r="B2944" s="16">
        <v>45866</v>
      </c>
      <c r="C2944" s="2" t="s">
        <v>146</v>
      </c>
      <c r="D2944" s="2" t="s">
        <v>47</v>
      </c>
      <c r="E2944" s="2">
        <v>3600</v>
      </c>
      <c r="F2944" s="2" t="s">
        <v>102</v>
      </c>
      <c r="H2944" s="2" t="s">
        <v>35</v>
      </c>
    </row>
    <row r="2945" spans="1:8" ht="13" hidden="1">
      <c r="A2945" s="15">
        <v>45861.587037256948</v>
      </c>
      <c r="B2945" s="16">
        <v>45866</v>
      </c>
      <c r="C2945" s="2" t="s">
        <v>408</v>
      </c>
      <c r="D2945" s="2" t="s">
        <v>152</v>
      </c>
      <c r="E2945" s="2">
        <v>15000</v>
      </c>
      <c r="F2945" s="2" t="s">
        <v>102</v>
      </c>
      <c r="H2945" s="2" t="s">
        <v>35</v>
      </c>
    </row>
    <row r="2946" spans="1:8" ht="13" hidden="1">
      <c r="A2946" s="15">
        <v>45861.587308831018</v>
      </c>
      <c r="B2946" s="16">
        <v>45866</v>
      </c>
      <c r="C2946" s="2" t="s">
        <v>1164</v>
      </c>
      <c r="D2946" s="2" t="s">
        <v>5</v>
      </c>
      <c r="E2946" s="2">
        <v>93000</v>
      </c>
      <c r="F2946" s="2" t="s">
        <v>102</v>
      </c>
      <c r="H2946" s="2" t="s">
        <v>35</v>
      </c>
    </row>
    <row r="2947" spans="1:8" ht="13" hidden="1">
      <c r="A2947" s="15">
        <v>45861.588003912038</v>
      </c>
      <c r="B2947" s="16">
        <v>45866</v>
      </c>
      <c r="C2947" s="2" t="s">
        <v>133</v>
      </c>
      <c r="D2947" s="2" t="s">
        <v>47</v>
      </c>
      <c r="E2947" s="2">
        <v>24000</v>
      </c>
      <c r="F2947" s="2" t="s">
        <v>102</v>
      </c>
      <c r="H2947" s="2" t="s">
        <v>35</v>
      </c>
    </row>
    <row r="2948" spans="1:8" ht="13" hidden="1">
      <c r="A2948" s="15">
        <v>45871.641550335647</v>
      </c>
      <c r="B2948" s="16">
        <v>45866</v>
      </c>
      <c r="C2948" s="2" t="s">
        <v>114</v>
      </c>
      <c r="D2948" s="2" t="s">
        <v>38</v>
      </c>
      <c r="E2948" s="2">
        <v>128</v>
      </c>
      <c r="F2948" s="2" t="s">
        <v>102</v>
      </c>
      <c r="G2948" s="2" t="s">
        <v>356</v>
      </c>
      <c r="H2948" s="2" t="s">
        <v>35</v>
      </c>
    </row>
    <row r="2949" spans="1:8" ht="13" hidden="1">
      <c r="A2949" s="15">
        <v>45871.641806423606</v>
      </c>
      <c r="B2949" s="16">
        <v>45866</v>
      </c>
      <c r="C2949" s="2" t="s">
        <v>106</v>
      </c>
      <c r="D2949" s="2" t="s">
        <v>38</v>
      </c>
      <c r="E2949" s="2">
        <v>1750</v>
      </c>
      <c r="F2949" s="2" t="s">
        <v>102</v>
      </c>
      <c r="H2949" s="2" t="s">
        <v>35</v>
      </c>
    </row>
    <row r="2950" spans="1:8" ht="13" hidden="1">
      <c r="A2950" s="15">
        <v>45902.709793333328</v>
      </c>
      <c r="B2950" s="16">
        <v>45866</v>
      </c>
      <c r="C2950" s="2" t="s">
        <v>158</v>
      </c>
      <c r="D2950" s="2" t="s">
        <v>49</v>
      </c>
      <c r="E2950" s="2">
        <v>4980</v>
      </c>
      <c r="F2950" s="2" t="s">
        <v>100</v>
      </c>
      <c r="H2950" s="2" t="s">
        <v>35</v>
      </c>
    </row>
    <row r="2951" spans="1:8" ht="13" hidden="1">
      <c r="A2951" s="15">
        <v>45871.642200787042</v>
      </c>
      <c r="B2951" s="16">
        <v>45867</v>
      </c>
      <c r="C2951" s="2" t="s">
        <v>1165</v>
      </c>
      <c r="D2951" s="2" t="s">
        <v>38</v>
      </c>
      <c r="E2951" s="2">
        <v>321</v>
      </c>
      <c r="F2951" s="2" t="s">
        <v>102</v>
      </c>
      <c r="G2951" s="2" t="s">
        <v>103</v>
      </c>
      <c r="H2951" s="2" t="s">
        <v>35</v>
      </c>
    </row>
    <row r="2952" spans="1:8" ht="13" hidden="1">
      <c r="A2952" s="15">
        <v>45871.642465196761</v>
      </c>
      <c r="B2952" s="16">
        <v>45867</v>
      </c>
      <c r="C2952" s="2" t="s">
        <v>106</v>
      </c>
      <c r="D2952" s="2" t="s">
        <v>38</v>
      </c>
      <c r="E2952" s="2">
        <v>900</v>
      </c>
      <c r="F2952" s="2" t="s">
        <v>102</v>
      </c>
      <c r="G2952" s="2" t="s">
        <v>1095</v>
      </c>
      <c r="H2952" s="2" t="s">
        <v>35</v>
      </c>
    </row>
    <row r="2953" spans="1:8" ht="13" hidden="1">
      <c r="A2953" s="15">
        <v>45871.642761087962</v>
      </c>
      <c r="B2953" s="16">
        <v>45867</v>
      </c>
      <c r="C2953" s="2" t="s">
        <v>1166</v>
      </c>
      <c r="D2953" s="2" t="s">
        <v>39</v>
      </c>
      <c r="E2953" s="2">
        <v>4380</v>
      </c>
      <c r="F2953" s="2" t="s">
        <v>102</v>
      </c>
      <c r="H2953" s="2" t="s">
        <v>35</v>
      </c>
    </row>
    <row r="2954" spans="1:8" ht="13" hidden="1">
      <c r="A2954" s="15">
        <v>45871.643025034718</v>
      </c>
      <c r="B2954" s="16">
        <v>45867</v>
      </c>
      <c r="C2954" s="2" t="s">
        <v>436</v>
      </c>
      <c r="D2954" s="2" t="s">
        <v>38</v>
      </c>
      <c r="E2954" s="2">
        <v>248</v>
      </c>
      <c r="F2954" s="2" t="s">
        <v>102</v>
      </c>
      <c r="G2954" s="2" t="s">
        <v>356</v>
      </c>
      <c r="H2954" s="2" t="s">
        <v>35</v>
      </c>
    </row>
    <row r="2955" spans="1:8" ht="13" hidden="1">
      <c r="A2955" s="15">
        <v>45871.643295624999</v>
      </c>
      <c r="B2955" s="16">
        <v>45868</v>
      </c>
      <c r="C2955" s="2" t="s">
        <v>106</v>
      </c>
      <c r="D2955" s="2" t="s">
        <v>38</v>
      </c>
      <c r="E2955" s="2">
        <v>1100</v>
      </c>
      <c r="F2955" s="2" t="s">
        <v>102</v>
      </c>
      <c r="H2955" s="2" t="s">
        <v>35</v>
      </c>
    </row>
    <row r="2956" spans="1:8" ht="13" hidden="1">
      <c r="A2956" s="15">
        <v>45902.710179895832</v>
      </c>
      <c r="B2956" s="16">
        <v>45868</v>
      </c>
      <c r="C2956" s="2" t="s">
        <v>350</v>
      </c>
      <c r="D2956" s="2" t="s">
        <v>40</v>
      </c>
      <c r="E2956" s="2">
        <v>2000</v>
      </c>
      <c r="F2956" s="2" t="s">
        <v>100</v>
      </c>
      <c r="H2956" s="2" t="s">
        <v>35</v>
      </c>
    </row>
    <row r="2957" spans="1:8" ht="13" hidden="1">
      <c r="A2957" s="15">
        <v>45902.710490081023</v>
      </c>
      <c r="B2957" s="16">
        <v>45868</v>
      </c>
      <c r="C2957" s="2" t="s">
        <v>240</v>
      </c>
      <c r="D2957" s="2" t="s">
        <v>42</v>
      </c>
      <c r="E2957" s="2">
        <v>990</v>
      </c>
      <c r="F2957" s="2" t="s">
        <v>100</v>
      </c>
      <c r="H2957" s="2" t="s">
        <v>35</v>
      </c>
    </row>
    <row r="2958" spans="1:8" ht="13" hidden="1">
      <c r="A2958" s="15">
        <v>45871.643658182875</v>
      </c>
      <c r="B2958" s="16">
        <v>45869</v>
      </c>
      <c r="C2958" s="2" t="s">
        <v>1167</v>
      </c>
      <c r="D2958" s="2" t="s">
        <v>38</v>
      </c>
      <c r="E2958" s="2">
        <v>500</v>
      </c>
      <c r="F2958" s="2" t="s">
        <v>102</v>
      </c>
      <c r="H2958" s="2" t="s">
        <v>35</v>
      </c>
    </row>
    <row r="2959" spans="1:8" ht="13" hidden="1">
      <c r="A2959" s="15">
        <v>45902.710810555553</v>
      </c>
      <c r="B2959" s="16">
        <v>45869</v>
      </c>
      <c r="C2959" s="2" t="s">
        <v>26</v>
      </c>
      <c r="D2959" s="2" t="s">
        <v>41</v>
      </c>
      <c r="E2959" s="2">
        <v>5168</v>
      </c>
      <c r="F2959" s="2" t="s">
        <v>100</v>
      </c>
      <c r="H2959" s="2" t="s">
        <v>35</v>
      </c>
    </row>
    <row r="2960" spans="1:8" ht="13" hidden="1">
      <c r="A2960" s="15">
        <v>45902.71111704861</v>
      </c>
      <c r="B2960" s="16">
        <v>45869</v>
      </c>
      <c r="C2960" s="2" t="s">
        <v>1168</v>
      </c>
      <c r="D2960" s="2" t="s">
        <v>40</v>
      </c>
      <c r="E2960" s="2">
        <v>330</v>
      </c>
      <c r="F2960" s="2" t="s">
        <v>100</v>
      </c>
      <c r="H2960" s="2" t="s">
        <v>35</v>
      </c>
    </row>
    <row r="2961" spans="1:8" ht="13" hidden="1">
      <c r="A2961" s="15">
        <v>45902.711579537034</v>
      </c>
      <c r="B2961" s="16">
        <v>45869</v>
      </c>
      <c r="C2961" s="2" t="s">
        <v>116</v>
      </c>
      <c r="D2961" s="2" t="s">
        <v>38</v>
      </c>
      <c r="E2961" s="2">
        <v>1404</v>
      </c>
      <c r="F2961" s="2" t="s">
        <v>100</v>
      </c>
      <c r="G2961" s="2" t="s">
        <v>652</v>
      </c>
      <c r="H2961" s="2" t="s">
        <v>35</v>
      </c>
    </row>
    <row r="2962" spans="1:8" ht="13" hidden="1">
      <c r="A2962" s="15">
        <v>45871.643929537036</v>
      </c>
      <c r="B2962" s="16">
        <v>45870</v>
      </c>
      <c r="C2962" s="2" t="s">
        <v>106</v>
      </c>
      <c r="D2962" s="2" t="s">
        <v>38</v>
      </c>
      <c r="E2962" s="2">
        <v>850</v>
      </c>
      <c r="F2962" s="2" t="s">
        <v>102</v>
      </c>
      <c r="G2962" s="2" t="s">
        <v>1147</v>
      </c>
      <c r="H2962" s="2" t="s">
        <v>35</v>
      </c>
    </row>
    <row r="2963" spans="1:8" ht="13" hidden="1">
      <c r="A2963" s="15">
        <v>45902.720017476851</v>
      </c>
      <c r="B2963" s="16">
        <v>45870</v>
      </c>
      <c r="C2963" s="2" t="s">
        <v>1169</v>
      </c>
      <c r="D2963" s="2" t="s">
        <v>39</v>
      </c>
      <c r="E2963" s="2">
        <v>2800</v>
      </c>
      <c r="F2963" s="2" t="s">
        <v>100</v>
      </c>
      <c r="G2963" s="2" t="s">
        <v>1106</v>
      </c>
      <c r="H2963" s="2" t="s">
        <v>35</v>
      </c>
    </row>
    <row r="2964" spans="1:8" ht="13" hidden="1">
      <c r="A2964" s="15">
        <v>45902.720746817125</v>
      </c>
      <c r="B2964" s="16">
        <v>45870</v>
      </c>
      <c r="C2964" s="2" t="s">
        <v>360</v>
      </c>
      <c r="D2964" s="2" t="s">
        <v>39</v>
      </c>
      <c r="E2964" s="2">
        <v>900</v>
      </c>
      <c r="F2964" s="2" t="s">
        <v>100</v>
      </c>
      <c r="G2964" s="2" t="s">
        <v>1106</v>
      </c>
      <c r="H2964" s="2" t="s">
        <v>35</v>
      </c>
    </row>
    <row r="2965" spans="1:8" ht="13" hidden="1">
      <c r="A2965" s="15">
        <v>45746.730295451387</v>
      </c>
      <c r="B2965" s="16">
        <v>45745</v>
      </c>
      <c r="C2965" s="2" t="s">
        <v>1170</v>
      </c>
      <c r="D2965" s="2" t="s">
        <v>45</v>
      </c>
      <c r="E2965" s="2">
        <v>500</v>
      </c>
      <c r="F2965" s="2" t="s">
        <v>102</v>
      </c>
      <c r="H2965" s="2" t="s">
        <v>35</v>
      </c>
    </row>
    <row r="2966" spans="1:8" ht="13" hidden="1">
      <c r="A2966" s="15">
        <v>45690.542889918986</v>
      </c>
      <c r="B2966" s="16">
        <v>45684</v>
      </c>
      <c r="C2966" s="2" t="s">
        <v>45</v>
      </c>
      <c r="D2966" s="2" t="s">
        <v>45</v>
      </c>
      <c r="E2966" s="2">
        <v>489</v>
      </c>
      <c r="F2966" s="2" t="s">
        <v>102</v>
      </c>
      <c r="G2966" s="2" t="s">
        <v>285</v>
      </c>
      <c r="H2966" s="2" t="s">
        <v>35</v>
      </c>
    </row>
    <row r="2967" spans="1:8" ht="13" hidden="1">
      <c r="A2967" s="15">
        <v>45871.644912372685</v>
      </c>
      <c r="B2967" s="16">
        <v>45871</v>
      </c>
      <c r="C2967" s="2" t="s">
        <v>106</v>
      </c>
      <c r="D2967" s="2" t="s">
        <v>38</v>
      </c>
      <c r="E2967" s="2">
        <v>980</v>
      </c>
      <c r="F2967" s="2" t="s">
        <v>102</v>
      </c>
      <c r="G2967" s="2" t="s">
        <v>199</v>
      </c>
      <c r="H2967" s="2" t="s">
        <v>35</v>
      </c>
    </row>
    <row r="2968" spans="1:8" ht="13" hidden="1">
      <c r="A2968" s="15">
        <v>45891.887841874996</v>
      </c>
      <c r="B2968" s="16">
        <v>45872</v>
      </c>
      <c r="C2968" s="2" t="s">
        <v>112</v>
      </c>
      <c r="D2968" s="2" t="s">
        <v>38</v>
      </c>
      <c r="E2968" s="2">
        <v>1190</v>
      </c>
      <c r="F2968" s="2" t="s">
        <v>102</v>
      </c>
      <c r="G2968" s="2" t="s">
        <v>186</v>
      </c>
      <c r="H2968" s="2" t="s">
        <v>35</v>
      </c>
    </row>
    <row r="2969" spans="1:8" ht="13" hidden="1">
      <c r="A2969" s="15">
        <v>45902.721103009259</v>
      </c>
      <c r="B2969" s="16">
        <v>45872</v>
      </c>
      <c r="C2969" s="2" t="s">
        <v>240</v>
      </c>
      <c r="D2969" s="2" t="s">
        <v>42</v>
      </c>
      <c r="E2969" s="2">
        <v>990</v>
      </c>
      <c r="F2969" s="2" t="s">
        <v>100</v>
      </c>
      <c r="H2969" s="2" t="s">
        <v>35</v>
      </c>
    </row>
    <row r="2970" spans="1:8" ht="13" hidden="1">
      <c r="A2970" s="15">
        <v>45902.721659664356</v>
      </c>
      <c r="B2970" s="16">
        <v>45872</v>
      </c>
      <c r="C2970" s="2" t="s">
        <v>116</v>
      </c>
      <c r="D2970" s="2" t="s">
        <v>38</v>
      </c>
      <c r="E2970" s="2">
        <v>1991</v>
      </c>
      <c r="F2970" s="2" t="s">
        <v>100</v>
      </c>
      <c r="G2970" s="2" t="s">
        <v>652</v>
      </c>
      <c r="H2970" s="2" t="s">
        <v>35</v>
      </c>
    </row>
    <row r="2971" spans="1:8" ht="13" hidden="1">
      <c r="A2971" s="15">
        <v>45902.72195126157</v>
      </c>
      <c r="B2971" s="16">
        <v>45872</v>
      </c>
      <c r="C2971" s="2" t="s">
        <v>350</v>
      </c>
      <c r="D2971" s="2" t="s">
        <v>40</v>
      </c>
      <c r="E2971" s="2">
        <v>2000</v>
      </c>
      <c r="F2971" s="2" t="s">
        <v>100</v>
      </c>
      <c r="H2971" s="2" t="s">
        <v>35</v>
      </c>
    </row>
    <row r="2972" spans="1:8" ht="13" hidden="1">
      <c r="A2972" s="15">
        <v>45902.722345439819</v>
      </c>
      <c r="B2972" s="16">
        <v>45872</v>
      </c>
      <c r="C2972" s="2" t="s">
        <v>1171</v>
      </c>
      <c r="D2972" s="2" t="s">
        <v>39</v>
      </c>
      <c r="E2972" s="2">
        <v>5250</v>
      </c>
      <c r="F2972" s="2" t="s">
        <v>100</v>
      </c>
      <c r="H2972" s="2" t="s">
        <v>35</v>
      </c>
    </row>
    <row r="2973" spans="1:8" ht="13" hidden="1">
      <c r="A2973" s="15">
        <v>45891.900383298613</v>
      </c>
      <c r="B2973" s="16">
        <v>45891</v>
      </c>
      <c r="C2973" s="2" t="s">
        <v>114</v>
      </c>
      <c r="D2973" s="2" t="s">
        <v>38</v>
      </c>
      <c r="E2973" s="2">
        <v>159</v>
      </c>
      <c r="F2973" s="2" t="s">
        <v>102</v>
      </c>
      <c r="G2973" s="2" t="s">
        <v>103</v>
      </c>
      <c r="H2973" s="2" t="s">
        <v>35</v>
      </c>
    </row>
    <row r="2974" spans="1:8" ht="13" hidden="1">
      <c r="A2974" s="15">
        <v>45902.722755567127</v>
      </c>
      <c r="B2974" s="16">
        <v>45874</v>
      </c>
      <c r="C2974" s="2" t="s">
        <v>296</v>
      </c>
      <c r="D2974" s="2" t="s">
        <v>38</v>
      </c>
      <c r="E2974" s="2">
        <v>6000</v>
      </c>
      <c r="F2974" s="2" t="s">
        <v>100</v>
      </c>
      <c r="H2974" s="2" t="s">
        <v>35</v>
      </c>
    </row>
    <row r="2975" spans="1:8" ht="13" hidden="1">
      <c r="A2975" s="15">
        <v>45902.723109236111</v>
      </c>
      <c r="B2975" s="16">
        <v>45874</v>
      </c>
      <c r="C2975" s="2" t="s">
        <v>371</v>
      </c>
      <c r="D2975" s="2" t="s">
        <v>39</v>
      </c>
      <c r="E2975" s="2">
        <v>2310</v>
      </c>
      <c r="F2975" s="2" t="s">
        <v>100</v>
      </c>
      <c r="H2975" s="2" t="s">
        <v>35</v>
      </c>
    </row>
    <row r="2976" spans="1:8" ht="13" hidden="1">
      <c r="A2976" s="15">
        <v>45891.888574178243</v>
      </c>
      <c r="B2976" s="16">
        <v>45875</v>
      </c>
      <c r="C2976" s="2" t="s">
        <v>112</v>
      </c>
      <c r="D2976" s="2" t="s">
        <v>38</v>
      </c>
      <c r="E2976" s="2">
        <v>330</v>
      </c>
      <c r="F2976" s="2" t="s">
        <v>102</v>
      </c>
      <c r="G2976" s="2" t="s">
        <v>113</v>
      </c>
      <c r="H2976" s="2" t="s">
        <v>35</v>
      </c>
    </row>
    <row r="2977" spans="1:8" ht="13" hidden="1">
      <c r="A2977" s="15">
        <v>45891.888853877317</v>
      </c>
      <c r="B2977" s="16">
        <v>45875</v>
      </c>
      <c r="C2977" s="2" t="s">
        <v>674</v>
      </c>
      <c r="D2977" s="2" t="s">
        <v>39</v>
      </c>
      <c r="E2977" s="2">
        <v>3500</v>
      </c>
      <c r="F2977" s="2" t="s">
        <v>102</v>
      </c>
      <c r="H2977" s="2" t="s">
        <v>35</v>
      </c>
    </row>
    <row r="2978" spans="1:8" ht="13" hidden="1">
      <c r="A2978" s="15">
        <v>45891.889142187501</v>
      </c>
      <c r="B2978" s="16">
        <v>45875</v>
      </c>
      <c r="C2978" s="2" t="s">
        <v>987</v>
      </c>
      <c r="D2978" s="2" t="s">
        <v>38</v>
      </c>
      <c r="E2978" s="2">
        <v>618</v>
      </c>
      <c r="F2978" s="2" t="s">
        <v>102</v>
      </c>
      <c r="G2978" s="2" t="s">
        <v>356</v>
      </c>
      <c r="H2978" s="2" t="s">
        <v>35</v>
      </c>
    </row>
    <row r="2979" spans="1:8" ht="13" hidden="1">
      <c r="A2979" s="15">
        <v>45902.723401504627</v>
      </c>
      <c r="B2979" s="16">
        <v>45875</v>
      </c>
      <c r="C2979" s="2" t="s">
        <v>176</v>
      </c>
      <c r="D2979" s="2" t="s">
        <v>41</v>
      </c>
      <c r="E2979" s="2">
        <v>1232</v>
      </c>
      <c r="F2979" s="2" t="s">
        <v>100</v>
      </c>
      <c r="H2979" s="2" t="s">
        <v>35</v>
      </c>
    </row>
    <row r="2980" spans="1:8" ht="13" hidden="1">
      <c r="A2980" s="15">
        <v>45902.723814525467</v>
      </c>
      <c r="B2980" s="16">
        <v>45876</v>
      </c>
      <c r="C2980" s="2" t="s">
        <v>116</v>
      </c>
      <c r="D2980" s="2" t="s">
        <v>38</v>
      </c>
      <c r="E2980" s="2">
        <v>1575</v>
      </c>
      <c r="F2980" s="2" t="s">
        <v>100</v>
      </c>
      <c r="G2980" s="2" t="s">
        <v>652</v>
      </c>
      <c r="H2980" s="2" t="s">
        <v>35</v>
      </c>
    </row>
    <row r="2981" spans="1:8" ht="13" hidden="1">
      <c r="A2981" s="15">
        <v>45891.889389050921</v>
      </c>
      <c r="B2981" s="16">
        <v>45877</v>
      </c>
      <c r="C2981" s="2" t="s">
        <v>106</v>
      </c>
      <c r="D2981" s="2" t="s">
        <v>38</v>
      </c>
      <c r="E2981" s="2">
        <v>950</v>
      </c>
      <c r="F2981" s="2" t="s">
        <v>102</v>
      </c>
      <c r="G2981" s="2" t="s">
        <v>1095</v>
      </c>
      <c r="H2981" s="2" t="s">
        <v>35</v>
      </c>
    </row>
    <row r="2982" spans="1:8" ht="13" hidden="1">
      <c r="A2982" s="15">
        <v>45891.889714629629</v>
      </c>
      <c r="B2982" s="16">
        <v>45877</v>
      </c>
      <c r="C2982" s="2" t="s">
        <v>112</v>
      </c>
      <c r="D2982" s="2" t="s">
        <v>38</v>
      </c>
      <c r="E2982" s="2">
        <v>280</v>
      </c>
      <c r="F2982" s="2" t="s">
        <v>102</v>
      </c>
      <c r="G2982" s="2" t="s">
        <v>113</v>
      </c>
      <c r="H2982" s="2" t="s">
        <v>35</v>
      </c>
    </row>
    <row r="2983" spans="1:8" ht="13" hidden="1">
      <c r="A2983" s="15">
        <v>45902.724097557875</v>
      </c>
      <c r="B2983" s="16">
        <v>45877</v>
      </c>
      <c r="C2983" s="2" t="s">
        <v>240</v>
      </c>
      <c r="D2983" s="2" t="s">
        <v>42</v>
      </c>
      <c r="E2983" s="2">
        <v>990</v>
      </c>
      <c r="F2983" s="2" t="s">
        <v>100</v>
      </c>
      <c r="H2983" s="2" t="s">
        <v>35</v>
      </c>
    </row>
    <row r="2984" spans="1:8" ht="13" hidden="1">
      <c r="A2984" s="15">
        <v>45902.724375543985</v>
      </c>
      <c r="B2984" s="16">
        <v>45877</v>
      </c>
      <c r="C2984" s="2" t="s">
        <v>12</v>
      </c>
      <c r="D2984" s="2" t="s">
        <v>39</v>
      </c>
      <c r="E2984" s="2">
        <v>1520</v>
      </c>
      <c r="F2984" s="2" t="s">
        <v>100</v>
      </c>
      <c r="H2984" s="2" t="s">
        <v>35</v>
      </c>
    </row>
    <row r="2985" spans="1:8" ht="13" hidden="1">
      <c r="A2985" s="15">
        <v>45902.724698298611</v>
      </c>
      <c r="B2985" s="16">
        <v>45877</v>
      </c>
      <c r="C2985" s="2" t="s">
        <v>350</v>
      </c>
      <c r="D2985" s="2" t="s">
        <v>40</v>
      </c>
      <c r="E2985" s="2">
        <v>2000</v>
      </c>
      <c r="F2985" s="2" t="s">
        <v>100</v>
      </c>
      <c r="H2985" s="2" t="s">
        <v>35</v>
      </c>
    </row>
    <row r="2986" spans="1:8" ht="13" hidden="1">
      <c r="A2986" s="15">
        <v>45902.725052905094</v>
      </c>
      <c r="B2986" s="16">
        <v>45877</v>
      </c>
      <c r="C2986" s="2" t="s">
        <v>654</v>
      </c>
      <c r="D2986" s="2" t="s">
        <v>48</v>
      </c>
      <c r="E2986" s="2">
        <v>150</v>
      </c>
      <c r="F2986" s="2" t="s">
        <v>100</v>
      </c>
      <c r="H2986" s="2" t="s">
        <v>35</v>
      </c>
    </row>
    <row r="2987" spans="1:8" ht="13" hidden="1">
      <c r="A2987" s="15">
        <v>45902.725458229164</v>
      </c>
      <c r="B2987" s="16">
        <v>45877</v>
      </c>
      <c r="C2987" s="2" t="s">
        <v>1172</v>
      </c>
      <c r="D2987" s="2" t="s">
        <v>38</v>
      </c>
      <c r="E2987" s="2">
        <v>2178</v>
      </c>
      <c r="F2987" s="2" t="s">
        <v>100</v>
      </c>
      <c r="G2987" s="2" t="s">
        <v>332</v>
      </c>
      <c r="H2987" s="2" t="s">
        <v>35</v>
      </c>
    </row>
    <row r="2988" spans="1:8" ht="13" hidden="1">
      <c r="A2988" s="15">
        <v>45891.890077951393</v>
      </c>
      <c r="B2988" s="16">
        <v>45878</v>
      </c>
      <c r="C2988" s="2" t="s">
        <v>294</v>
      </c>
      <c r="D2988" s="2" t="s">
        <v>39</v>
      </c>
      <c r="E2988" s="2">
        <v>3640</v>
      </c>
      <c r="F2988" s="2" t="s">
        <v>102</v>
      </c>
      <c r="G2988" s="2" t="s">
        <v>1173</v>
      </c>
      <c r="H2988" s="2" t="s">
        <v>35</v>
      </c>
    </row>
    <row r="2989" spans="1:8" ht="13" hidden="1">
      <c r="A2989" s="15">
        <v>45891.890480578702</v>
      </c>
      <c r="B2989" s="16">
        <v>45878</v>
      </c>
      <c r="C2989" s="2" t="s">
        <v>1174</v>
      </c>
      <c r="D2989" s="2" t="s">
        <v>38</v>
      </c>
      <c r="E2989" s="2">
        <v>1900</v>
      </c>
      <c r="F2989" s="2" t="s">
        <v>102</v>
      </c>
      <c r="G2989" s="2" t="s">
        <v>696</v>
      </c>
      <c r="H2989" s="2" t="s">
        <v>35</v>
      </c>
    </row>
    <row r="2990" spans="1:8" ht="13" hidden="1">
      <c r="A2990" s="15">
        <v>45891.890843125002</v>
      </c>
      <c r="B2990" s="16">
        <v>45878</v>
      </c>
      <c r="C2990" s="2" t="s">
        <v>112</v>
      </c>
      <c r="D2990" s="2" t="s">
        <v>38</v>
      </c>
      <c r="E2990" s="2">
        <v>596</v>
      </c>
      <c r="F2990" s="2" t="s">
        <v>102</v>
      </c>
      <c r="H2990" s="2" t="s">
        <v>35</v>
      </c>
    </row>
    <row r="2991" spans="1:8" ht="13" hidden="1">
      <c r="A2991" s="15">
        <v>45891.891382245369</v>
      </c>
      <c r="B2991" s="16">
        <v>45878</v>
      </c>
      <c r="C2991" s="2" t="s">
        <v>1175</v>
      </c>
      <c r="D2991" s="2" t="s">
        <v>39</v>
      </c>
      <c r="E2991" s="2">
        <v>3190</v>
      </c>
      <c r="F2991" s="2" t="s">
        <v>102</v>
      </c>
      <c r="H2991" s="2" t="s">
        <v>35</v>
      </c>
    </row>
    <row r="2992" spans="1:8" ht="13" hidden="1">
      <c r="A2992" s="15">
        <v>45891.891580393523</v>
      </c>
      <c r="B2992" s="16">
        <v>45878</v>
      </c>
      <c r="C2992" s="2" t="s">
        <v>1176</v>
      </c>
      <c r="D2992" s="2" t="s">
        <v>38</v>
      </c>
      <c r="E2992" s="2">
        <v>1000</v>
      </c>
      <c r="F2992" s="2" t="s">
        <v>102</v>
      </c>
      <c r="H2992" s="2" t="s">
        <v>35</v>
      </c>
    </row>
    <row r="2993" spans="1:8" ht="13" hidden="1">
      <c r="A2993" s="15">
        <v>45891.891780532409</v>
      </c>
      <c r="B2993" s="16">
        <v>45878</v>
      </c>
      <c r="C2993" s="2" t="s">
        <v>1177</v>
      </c>
      <c r="D2993" s="2" t="s">
        <v>38</v>
      </c>
      <c r="E2993" s="2">
        <v>105</v>
      </c>
      <c r="F2993" s="2" t="s">
        <v>102</v>
      </c>
      <c r="H2993" s="2" t="s">
        <v>35</v>
      </c>
    </row>
    <row r="2994" spans="1:8" ht="13" hidden="1">
      <c r="A2994" s="15">
        <v>45891.892149409723</v>
      </c>
      <c r="B2994" s="16">
        <v>45878</v>
      </c>
      <c r="C2994" s="2" t="s">
        <v>1178</v>
      </c>
      <c r="D2994" s="2" t="s">
        <v>152</v>
      </c>
      <c r="E2994" s="2">
        <v>10000</v>
      </c>
      <c r="F2994" s="2" t="s">
        <v>102</v>
      </c>
      <c r="H2994" s="2" t="s">
        <v>35</v>
      </c>
    </row>
    <row r="2995" spans="1:8" ht="13" hidden="1">
      <c r="A2995" s="15">
        <v>45902.725786666662</v>
      </c>
      <c r="B2995" s="16">
        <v>45878</v>
      </c>
      <c r="C2995" s="2" t="s">
        <v>350</v>
      </c>
      <c r="D2995" s="2" t="s">
        <v>40</v>
      </c>
      <c r="E2995" s="2">
        <v>2000</v>
      </c>
      <c r="F2995" s="2" t="s">
        <v>100</v>
      </c>
      <c r="H2995" s="2" t="s">
        <v>35</v>
      </c>
    </row>
    <row r="2996" spans="1:8" ht="13" hidden="1">
      <c r="A2996" s="15">
        <v>45902.726180636571</v>
      </c>
      <c r="B2996" s="16">
        <v>45878</v>
      </c>
      <c r="C2996" s="2" t="s">
        <v>197</v>
      </c>
      <c r="D2996" s="2" t="s">
        <v>48</v>
      </c>
      <c r="E2996" s="2">
        <v>880</v>
      </c>
      <c r="F2996" s="2" t="s">
        <v>100</v>
      </c>
      <c r="H2996" s="2" t="s">
        <v>35</v>
      </c>
    </row>
    <row r="2997" spans="1:8" ht="13" hidden="1">
      <c r="A2997" s="15">
        <v>45891.892933819443</v>
      </c>
      <c r="B2997" s="16">
        <v>45879</v>
      </c>
      <c r="C2997" s="2" t="s">
        <v>1053</v>
      </c>
      <c r="D2997" s="2" t="s">
        <v>38</v>
      </c>
      <c r="E2997" s="2">
        <v>347</v>
      </c>
      <c r="F2997" s="2" t="s">
        <v>102</v>
      </c>
      <c r="G2997" s="2" t="s">
        <v>356</v>
      </c>
      <c r="H2997" s="2" t="s">
        <v>35</v>
      </c>
    </row>
    <row r="2998" spans="1:8" ht="13" hidden="1">
      <c r="A2998" s="15">
        <v>45891.893339201386</v>
      </c>
      <c r="B2998" s="16">
        <v>45879</v>
      </c>
      <c r="C2998" s="2" t="s">
        <v>987</v>
      </c>
      <c r="D2998" s="2" t="s">
        <v>38</v>
      </c>
      <c r="E2998" s="2">
        <v>347</v>
      </c>
      <c r="F2998" s="2" t="s">
        <v>102</v>
      </c>
      <c r="G2998" s="2" t="s">
        <v>356</v>
      </c>
      <c r="H2998" s="2" t="s">
        <v>35</v>
      </c>
    </row>
    <row r="2999" spans="1:8" ht="13" hidden="1">
      <c r="A2999" s="15">
        <v>45902.727619803241</v>
      </c>
      <c r="B2999" s="16">
        <v>45879</v>
      </c>
      <c r="C2999" s="2" t="s">
        <v>350</v>
      </c>
      <c r="D2999" s="2" t="s">
        <v>40</v>
      </c>
      <c r="E2999" s="2">
        <v>2000</v>
      </c>
      <c r="F2999" s="2" t="s">
        <v>100</v>
      </c>
      <c r="H2999" s="2" t="s">
        <v>35</v>
      </c>
    </row>
    <row r="3000" spans="1:8" ht="13" hidden="1">
      <c r="A3000" s="15">
        <v>45902.727868946764</v>
      </c>
      <c r="B3000" s="16">
        <v>45879</v>
      </c>
      <c r="C3000" s="2" t="s">
        <v>240</v>
      </c>
      <c r="D3000" s="2" t="s">
        <v>42</v>
      </c>
      <c r="E3000" s="2">
        <v>110</v>
      </c>
      <c r="F3000" s="2" t="s">
        <v>100</v>
      </c>
      <c r="H3000" s="2" t="s">
        <v>35</v>
      </c>
    </row>
    <row r="3001" spans="1:8" ht="13" hidden="1">
      <c r="A3001" s="15">
        <v>45902.728282893513</v>
      </c>
      <c r="B3001" s="16">
        <v>45879</v>
      </c>
      <c r="C3001" s="2" t="s">
        <v>116</v>
      </c>
      <c r="D3001" s="2" t="s">
        <v>38</v>
      </c>
      <c r="E3001" s="2">
        <v>1193</v>
      </c>
      <c r="F3001" s="2" t="s">
        <v>100</v>
      </c>
      <c r="G3001" s="2" t="s">
        <v>652</v>
      </c>
      <c r="H3001" s="2" t="s">
        <v>35</v>
      </c>
    </row>
    <row r="3002" spans="1:8" ht="13" hidden="1">
      <c r="A3002" s="15">
        <v>45891.893718414351</v>
      </c>
      <c r="B3002" s="16">
        <v>45880</v>
      </c>
      <c r="C3002" s="2" t="s">
        <v>114</v>
      </c>
      <c r="D3002" s="2" t="s">
        <v>38</v>
      </c>
      <c r="E3002" s="2">
        <v>640</v>
      </c>
      <c r="F3002" s="2" t="s">
        <v>102</v>
      </c>
      <c r="G3002" s="2" t="s">
        <v>401</v>
      </c>
      <c r="H3002" s="2" t="s">
        <v>35</v>
      </c>
    </row>
    <row r="3003" spans="1:8" ht="13" hidden="1">
      <c r="A3003" s="15">
        <v>45670.565201678241</v>
      </c>
      <c r="B3003" s="16">
        <v>45668</v>
      </c>
      <c r="C3003" s="2" t="s">
        <v>1179</v>
      </c>
      <c r="D3003" s="2" t="s">
        <v>45</v>
      </c>
      <c r="E3003" s="2">
        <v>440</v>
      </c>
      <c r="F3003" s="2" t="s">
        <v>102</v>
      </c>
      <c r="G3003" s="2" t="s">
        <v>136</v>
      </c>
      <c r="H3003" s="2" t="s">
        <v>35</v>
      </c>
    </row>
    <row r="3004" spans="1:8" ht="13" hidden="1">
      <c r="A3004" s="15">
        <v>45902.729760775459</v>
      </c>
      <c r="B3004" s="16">
        <v>45880</v>
      </c>
      <c r="C3004" s="2" t="s">
        <v>18</v>
      </c>
      <c r="D3004" s="2" t="s">
        <v>41</v>
      </c>
      <c r="E3004" s="2">
        <v>5868</v>
      </c>
      <c r="F3004" s="2" t="s">
        <v>100</v>
      </c>
      <c r="H3004" s="2" t="s">
        <v>35</v>
      </c>
    </row>
    <row r="3005" spans="1:8" ht="13" hidden="1">
      <c r="A3005" s="15">
        <v>45774.711285185185</v>
      </c>
      <c r="B3005" s="16">
        <v>45767</v>
      </c>
      <c r="C3005" s="2" t="s">
        <v>236</v>
      </c>
      <c r="D3005" s="2" t="s">
        <v>45</v>
      </c>
      <c r="E3005" s="2">
        <v>423</v>
      </c>
      <c r="F3005" s="2" t="s">
        <v>102</v>
      </c>
      <c r="G3005" s="2" t="s">
        <v>285</v>
      </c>
      <c r="H3005" s="2" t="s">
        <v>35</v>
      </c>
    </row>
    <row r="3006" spans="1:8" ht="13" hidden="1">
      <c r="A3006" s="15">
        <v>45891.901415185188</v>
      </c>
      <c r="B3006" s="16">
        <v>45891</v>
      </c>
      <c r="C3006" s="2" t="s">
        <v>1180</v>
      </c>
      <c r="D3006" s="2" t="s">
        <v>38</v>
      </c>
      <c r="E3006" s="2">
        <v>238</v>
      </c>
      <c r="F3006" s="2" t="s">
        <v>102</v>
      </c>
      <c r="G3006" s="2" t="s">
        <v>356</v>
      </c>
      <c r="H3006" s="2" t="s">
        <v>35</v>
      </c>
    </row>
    <row r="3007" spans="1:8" ht="13" hidden="1">
      <c r="A3007" s="15">
        <v>45823.431721469911</v>
      </c>
      <c r="B3007" s="16">
        <v>45813</v>
      </c>
      <c r="C3007" s="2" t="s">
        <v>430</v>
      </c>
      <c r="D3007" s="2" t="s">
        <v>45</v>
      </c>
      <c r="E3007" s="2">
        <v>400</v>
      </c>
      <c r="F3007" s="2" t="s">
        <v>102</v>
      </c>
      <c r="G3007" s="2" t="s">
        <v>1181</v>
      </c>
      <c r="H3007" s="2" t="s">
        <v>35</v>
      </c>
    </row>
    <row r="3008" spans="1:8" ht="13" hidden="1">
      <c r="A3008" s="15">
        <v>45902.732454953701</v>
      </c>
      <c r="B3008" s="16">
        <v>45881</v>
      </c>
      <c r="C3008" s="2" t="s">
        <v>992</v>
      </c>
      <c r="D3008" s="2" t="s">
        <v>39</v>
      </c>
      <c r="E3008" s="2">
        <v>1000</v>
      </c>
      <c r="F3008" s="2" t="s">
        <v>100</v>
      </c>
      <c r="H3008" s="2" t="s">
        <v>35</v>
      </c>
    </row>
    <row r="3009" spans="1:8" ht="13" hidden="1">
      <c r="A3009" s="15">
        <v>45891.900618206018</v>
      </c>
      <c r="B3009" s="16">
        <v>45891</v>
      </c>
      <c r="C3009" s="2" t="s">
        <v>106</v>
      </c>
      <c r="D3009" s="2" t="s">
        <v>38</v>
      </c>
      <c r="E3009" s="2">
        <v>1200</v>
      </c>
      <c r="F3009" s="2" t="s">
        <v>102</v>
      </c>
      <c r="G3009" s="2" t="s">
        <v>975</v>
      </c>
      <c r="H3009" s="2" t="s">
        <v>35</v>
      </c>
    </row>
    <row r="3010" spans="1:8" ht="13" hidden="1">
      <c r="A3010" s="15">
        <v>45891.894490752311</v>
      </c>
      <c r="B3010" s="16">
        <v>45882</v>
      </c>
      <c r="C3010" s="2" t="s">
        <v>106</v>
      </c>
      <c r="D3010" s="2" t="s">
        <v>38</v>
      </c>
      <c r="E3010" s="2">
        <v>1350</v>
      </c>
      <c r="F3010" s="2" t="s">
        <v>102</v>
      </c>
      <c r="H3010" s="2" t="s">
        <v>35</v>
      </c>
    </row>
    <row r="3011" spans="1:8" ht="13" hidden="1">
      <c r="A3011" s="15">
        <v>45891.894782800926</v>
      </c>
      <c r="B3011" s="16">
        <v>45882</v>
      </c>
      <c r="C3011" s="2" t="s">
        <v>674</v>
      </c>
      <c r="D3011" s="2" t="s">
        <v>39</v>
      </c>
      <c r="E3011" s="2">
        <v>2175</v>
      </c>
      <c r="F3011" s="2" t="s">
        <v>102</v>
      </c>
      <c r="H3011" s="2" t="s">
        <v>35</v>
      </c>
    </row>
    <row r="3012" spans="1:8" ht="13" hidden="1">
      <c r="A3012" s="15">
        <v>45902.733048946757</v>
      </c>
      <c r="B3012" s="16">
        <v>45882</v>
      </c>
      <c r="C3012" s="2" t="s">
        <v>992</v>
      </c>
      <c r="D3012" s="2" t="s">
        <v>39</v>
      </c>
      <c r="E3012" s="2">
        <v>1000</v>
      </c>
      <c r="F3012" s="2" t="s">
        <v>100</v>
      </c>
      <c r="H3012" s="2" t="s">
        <v>35</v>
      </c>
    </row>
    <row r="3013" spans="1:8" ht="13" hidden="1">
      <c r="A3013" s="15">
        <v>45902.733361539351</v>
      </c>
      <c r="B3013" s="16">
        <v>45882</v>
      </c>
      <c r="C3013" s="2" t="s">
        <v>1182</v>
      </c>
      <c r="D3013" s="2" t="s">
        <v>40</v>
      </c>
      <c r="E3013" s="2">
        <v>920</v>
      </c>
      <c r="F3013" s="2" t="s">
        <v>100</v>
      </c>
      <c r="H3013" s="2" t="s">
        <v>35</v>
      </c>
    </row>
    <row r="3014" spans="1:8" ht="13" hidden="1">
      <c r="A3014" s="15">
        <v>45891.895176226855</v>
      </c>
      <c r="B3014" s="16">
        <v>45883</v>
      </c>
      <c r="C3014" s="2" t="s">
        <v>106</v>
      </c>
      <c r="D3014" s="2" t="s">
        <v>38</v>
      </c>
      <c r="E3014" s="2">
        <v>1100</v>
      </c>
      <c r="F3014" s="2" t="s">
        <v>102</v>
      </c>
      <c r="G3014" s="2" t="s">
        <v>931</v>
      </c>
      <c r="H3014" s="2" t="s">
        <v>35</v>
      </c>
    </row>
    <row r="3015" spans="1:8" ht="13" hidden="1">
      <c r="A3015" s="15">
        <v>45844.727980312498</v>
      </c>
      <c r="B3015" s="16">
        <v>45840</v>
      </c>
      <c r="C3015" s="2" t="s">
        <v>1148</v>
      </c>
      <c r="D3015" s="2" t="s">
        <v>45</v>
      </c>
      <c r="E3015" s="2">
        <v>385</v>
      </c>
      <c r="F3015" s="2" t="s">
        <v>102</v>
      </c>
      <c r="G3015" s="2" t="s">
        <v>103</v>
      </c>
      <c r="H3015" s="2" t="s">
        <v>35</v>
      </c>
    </row>
    <row r="3016" spans="1:8" ht="13" hidden="1">
      <c r="A3016" s="15">
        <v>45902.733681400467</v>
      </c>
      <c r="B3016" s="16">
        <v>45883</v>
      </c>
      <c r="C3016" s="2" t="s">
        <v>1183</v>
      </c>
      <c r="D3016" s="2" t="s">
        <v>48</v>
      </c>
      <c r="E3016" s="2">
        <v>3386</v>
      </c>
      <c r="F3016" s="2" t="s">
        <v>100</v>
      </c>
      <c r="H3016" s="2" t="s">
        <v>35</v>
      </c>
    </row>
    <row r="3017" spans="1:8" ht="13" hidden="1">
      <c r="A3017" s="15">
        <v>45891.895903391203</v>
      </c>
      <c r="B3017" s="16">
        <v>45884</v>
      </c>
      <c r="C3017" s="2" t="s">
        <v>106</v>
      </c>
      <c r="D3017" s="2" t="s">
        <v>38</v>
      </c>
      <c r="E3017" s="2">
        <v>1500</v>
      </c>
      <c r="F3017" s="2" t="s">
        <v>102</v>
      </c>
      <c r="G3017" s="2" t="s">
        <v>957</v>
      </c>
      <c r="H3017" s="2" t="s">
        <v>35</v>
      </c>
    </row>
    <row r="3018" spans="1:8" ht="13" hidden="1">
      <c r="A3018" s="15">
        <v>45891.896262835653</v>
      </c>
      <c r="B3018" s="16">
        <v>45885</v>
      </c>
      <c r="C3018" s="2" t="s">
        <v>1184</v>
      </c>
      <c r="D3018" s="2" t="s">
        <v>38</v>
      </c>
      <c r="E3018" s="2">
        <v>470</v>
      </c>
      <c r="F3018" s="2" t="s">
        <v>102</v>
      </c>
      <c r="G3018" s="2" t="s">
        <v>356</v>
      </c>
      <c r="H3018" s="2" t="s">
        <v>35</v>
      </c>
    </row>
    <row r="3019" spans="1:8" ht="13" hidden="1">
      <c r="A3019" s="15">
        <v>45891.89651387732</v>
      </c>
      <c r="B3019" s="16">
        <v>45885</v>
      </c>
      <c r="C3019" s="2" t="s">
        <v>1185</v>
      </c>
      <c r="D3019" s="2" t="s">
        <v>38</v>
      </c>
      <c r="E3019" s="2">
        <v>367</v>
      </c>
      <c r="F3019" s="2" t="s">
        <v>102</v>
      </c>
      <c r="G3019" s="2" t="s">
        <v>107</v>
      </c>
      <c r="H3019" s="2" t="s">
        <v>35</v>
      </c>
    </row>
    <row r="3020" spans="1:8" ht="13" hidden="1">
      <c r="A3020" s="15">
        <v>45891.896823587958</v>
      </c>
      <c r="B3020" s="16">
        <v>45885</v>
      </c>
      <c r="C3020" s="2" t="s">
        <v>1175</v>
      </c>
      <c r="D3020" s="2" t="s">
        <v>39</v>
      </c>
      <c r="E3020" s="2">
        <v>1650</v>
      </c>
      <c r="F3020" s="2" t="s">
        <v>102</v>
      </c>
      <c r="G3020" s="2" t="s">
        <v>1186</v>
      </c>
      <c r="H3020" s="2" t="s">
        <v>35</v>
      </c>
    </row>
    <row r="3021" spans="1:8" ht="13" hidden="1">
      <c r="A3021" s="15">
        <v>45902.881258564812</v>
      </c>
      <c r="B3021" s="16">
        <v>45885</v>
      </c>
      <c r="C3021" s="2" t="s">
        <v>240</v>
      </c>
      <c r="D3021" s="2" t="s">
        <v>42</v>
      </c>
      <c r="E3021" s="2">
        <v>990</v>
      </c>
      <c r="F3021" s="2" t="s">
        <v>100</v>
      </c>
      <c r="H3021" s="2" t="s">
        <v>35</v>
      </c>
    </row>
    <row r="3022" spans="1:8" ht="13" hidden="1">
      <c r="A3022" s="15">
        <v>45902.881652777782</v>
      </c>
      <c r="B3022" s="16">
        <v>45885</v>
      </c>
      <c r="C3022" s="2" t="s">
        <v>20</v>
      </c>
      <c r="D3022" s="2" t="s">
        <v>39</v>
      </c>
      <c r="E3022" s="2">
        <v>1590</v>
      </c>
      <c r="F3022" s="2" t="s">
        <v>100</v>
      </c>
      <c r="H3022" s="2" t="s">
        <v>35</v>
      </c>
    </row>
    <row r="3023" spans="1:8" ht="13" hidden="1">
      <c r="A3023" s="15">
        <v>45902.8821144213</v>
      </c>
      <c r="B3023" s="16">
        <v>45885</v>
      </c>
      <c r="C3023" s="2" t="s">
        <v>350</v>
      </c>
      <c r="D3023" s="2" t="s">
        <v>40</v>
      </c>
      <c r="E3023" s="2">
        <v>2000</v>
      </c>
      <c r="F3023" s="2" t="s">
        <v>100</v>
      </c>
      <c r="H3023" s="2" t="s">
        <v>35</v>
      </c>
    </row>
    <row r="3024" spans="1:8" ht="13" hidden="1">
      <c r="A3024" s="15">
        <v>45891.897156516206</v>
      </c>
      <c r="B3024" s="16">
        <v>45886</v>
      </c>
      <c r="C3024" s="2" t="s">
        <v>214</v>
      </c>
      <c r="D3024" s="2" t="s">
        <v>39</v>
      </c>
      <c r="E3024" s="2">
        <v>1640</v>
      </c>
      <c r="F3024" s="2" t="s">
        <v>102</v>
      </c>
      <c r="H3024" s="2" t="s">
        <v>35</v>
      </c>
    </row>
    <row r="3025" spans="1:8" ht="13" hidden="1">
      <c r="A3025" s="15">
        <v>45891.897418125001</v>
      </c>
      <c r="B3025" s="16">
        <v>45886</v>
      </c>
      <c r="C3025" s="2" t="s">
        <v>895</v>
      </c>
      <c r="D3025" s="2" t="s">
        <v>39</v>
      </c>
      <c r="E3025" s="2">
        <v>5500</v>
      </c>
      <c r="F3025" s="2" t="s">
        <v>102</v>
      </c>
      <c r="H3025" s="2" t="s">
        <v>35</v>
      </c>
    </row>
    <row r="3026" spans="1:8" ht="13" hidden="1">
      <c r="A3026" s="15">
        <v>45891.898177719908</v>
      </c>
      <c r="B3026" s="16">
        <v>45886</v>
      </c>
      <c r="C3026" s="2" t="s">
        <v>880</v>
      </c>
      <c r="D3026" s="2" t="s">
        <v>39</v>
      </c>
      <c r="E3026" s="2">
        <v>1160</v>
      </c>
      <c r="F3026" s="2" t="s">
        <v>102</v>
      </c>
      <c r="H3026" s="2" t="s">
        <v>35</v>
      </c>
    </row>
    <row r="3027" spans="1:8" ht="13" hidden="1">
      <c r="A3027" s="15">
        <v>45891.898452731482</v>
      </c>
      <c r="B3027" s="16">
        <v>45886</v>
      </c>
      <c r="C3027" s="2" t="s">
        <v>436</v>
      </c>
      <c r="D3027" s="2" t="s">
        <v>38</v>
      </c>
      <c r="E3027" s="2">
        <v>160</v>
      </c>
      <c r="F3027" s="2" t="s">
        <v>102</v>
      </c>
      <c r="G3027" s="2" t="s">
        <v>356</v>
      </c>
      <c r="H3027" s="2" t="s">
        <v>35</v>
      </c>
    </row>
    <row r="3028" spans="1:8" ht="13" hidden="1">
      <c r="A3028" s="15">
        <v>45891.904365902781</v>
      </c>
      <c r="B3028" s="16">
        <v>45887</v>
      </c>
      <c r="C3028" s="2" t="s">
        <v>1187</v>
      </c>
      <c r="D3028" s="2" t="s">
        <v>38</v>
      </c>
      <c r="E3028" s="2">
        <v>1100</v>
      </c>
      <c r="F3028" s="2" t="s">
        <v>102</v>
      </c>
      <c r="H3028" s="2" t="s">
        <v>35</v>
      </c>
    </row>
    <row r="3029" spans="1:8" ht="13" hidden="1">
      <c r="A3029" s="15">
        <v>45902.88254269676</v>
      </c>
      <c r="B3029" s="16">
        <v>45887</v>
      </c>
      <c r="C3029" s="2" t="s">
        <v>308</v>
      </c>
      <c r="D3029" s="2" t="s">
        <v>40</v>
      </c>
      <c r="E3029" s="2">
        <v>13690</v>
      </c>
      <c r="F3029" s="2" t="s">
        <v>100</v>
      </c>
      <c r="H3029" s="2" t="s">
        <v>35</v>
      </c>
    </row>
    <row r="3030" spans="1:8" ht="13" hidden="1">
      <c r="A3030" s="15">
        <v>45823.438713530093</v>
      </c>
      <c r="B3030" s="16">
        <v>45822</v>
      </c>
      <c r="C3030" s="2" t="s">
        <v>1188</v>
      </c>
      <c r="D3030" s="2" t="s">
        <v>45</v>
      </c>
      <c r="E3030" s="2">
        <v>330</v>
      </c>
      <c r="F3030" s="2" t="s">
        <v>102</v>
      </c>
      <c r="G3030" s="2" t="s">
        <v>136</v>
      </c>
      <c r="H3030" s="2" t="s">
        <v>35</v>
      </c>
    </row>
    <row r="3031" spans="1:8" ht="13" hidden="1">
      <c r="A3031" s="15">
        <v>45891.899191956021</v>
      </c>
      <c r="B3031" s="16">
        <v>45888</v>
      </c>
      <c r="C3031" s="2" t="s">
        <v>280</v>
      </c>
      <c r="D3031" s="2" t="s">
        <v>46</v>
      </c>
      <c r="E3031" s="2">
        <v>1540</v>
      </c>
      <c r="F3031" s="2" t="s">
        <v>102</v>
      </c>
      <c r="G3031" s="2" t="s">
        <v>306</v>
      </c>
      <c r="H3031" s="2" t="s">
        <v>35</v>
      </c>
    </row>
    <row r="3032" spans="1:8" ht="13" hidden="1">
      <c r="A3032" s="15">
        <v>45891.904618981484</v>
      </c>
      <c r="B3032" s="16">
        <v>45888</v>
      </c>
      <c r="C3032" s="2" t="s">
        <v>154</v>
      </c>
      <c r="D3032" s="2" t="s">
        <v>38</v>
      </c>
      <c r="E3032" s="2">
        <v>500</v>
      </c>
      <c r="F3032" s="2" t="s">
        <v>102</v>
      </c>
      <c r="H3032" s="2" t="s">
        <v>35</v>
      </c>
    </row>
    <row r="3033" spans="1:8" ht="13" hidden="1">
      <c r="A3033" s="15">
        <v>45902.882865532403</v>
      </c>
      <c r="B3033" s="16">
        <v>45888</v>
      </c>
      <c r="C3033" s="2" t="s">
        <v>368</v>
      </c>
      <c r="D3033" s="2" t="s">
        <v>39</v>
      </c>
      <c r="E3033" s="2">
        <v>1180</v>
      </c>
      <c r="F3033" s="2" t="s">
        <v>100</v>
      </c>
      <c r="H3033" s="2" t="s">
        <v>35</v>
      </c>
    </row>
    <row r="3034" spans="1:8" ht="13" hidden="1">
      <c r="A3034" s="15">
        <v>45902.883675277779</v>
      </c>
      <c r="B3034" s="16">
        <v>45888</v>
      </c>
      <c r="C3034" s="2" t="s">
        <v>116</v>
      </c>
      <c r="D3034" s="2" t="s">
        <v>38</v>
      </c>
      <c r="E3034" s="2">
        <v>1694</v>
      </c>
      <c r="F3034" s="2" t="s">
        <v>100</v>
      </c>
      <c r="G3034" s="2" t="s">
        <v>652</v>
      </c>
      <c r="H3034" s="2" t="s">
        <v>35</v>
      </c>
    </row>
    <row r="3035" spans="1:8" ht="13" hidden="1">
      <c r="A3035" s="15">
        <v>45902.884189131946</v>
      </c>
      <c r="B3035" s="16">
        <v>45888</v>
      </c>
      <c r="C3035" s="2" t="s">
        <v>534</v>
      </c>
      <c r="D3035" s="2" t="s">
        <v>38</v>
      </c>
      <c r="E3035" s="2">
        <v>2830</v>
      </c>
      <c r="F3035" s="2" t="s">
        <v>100</v>
      </c>
      <c r="G3035" s="2" t="s">
        <v>129</v>
      </c>
      <c r="H3035" s="2" t="s">
        <v>35</v>
      </c>
    </row>
    <row r="3036" spans="1:8" ht="13" hidden="1">
      <c r="A3036" s="15">
        <v>45891.899466759263</v>
      </c>
      <c r="B3036" s="16">
        <v>45889</v>
      </c>
      <c r="C3036" s="2" t="s">
        <v>106</v>
      </c>
      <c r="D3036" s="2" t="s">
        <v>38</v>
      </c>
      <c r="E3036" s="2">
        <v>1100</v>
      </c>
      <c r="F3036" s="2" t="s">
        <v>102</v>
      </c>
      <c r="G3036" s="2" t="s">
        <v>952</v>
      </c>
      <c r="H3036" s="2" t="s">
        <v>35</v>
      </c>
    </row>
    <row r="3037" spans="1:8" ht="13" hidden="1">
      <c r="A3037" s="15">
        <v>45871.64432126157</v>
      </c>
      <c r="B3037" s="16">
        <v>45871</v>
      </c>
      <c r="C3037" s="2" t="s">
        <v>1189</v>
      </c>
      <c r="D3037" s="2" t="s">
        <v>45</v>
      </c>
      <c r="E3037" s="2">
        <v>330</v>
      </c>
      <c r="F3037" s="2" t="s">
        <v>102</v>
      </c>
      <c r="G3037" s="2" t="s">
        <v>136</v>
      </c>
      <c r="H3037" s="2" t="s">
        <v>35</v>
      </c>
    </row>
    <row r="3038" spans="1:8" ht="13" hidden="1">
      <c r="A3038" s="15">
        <v>45902.884920590281</v>
      </c>
      <c r="B3038" s="16">
        <v>45889</v>
      </c>
      <c r="C3038" s="2" t="s">
        <v>350</v>
      </c>
      <c r="D3038" s="2" t="s">
        <v>40</v>
      </c>
      <c r="E3038" s="2">
        <v>2000</v>
      </c>
      <c r="F3038" s="2" t="s">
        <v>100</v>
      </c>
      <c r="H3038" s="2" t="s">
        <v>35</v>
      </c>
    </row>
    <row r="3039" spans="1:8" ht="13" hidden="1">
      <c r="A3039" s="15">
        <v>45902.885229629625</v>
      </c>
      <c r="B3039" s="16">
        <v>45889</v>
      </c>
      <c r="C3039" s="2" t="s">
        <v>240</v>
      </c>
      <c r="D3039" s="2" t="s">
        <v>42</v>
      </c>
      <c r="E3039" s="2">
        <v>990</v>
      </c>
      <c r="F3039" s="2" t="s">
        <v>100</v>
      </c>
      <c r="H3039" s="2" t="s">
        <v>35</v>
      </c>
    </row>
    <row r="3040" spans="1:8" ht="13" hidden="1">
      <c r="A3040" s="15">
        <v>45902.885556759255</v>
      </c>
      <c r="B3040" s="16">
        <v>45889</v>
      </c>
      <c r="C3040" s="2" t="s">
        <v>24</v>
      </c>
      <c r="D3040" s="2" t="s">
        <v>49</v>
      </c>
      <c r="E3040" s="2">
        <v>1100</v>
      </c>
      <c r="F3040" s="2" t="s">
        <v>100</v>
      </c>
      <c r="H3040" s="2" t="s">
        <v>35</v>
      </c>
    </row>
    <row r="3041" spans="1:8" ht="13" hidden="1">
      <c r="A3041" s="15">
        <v>45902.885918495369</v>
      </c>
      <c r="B3041" s="16">
        <v>45891</v>
      </c>
      <c r="C3041" s="2" t="s">
        <v>277</v>
      </c>
      <c r="D3041" s="2" t="s">
        <v>46</v>
      </c>
      <c r="E3041" s="2">
        <v>2772</v>
      </c>
      <c r="F3041" s="2" t="s">
        <v>100</v>
      </c>
      <c r="G3041" s="2" t="s">
        <v>129</v>
      </c>
      <c r="H3041" s="2" t="s">
        <v>35</v>
      </c>
    </row>
    <row r="3042" spans="1:8" ht="13" hidden="1">
      <c r="A3042" s="15">
        <v>45891.901145706019</v>
      </c>
      <c r="B3042" s="16">
        <v>45891</v>
      </c>
      <c r="C3042" s="2" t="s">
        <v>398</v>
      </c>
      <c r="D3042" s="2" t="s">
        <v>38</v>
      </c>
      <c r="E3042" s="2">
        <v>135</v>
      </c>
      <c r="F3042" s="2" t="s">
        <v>102</v>
      </c>
      <c r="G3042" s="2" t="s">
        <v>103</v>
      </c>
      <c r="H3042" s="2" t="s">
        <v>35</v>
      </c>
    </row>
    <row r="3043" spans="1:8" ht="13" hidden="1">
      <c r="A3043" s="15">
        <v>45902.698096319444</v>
      </c>
      <c r="B3043" s="16">
        <v>45892</v>
      </c>
      <c r="C3043" s="2" t="s">
        <v>518</v>
      </c>
      <c r="D3043" s="2" t="s">
        <v>38</v>
      </c>
      <c r="E3043" s="2">
        <v>142</v>
      </c>
      <c r="F3043" s="2" t="s">
        <v>102</v>
      </c>
      <c r="G3043" s="2" t="s">
        <v>103</v>
      </c>
      <c r="H3043" s="2" t="s">
        <v>35</v>
      </c>
    </row>
    <row r="3044" spans="1:8" ht="13" hidden="1">
      <c r="A3044" s="15">
        <v>45902.698555949071</v>
      </c>
      <c r="B3044" s="16">
        <v>45892</v>
      </c>
      <c r="C3044" s="2" t="s">
        <v>1190</v>
      </c>
      <c r="D3044" s="2" t="s">
        <v>39</v>
      </c>
      <c r="E3044" s="2">
        <v>2130</v>
      </c>
      <c r="F3044" s="2" t="s">
        <v>102</v>
      </c>
      <c r="G3044" s="2" t="s">
        <v>1191</v>
      </c>
      <c r="H3044" s="2" t="s">
        <v>35</v>
      </c>
    </row>
    <row r="3045" spans="1:8" ht="13" hidden="1">
      <c r="A3045" s="15">
        <v>45902.697660798614</v>
      </c>
      <c r="B3045" s="16">
        <v>45892</v>
      </c>
      <c r="C3045" s="2" t="s">
        <v>112</v>
      </c>
      <c r="D3045" s="2" t="s">
        <v>38</v>
      </c>
      <c r="E3045" s="2">
        <v>390</v>
      </c>
      <c r="F3045" s="2" t="s">
        <v>102</v>
      </c>
      <c r="G3045" s="2" t="s">
        <v>880</v>
      </c>
      <c r="H3045" s="2" t="s">
        <v>35</v>
      </c>
    </row>
    <row r="3046" spans="1:8" ht="13" hidden="1">
      <c r="A3046" s="15">
        <v>45902.886233506943</v>
      </c>
      <c r="B3046" s="16">
        <v>45892</v>
      </c>
      <c r="C3046" s="2" t="s">
        <v>184</v>
      </c>
      <c r="D3046" s="2" t="s">
        <v>39</v>
      </c>
      <c r="E3046" s="2">
        <v>8130</v>
      </c>
      <c r="F3046" s="2" t="s">
        <v>100</v>
      </c>
      <c r="H3046" s="2" t="s">
        <v>35</v>
      </c>
    </row>
    <row r="3047" spans="1:8" ht="13" hidden="1">
      <c r="A3047" s="15">
        <v>45902.697270763892</v>
      </c>
      <c r="B3047" s="16">
        <v>45892</v>
      </c>
      <c r="C3047" s="2" t="s">
        <v>1192</v>
      </c>
      <c r="D3047" s="2" t="s">
        <v>38</v>
      </c>
      <c r="E3047" s="2">
        <v>460</v>
      </c>
      <c r="F3047" s="2" t="s">
        <v>102</v>
      </c>
      <c r="G3047" s="2" t="s">
        <v>199</v>
      </c>
      <c r="H3047" s="2" t="s">
        <v>35</v>
      </c>
    </row>
    <row r="3048" spans="1:8" ht="13" hidden="1">
      <c r="A3048" s="15">
        <v>45902.886606678236</v>
      </c>
      <c r="B3048" s="16">
        <v>45893</v>
      </c>
      <c r="C3048" s="2" t="s">
        <v>240</v>
      </c>
      <c r="D3048" s="2" t="s">
        <v>42</v>
      </c>
      <c r="E3048" s="2">
        <v>990</v>
      </c>
      <c r="F3048" s="2" t="s">
        <v>100</v>
      </c>
      <c r="H3048" s="2" t="s">
        <v>35</v>
      </c>
    </row>
    <row r="3049" spans="1:8" ht="13" hidden="1">
      <c r="A3049" s="15">
        <v>45902.698805532404</v>
      </c>
      <c r="B3049" s="16">
        <v>45893</v>
      </c>
      <c r="C3049" s="2" t="s">
        <v>400</v>
      </c>
      <c r="D3049" s="2" t="s">
        <v>39</v>
      </c>
      <c r="E3049" s="2">
        <v>1688</v>
      </c>
      <c r="F3049" s="2" t="s">
        <v>102</v>
      </c>
      <c r="G3049" s="2" t="s">
        <v>886</v>
      </c>
      <c r="H3049" s="2" t="s">
        <v>35</v>
      </c>
    </row>
    <row r="3050" spans="1:8" ht="13" hidden="1">
      <c r="A3050" s="15">
        <v>45894.452617650459</v>
      </c>
      <c r="B3050" s="16">
        <v>45893</v>
      </c>
      <c r="C3050" s="2" t="s">
        <v>116</v>
      </c>
      <c r="D3050" s="2" t="s">
        <v>38</v>
      </c>
      <c r="E3050" s="2">
        <v>1627</v>
      </c>
      <c r="F3050" s="2" t="s">
        <v>102</v>
      </c>
      <c r="G3050" s="2" t="s">
        <v>1193</v>
      </c>
      <c r="H3050" s="2" t="s">
        <v>35</v>
      </c>
    </row>
    <row r="3051" spans="1:8" ht="13" hidden="1">
      <c r="A3051" s="15">
        <v>45902.887019375004</v>
      </c>
      <c r="B3051" s="16">
        <v>45894</v>
      </c>
      <c r="C3051" s="2" t="s">
        <v>983</v>
      </c>
      <c r="D3051" s="2" t="s">
        <v>45</v>
      </c>
      <c r="E3051" s="2">
        <v>1523</v>
      </c>
      <c r="F3051" s="2" t="s">
        <v>100</v>
      </c>
      <c r="H3051" s="2" t="s">
        <v>35</v>
      </c>
    </row>
    <row r="3052" spans="1:8" ht="13" hidden="1">
      <c r="A3052" s="15">
        <v>45894.452959918985</v>
      </c>
      <c r="B3052" s="16">
        <v>45894</v>
      </c>
      <c r="C3052" s="2" t="s">
        <v>1194</v>
      </c>
      <c r="E3052" s="2">
        <v>379705</v>
      </c>
      <c r="H3052" s="2" t="s">
        <v>34</v>
      </c>
    </row>
    <row r="3053" spans="1:8" ht="13" hidden="1">
      <c r="A3053" s="15">
        <v>45902.887404004628</v>
      </c>
      <c r="B3053" s="16">
        <v>45894</v>
      </c>
      <c r="C3053" s="2" t="s">
        <v>350</v>
      </c>
      <c r="D3053" s="2" t="s">
        <v>40</v>
      </c>
      <c r="E3053" s="2">
        <v>2000</v>
      </c>
      <c r="F3053" s="2" t="s">
        <v>100</v>
      </c>
      <c r="H3053" s="2" t="s">
        <v>35</v>
      </c>
    </row>
    <row r="3054" spans="1:8" ht="13" hidden="1">
      <c r="A3054" s="15">
        <v>45902.889197974539</v>
      </c>
      <c r="B3054" s="16">
        <v>45894</v>
      </c>
      <c r="C3054" s="2" t="s">
        <v>1195</v>
      </c>
      <c r="D3054" s="2" t="s">
        <v>43</v>
      </c>
      <c r="E3054" s="2">
        <v>767</v>
      </c>
      <c r="F3054" s="2" t="s">
        <v>100</v>
      </c>
      <c r="H3054" s="2" t="s">
        <v>35</v>
      </c>
    </row>
    <row r="3055" spans="1:8" ht="13" hidden="1">
      <c r="A3055" s="15">
        <v>45699.795288622685</v>
      </c>
      <c r="B3055" s="16">
        <v>45689</v>
      </c>
      <c r="C3055" s="2" t="s">
        <v>10</v>
      </c>
      <c r="D3055" s="2" t="s">
        <v>45</v>
      </c>
      <c r="E3055" s="2">
        <v>280</v>
      </c>
      <c r="F3055" s="2" t="s">
        <v>100</v>
      </c>
      <c r="H3055" s="2" t="s">
        <v>35</v>
      </c>
    </row>
    <row r="3056" spans="1:8" ht="13" hidden="1">
      <c r="A3056" s="15">
        <v>45738.869953726855</v>
      </c>
      <c r="B3056" s="16">
        <v>45717</v>
      </c>
      <c r="C3056" s="2" t="s">
        <v>10</v>
      </c>
      <c r="D3056" s="2" t="s">
        <v>45</v>
      </c>
      <c r="E3056" s="2">
        <v>280</v>
      </c>
      <c r="F3056" s="2" t="s">
        <v>100</v>
      </c>
      <c r="H3056" s="2" t="s">
        <v>35</v>
      </c>
    </row>
    <row r="3057" spans="1:8" ht="13" hidden="1">
      <c r="A3057" s="15">
        <v>45902.887619293979</v>
      </c>
      <c r="B3057" s="16">
        <v>45894</v>
      </c>
      <c r="C3057" s="2" t="s">
        <v>207</v>
      </c>
      <c r="D3057" s="2" t="s">
        <v>39</v>
      </c>
      <c r="E3057" s="2">
        <v>2189</v>
      </c>
      <c r="F3057" s="2" t="s">
        <v>100</v>
      </c>
      <c r="H3057" s="2" t="s">
        <v>35</v>
      </c>
    </row>
    <row r="3058" spans="1:8" ht="13" hidden="1">
      <c r="A3058" s="15">
        <v>45760.748490972226</v>
      </c>
      <c r="B3058" s="16">
        <v>45748</v>
      </c>
      <c r="C3058" s="2" t="s">
        <v>10</v>
      </c>
      <c r="D3058" s="2" t="s">
        <v>45</v>
      </c>
      <c r="E3058" s="2">
        <v>280</v>
      </c>
      <c r="F3058" s="2" t="s">
        <v>100</v>
      </c>
      <c r="H3058" s="2" t="s">
        <v>35</v>
      </c>
    </row>
    <row r="3059" spans="1:8" ht="13" hidden="1">
      <c r="A3059" s="15">
        <v>45902.69956591435</v>
      </c>
      <c r="B3059" s="16">
        <v>45894</v>
      </c>
      <c r="C3059" s="2" t="s">
        <v>245</v>
      </c>
      <c r="D3059" s="2" t="s">
        <v>39</v>
      </c>
      <c r="E3059" s="2">
        <v>560</v>
      </c>
      <c r="F3059" s="2" t="s">
        <v>102</v>
      </c>
      <c r="G3059" s="2" t="s">
        <v>107</v>
      </c>
      <c r="H3059" s="2" t="s">
        <v>35</v>
      </c>
    </row>
    <row r="3060" spans="1:8" ht="13" hidden="1">
      <c r="A3060" s="15">
        <v>45902.889517048607</v>
      </c>
      <c r="B3060" s="16">
        <v>45894</v>
      </c>
      <c r="C3060" s="2" t="s">
        <v>112</v>
      </c>
      <c r="D3060" s="2" t="s">
        <v>38</v>
      </c>
      <c r="E3060" s="2">
        <v>429</v>
      </c>
      <c r="F3060" s="2" t="s">
        <v>100</v>
      </c>
      <c r="G3060" s="2" t="s">
        <v>332</v>
      </c>
      <c r="H3060" s="2" t="s">
        <v>35</v>
      </c>
    </row>
    <row r="3061" spans="1:8" ht="13" hidden="1">
      <c r="A3061" s="15">
        <v>45894.45361704861</v>
      </c>
      <c r="B3061" s="16">
        <v>45894</v>
      </c>
      <c r="C3061" s="2" t="s">
        <v>11</v>
      </c>
      <c r="D3061" s="2" t="s">
        <v>47</v>
      </c>
      <c r="E3061" s="2">
        <v>40000</v>
      </c>
      <c r="F3061" s="2" t="s">
        <v>102</v>
      </c>
      <c r="H3061" s="2" t="s">
        <v>35</v>
      </c>
    </row>
    <row r="3062" spans="1:8" ht="13" hidden="1">
      <c r="A3062" s="15">
        <v>45902.699167604165</v>
      </c>
      <c r="B3062" s="16">
        <v>45894</v>
      </c>
      <c r="C3062" s="2" t="s">
        <v>1196</v>
      </c>
      <c r="D3062" s="2" t="s">
        <v>44</v>
      </c>
      <c r="E3062" s="2">
        <v>1180</v>
      </c>
      <c r="F3062" s="2" t="s">
        <v>102</v>
      </c>
      <c r="G3062" s="2" t="s">
        <v>132</v>
      </c>
      <c r="H3062" s="2" t="s">
        <v>35</v>
      </c>
    </row>
    <row r="3063" spans="1:8" ht="13" hidden="1">
      <c r="A3063" s="15">
        <v>45802.895855821756</v>
      </c>
      <c r="B3063" s="16">
        <v>45778</v>
      </c>
      <c r="C3063" s="2" t="s">
        <v>10</v>
      </c>
      <c r="D3063" s="2" t="s">
        <v>45</v>
      </c>
      <c r="E3063" s="2">
        <v>280</v>
      </c>
      <c r="F3063" s="2" t="s">
        <v>100</v>
      </c>
      <c r="H3063" s="2" t="s">
        <v>35</v>
      </c>
    </row>
    <row r="3064" spans="1:8" ht="13" hidden="1">
      <c r="A3064" s="15">
        <v>45902.70022269676</v>
      </c>
      <c r="B3064" s="16">
        <v>45895</v>
      </c>
      <c r="C3064" s="2" t="s">
        <v>542</v>
      </c>
      <c r="D3064" s="2" t="s">
        <v>39</v>
      </c>
      <c r="E3064" s="2">
        <v>770</v>
      </c>
      <c r="F3064" s="2" t="s">
        <v>102</v>
      </c>
      <c r="H3064" s="2" t="s">
        <v>35</v>
      </c>
    </row>
    <row r="3065" spans="1:8" ht="13" hidden="1">
      <c r="A3065" s="15">
        <v>45902.700527905094</v>
      </c>
      <c r="B3065" s="16">
        <v>45895</v>
      </c>
      <c r="C3065" s="2" t="s">
        <v>1197</v>
      </c>
      <c r="D3065" s="2" t="s">
        <v>39</v>
      </c>
      <c r="E3065" s="2">
        <v>4300</v>
      </c>
      <c r="F3065" s="2" t="s">
        <v>102</v>
      </c>
      <c r="H3065" s="2" t="s">
        <v>35</v>
      </c>
    </row>
    <row r="3066" spans="1:8" ht="13" hidden="1">
      <c r="A3066" s="15">
        <v>45902.699920914354</v>
      </c>
      <c r="B3066" s="16">
        <v>45895</v>
      </c>
      <c r="C3066" s="2" t="s">
        <v>601</v>
      </c>
      <c r="D3066" s="2" t="s">
        <v>38</v>
      </c>
      <c r="E3066" s="2">
        <v>181</v>
      </c>
      <c r="F3066" s="2" t="s">
        <v>102</v>
      </c>
      <c r="G3066" s="2" t="s">
        <v>145</v>
      </c>
      <c r="H3066" s="2" t="s">
        <v>35</v>
      </c>
    </row>
    <row r="3067" spans="1:8" ht="13" hidden="1">
      <c r="A3067" s="15">
        <v>45894.455079085645</v>
      </c>
      <c r="B3067" s="16">
        <v>45896</v>
      </c>
      <c r="C3067" s="2" t="s">
        <v>714</v>
      </c>
      <c r="D3067" s="2" t="s">
        <v>5</v>
      </c>
      <c r="E3067" s="2">
        <v>93000</v>
      </c>
      <c r="F3067" s="2" t="s">
        <v>102</v>
      </c>
      <c r="H3067" s="2" t="s">
        <v>35</v>
      </c>
    </row>
    <row r="3068" spans="1:8" ht="13" hidden="1">
      <c r="A3068" s="15">
        <v>45894.455717222227</v>
      </c>
      <c r="B3068" s="16">
        <v>45896</v>
      </c>
      <c r="C3068" s="2" t="s">
        <v>133</v>
      </c>
      <c r="D3068" s="2" t="s">
        <v>47</v>
      </c>
      <c r="E3068" s="2">
        <v>24000</v>
      </c>
      <c r="F3068" s="2" t="s">
        <v>102</v>
      </c>
      <c r="H3068" s="2" t="s">
        <v>35</v>
      </c>
    </row>
    <row r="3069" spans="1:8" ht="13" hidden="1">
      <c r="A3069" s="15">
        <v>45902.701188923616</v>
      </c>
      <c r="B3069" s="16">
        <v>45896</v>
      </c>
      <c r="C3069" s="2" t="s">
        <v>112</v>
      </c>
      <c r="D3069" s="2" t="s">
        <v>38</v>
      </c>
      <c r="E3069" s="2">
        <v>330</v>
      </c>
      <c r="F3069" s="2" t="s">
        <v>102</v>
      </c>
      <c r="G3069" s="2" t="s">
        <v>113</v>
      </c>
      <c r="H3069" s="2" t="s">
        <v>35</v>
      </c>
    </row>
    <row r="3070" spans="1:8" ht="13" hidden="1">
      <c r="A3070" s="15">
        <v>45902.701453715279</v>
      </c>
      <c r="B3070" s="16">
        <v>45896</v>
      </c>
      <c r="C3070" s="2" t="s">
        <v>1198</v>
      </c>
      <c r="D3070" s="2" t="s">
        <v>38</v>
      </c>
      <c r="E3070" s="2">
        <v>400</v>
      </c>
      <c r="F3070" s="2" t="s">
        <v>102</v>
      </c>
      <c r="G3070" s="2" t="s">
        <v>113</v>
      </c>
      <c r="H3070" s="2" t="s">
        <v>35</v>
      </c>
    </row>
    <row r="3071" spans="1:8" ht="13" hidden="1">
      <c r="A3071" s="15">
        <v>45894.454365486112</v>
      </c>
      <c r="B3071" s="16">
        <v>45896</v>
      </c>
      <c r="C3071" s="2" t="s">
        <v>146</v>
      </c>
      <c r="D3071" s="2" t="s">
        <v>47</v>
      </c>
      <c r="E3071" s="2">
        <v>3600</v>
      </c>
      <c r="F3071" s="2" t="s">
        <v>102</v>
      </c>
      <c r="H3071" s="2" t="s">
        <v>35</v>
      </c>
    </row>
    <row r="3072" spans="1:8" ht="13" hidden="1">
      <c r="A3072" s="15">
        <v>45902.889790624999</v>
      </c>
      <c r="B3072" s="16">
        <v>45896</v>
      </c>
      <c r="C3072" s="2" t="s">
        <v>116</v>
      </c>
      <c r="D3072" s="2" t="s">
        <v>38</v>
      </c>
      <c r="E3072" s="2">
        <v>1423</v>
      </c>
      <c r="F3072" s="2" t="s">
        <v>100</v>
      </c>
      <c r="G3072" s="2" t="s">
        <v>652</v>
      </c>
      <c r="H3072" s="2" t="s">
        <v>35</v>
      </c>
    </row>
    <row r="3073" spans="1:8" ht="13" hidden="1">
      <c r="A3073" s="15">
        <v>45902.700872476853</v>
      </c>
      <c r="B3073" s="16">
        <v>45896</v>
      </c>
      <c r="C3073" s="2" t="s">
        <v>1199</v>
      </c>
      <c r="D3073" s="2" t="s">
        <v>45</v>
      </c>
      <c r="E3073" s="2">
        <v>140</v>
      </c>
      <c r="F3073" s="2" t="s">
        <v>102</v>
      </c>
      <c r="G3073" s="2" t="s">
        <v>103</v>
      </c>
      <c r="H3073" s="2" t="s">
        <v>35</v>
      </c>
    </row>
    <row r="3074" spans="1:8" ht="13" hidden="1">
      <c r="A3074" s="15">
        <v>45894.454767916672</v>
      </c>
      <c r="B3074" s="16">
        <v>45896</v>
      </c>
      <c r="C3074" s="2" t="s">
        <v>408</v>
      </c>
      <c r="D3074" s="2" t="s">
        <v>152</v>
      </c>
      <c r="E3074" s="2">
        <v>15000</v>
      </c>
      <c r="F3074" s="2" t="s">
        <v>102</v>
      </c>
      <c r="H3074" s="2" t="s">
        <v>35</v>
      </c>
    </row>
    <row r="3075" spans="1:8" ht="13" hidden="1">
      <c r="A3075" s="15">
        <v>45894.454063078709</v>
      </c>
      <c r="B3075" s="16">
        <v>45896</v>
      </c>
      <c r="C3075" s="2" t="s">
        <v>9</v>
      </c>
      <c r="D3075" s="2" t="s">
        <v>47</v>
      </c>
      <c r="E3075" s="2">
        <v>13600</v>
      </c>
      <c r="F3075" s="2" t="s">
        <v>102</v>
      </c>
      <c r="H3075" s="2" t="s">
        <v>35</v>
      </c>
    </row>
    <row r="3076" spans="1:8" ht="13" hidden="1">
      <c r="A3076" s="15">
        <v>45902.706397013884</v>
      </c>
      <c r="B3076" s="16">
        <v>45897</v>
      </c>
      <c r="C3076" s="2" t="s">
        <v>106</v>
      </c>
      <c r="D3076" s="2" t="s">
        <v>38</v>
      </c>
      <c r="E3076" s="2">
        <v>1300</v>
      </c>
      <c r="F3076" s="2" t="s">
        <v>102</v>
      </c>
      <c r="H3076" s="2" t="s">
        <v>35</v>
      </c>
    </row>
    <row r="3077" spans="1:8" ht="13" hidden="1">
      <c r="A3077" s="15">
        <v>45914.945478668982</v>
      </c>
      <c r="B3077" s="16">
        <v>45897</v>
      </c>
      <c r="C3077" s="2" t="s">
        <v>158</v>
      </c>
      <c r="D3077" s="2" t="s">
        <v>49</v>
      </c>
      <c r="E3077" s="2">
        <v>4980</v>
      </c>
      <c r="F3077" s="2" t="s">
        <v>100</v>
      </c>
      <c r="H3077" s="2" t="s">
        <v>35</v>
      </c>
    </row>
    <row r="3078" spans="1:8" ht="13" hidden="1">
      <c r="A3078" s="15">
        <v>45914.946210925926</v>
      </c>
      <c r="B3078" s="16">
        <v>45898</v>
      </c>
      <c r="C3078" s="2" t="s">
        <v>240</v>
      </c>
      <c r="D3078" s="2" t="s">
        <v>42</v>
      </c>
      <c r="E3078" s="2">
        <v>990</v>
      </c>
      <c r="F3078" s="2" t="s">
        <v>100</v>
      </c>
      <c r="H3078" s="2" t="s">
        <v>35</v>
      </c>
    </row>
    <row r="3079" spans="1:8" ht="13" hidden="1">
      <c r="A3079" s="15">
        <v>45902.702159282402</v>
      </c>
      <c r="B3079" s="16">
        <v>45898</v>
      </c>
      <c r="C3079" s="2" t="s">
        <v>1200</v>
      </c>
      <c r="D3079" s="2" t="s">
        <v>38</v>
      </c>
      <c r="E3079" s="2">
        <v>386</v>
      </c>
      <c r="F3079" s="2" t="s">
        <v>102</v>
      </c>
      <c r="G3079" s="2" t="s">
        <v>1126</v>
      </c>
      <c r="H3079" s="2" t="s">
        <v>35</v>
      </c>
    </row>
    <row r="3080" spans="1:8" ht="13" hidden="1">
      <c r="A3080" s="15">
        <v>45914.945820671295</v>
      </c>
      <c r="B3080" s="16">
        <v>45898</v>
      </c>
      <c r="C3080" s="2" t="s">
        <v>105</v>
      </c>
      <c r="D3080" s="2" t="s">
        <v>40</v>
      </c>
      <c r="E3080" s="2">
        <v>3800</v>
      </c>
      <c r="F3080" s="2" t="s">
        <v>100</v>
      </c>
      <c r="H3080" s="2" t="s">
        <v>35</v>
      </c>
    </row>
    <row r="3081" spans="1:8" ht="13" hidden="1">
      <c r="A3081" s="15">
        <v>45902.702560787038</v>
      </c>
      <c r="B3081" s="16">
        <v>45898</v>
      </c>
      <c r="C3081" s="2" t="s">
        <v>114</v>
      </c>
      <c r="D3081" s="2" t="s">
        <v>38</v>
      </c>
      <c r="E3081" s="2">
        <v>180</v>
      </c>
      <c r="F3081" s="2" t="s">
        <v>102</v>
      </c>
      <c r="G3081" s="2" t="s">
        <v>356</v>
      </c>
      <c r="H3081" s="2" t="s">
        <v>35</v>
      </c>
    </row>
    <row r="3082" spans="1:8" ht="13" hidden="1">
      <c r="A3082" s="15">
        <v>45902.701801030096</v>
      </c>
      <c r="B3082" s="16">
        <v>45898</v>
      </c>
      <c r="C3082" s="2" t="s">
        <v>106</v>
      </c>
      <c r="D3082" s="2" t="s">
        <v>38</v>
      </c>
      <c r="E3082" s="2">
        <v>820</v>
      </c>
      <c r="F3082" s="2" t="s">
        <v>102</v>
      </c>
      <c r="G3082" s="2" t="s">
        <v>113</v>
      </c>
      <c r="H3082" s="2" t="s">
        <v>35</v>
      </c>
    </row>
    <row r="3083" spans="1:8" ht="13" hidden="1">
      <c r="A3083" s="15">
        <v>45914.947080497688</v>
      </c>
      <c r="B3083" s="16">
        <v>45899</v>
      </c>
      <c r="C3083" s="2" t="s">
        <v>350</v>
      </c>
      <c r="D3083" s="2" t="s">
        <v>40</v>
      </c>
      <c r="E3083" s="2">
        <v>2000</v>
      </c>
      <c r="F3083" s="2" t="s">
        <v>100</v>
      </c>
      <c r="H3083" s="2" t="s">
        <v>35</v>
      </c>
    </row>
    <row r="3084" spans="1:8" ht="13" hidden="1">
      <c r="A3084" s="15">
        <v>45902.703432997689</v>
      </c>
      <c r="B3084" s="16">
        <v>45899</v>
      </c>
      <c r="C3084" s="2" t="s">
        <v>1201</v>
      </c>
      <c r="D3084" s="2" t="s">
        <v>152</v>
      </c>
      <c r="E3084" s="2">
        <v>1941</v>
      </c>
      <c r="F3084" s="2" t="s">
        <v>102</v>
      </c>
      <c r="G3084" s="2" t="s">
        <v>103</v>
      </c>
      <c r="H3084" s="2" t="s">
        <v>35</v>
      </c>
    </row>
    <row r="3085" spans="1:8" ht="13" hidden="1">
      <c r="A3085" s="15">
        <v>45914.946710821758</v>
      </c>
      <c r="B3085" s="16">
        <v>45899</v>
      </c>
      <c r="C3085" s="2" t="s">
        <v>1202</v>
      </c>
      <c r="D3085" s="2" t="s">
        <v>39</v>
      </c>
      <c r="E3085" s="2">
        <v>16770</v>
      </c>
      <c r="F3085" s="2" t="s">
        <v>100</v>
      </c>
      <c r="H3085" s="2" t="s">
        <v>35</v>
      </c>
    </row>
    <row r="3086" spans="1:8" ht="13" hidden="1">
      <c r="A3086" s="15">
        <v>45914.947388981484</v>
      </c>
      <c r="B3086" s="16">
        <v>45900</v>
      </c>
      <c r="C3086" s="2" t="s">
        <v>350</v>
      </c>
      <c r="D3086" s="2" t="s">
        <v>40</v>
      </c>
      <c r="E3086" s="2">
        <v>2000</v>
      </c>
      <c r="F3086" s="2" t="s">
        <v>100</v>
      </c>
      <c r="H3086" s="2" t="s">
        <v>35</v>
      </c>
    </row>
    <row r="3087" spans="1:8" ht="13" hidden="1">
      <c r="A3087" s="15">
        <v>45902.704939502313</v>
      </c>
      <c r="B3087" s="16">
        <v>45900</v>
      </c>
      <c r="C3087" s="2" t="s">
        <v>1203</v>
      </c>
      <c r="E3087" s="2">
        <v>10000</v>
      </c>
      <c r="H3087" s="2" t="s">
        <v>34</v>
      </c>
    </row>
    <row r="3088" spans="1:8" ht="13" hidden="1">
      <c r="A3088" s="15">
        <v>45902.70386105324</v>
      </c>
      <c r="B3088" s="16">
        <v>45900</v>
      </c>
      <c r="C3088" s="2" t="s">
        <v>1204</v>
      </c>
      <c r="D3088" s="2" t="s">
        <v>38</v>
      </c>
      <c r="E3088" s="2">
        <v>447</v>
      </c>
      <c r="F3088" s="2" t="s">
        <v>102</v>
      </c>
      <c r="G3088" s="2" t="s">
        <v>103</v>
      </c>
      <c r="H3088" s="2" t="s">
        <v>35</v>
      </c>
    </row>
    <row r="3089" spans="1:8" ht="13" hidden="1">
      <c r="A3089" s="15">
        <v>45830.968526076387</v>
      </c>
      <c r="B3089" s="16">
        <v>45809</v>
      </c>
      <c r="C3089" s="2" t="s">
        <v>10</v>
      </c>
      <c r="D3089" s="2" t="s">
        <v>45</v>
      </c>
      <c r="E3089" s="2">
        <v>280</v>
      </c>
      <c r="F3089" s="2" t="s">
        <v>100</v>
      </c>
      <c r="H3089" s="2" t="s">
        <v>35</v>
      </c>
    </row>
    <row r="3090" spans="1:8" ht="13" hidden="1">
      <c r="A3090" s="15">
        <v>45902.70430474537</v>
      </c>
      <c r="B3090" s="16">
        <v>45901</v>
      </c>
      <c r="C3090" s="2" t="s">
        <v>719</v>
      </c>
      <c r="D3090" s="2" t="s">
        <v>45</v>
      </c>
      <c r="E3090" s="2">
        <v>852</v>
      </c>
      <c r="F3090" s="2" t="s">
        <v>102</v>
      </c>
      <c r="G3090" s="2" t="s">
        <v>285</v>
      </c>
      <c r="H3090" s="2" t="s">
        <v>35</v>
      </c>
    </row>
    <row r="3091" spans="1:8" ht="13" hidden="1">
      <c r="A3091" s="15">
        <v>45902.705257916663</v>
      </c>
      <c r="B3091" s="16">
        <v>45901</v>
      </c>
      <c r="C3091" s="2" t="s">
        <v>1178</v>
      </c>
      <c r="E3091" s="2">
        <v>13911</v>
      </c>
      <c r="H3091" s="2" t="s">
        <v>34</v>
      </c>
    </row>
    <row r="3092" spans="1:8" ht="13" hidden="1">
      <c r="A3092" s="15">
        <v>45865.659209016201</v>
      </c>
      <c r="B3092" s="16">
        <v>45839</v>
      </c>
      <c r="C3092" s="2" t="s">
        <v>10</v>
      </c>
      <c r="D3092" s="2" t="s">
        <v>45</v>
      </c>
      <c r="E3092" s="2">
        <v>280</v>
      </c>
      <c r="F3092" s="2" t="s">
        <v>100</v>
      </c>
      <c r="H3092" s="2" t="s">
        <v>35</v>
      </c>
    </row>
    <row r="3093" spans="1:8" ht="13" hidden="1">
      <c r="A3093" s="15">
        <v>45902.720292627317</v>
      </c>
      <c r="B3093" s="16">
        <v>45901</v>
      </c>
      <c r="C3093" s="2" t="s">
        <v>1205</v>
      </c>
      <c r="D3093" s="2" t="s">
        <v>49</v>
      </c>
      <c r="E3093" s="2">
        <v>1200</v>
      </c>
      <c r="F3093" s="2" t="s">
        <v>100</v>
      </c>
      <c r="G3093" s="2" t="s">
        <v>179</v>
      </c>
      <c r="H3093" s="2" t="s">
        <v>35</v>
      </c>
    </row>
    <row r="3094" spans="1:8" ht="13" hidden="1">
      <c r="A3094" s="15">
        <v>45914.947988194443</v>
      </c>
      <c r="B3094" s="16">
        <v>45901</v>
      </c>
      <c r="C3094" s="2" t="s">
        <v>10</v>
      </c>
      <c r="D3094" s="2" t="s">
        <v>45</v>
      </c>
      <c r="E3094" s="2">
        <v>280</v>
      </c>
      <c r="F3094" s="2" t="s">
        <v>100</v>
      </c>
      <c r="H3094" s="2" t="s">
        <v>35</v>
      </c>
    </row>
    <row r="3095" spans="1:8" ht="13" hidden="1">
      <c r="A3095" s="15">
        <v>45914.948619803239</v>
      </c>
      <c r="B3095" s="16">
        <v>45901</v>
      </c>
      <c r="C3095" s="2" t="s">
        <v>116</v>
      </c>
      <c r="D3095" s="2" t="s">
        <v>38</v>
      </c>
      <c r="E3095" s="2">
        <v>1558</v>
      </c>
      <c r="F3095" s="2" t="s">
        <v>100</v>
      </c>
      <c r="G3095" s="2" t="s">
        <v>652</v>
      </c>
      <c r="H3095" s="2" t="s">
        <v>35</v>
      </c>
    </row>
    <row r="3096" spans="1:8" ht="13" hidden="1">
      <c r="A3096" s="15">
        <v>45914.948254525458</v>
      </c>
      <c r="B3096" s="16">
        <v>45901</v>
      </c>
      <c r="C3096" s="2" t="s">
        <v>26</v>
      </c>
      <c r="D3096" s="2" t="s">
        <v>41</v>
      </c>
      <c r="E3096" s="2">
        <v>7336</v>
      </c>
      <c r="F3096" s="2" t="s">
        <v>100</v>
      </c>
      <c r="H3096" s="2" t="s">
        <v>35</v>
      </c>
    </row>
    <row r="3097" spans="1:8" ht="13" hidden="1">
      <c r="A3097" s="15">
        <v>45902.704644733793</v>
      </c>
      <c r="B3097" s="16">
        <v>45902</v>
      </c>
      <c r="C3097" s="2" t="s">
        <v>1206</v>
      </c>
      <c r="D3097" s="2" t="s">
        <v>45</v>
      </c>
      <c r="E3097" s="2">
        <v>472</v>
      </c>
      <c r="F3097" s="2" t="s">
        <v>102</v>
      </c>
      <c r="G3097" s="2" t="s">
        <v>285</v>
      </c>
      <c r="H3097" s="2" t="s">
        <v>35</v>
      </c>
    </row>
    <row r="3098" spans="1:8" ht="13" hidden="1">
      <c r="A3098" s="15">
        <v>45914.926073159717</v>
      </c>
      <c r="B3098" s="16">
        <v>45903</v>
      </c>
      <c r="C3098" s="2" t="s">
        <v>1207</v>
      </c>
      <c r="D3098" s="2" t="s">
        <v>38</v>
      </c>
      <c r="E3098" s="2">
        <v>169</v>
      </c>
      <c r="F3098" s="2" t="s">
        <v>102</v>
      </c>
      <c r="G3098" s="2" t="s">
        <v>356</v>
      </c>
      <c r="H3098" s="2" t="s">
        <v>35</v>
      </c>
    </row>
    <row r="3099" spans="1:8" ht="13" hidden="1">
      <c r="A3099" s="15">
        <v>45903.528098946757</v>
      </c>
      <c r="B3099" s="16">
        <v>45903</v>
      </c>
      <c r="C3099" s="2" t="s">
        <v>1208</v>
      </c>
      <c r="D3099" s="2" t="s">
        <v>38</v>
      </c>
      <c r="E3099" s="2">
        <v>1680</v>
      </c>
      <c r="F3099" s="2" t="s">
        <v>102</v>
      </c>
      <c r="H3099" s="2" t="s">
        <v>35</v>
      </c>
    </row>
    <row r="3100" spans="1:8" ht="13" hidden="1">
      <c r="A3100" s="15">
        <v>45914.927025682875</v>
      </c>
      <c r="B3100" s="16">
        <v>45903</v>
      </c>
      <c r="C3100" s="2" t="s">
        <v>1040</v>
      </c>
      <c r="D3100" s="2" t="s">
        <v>38</v>
      </c>
      <c r="E3100" s="2">
        <v>183</v>
      </c>
      <c r="F3100" s="2" t="s">
        <v>102</v>
      </c>
      <c r="G3100" s="2" t="s">
        <v>103</v>
      </c>
      <c r="H3100" s="2" t="s">
        <v>35</v>
      </c>
    </row>
    <row r="3101" spans="1:8" ht="13" hidden="1">
      <c r="A3101" s="15">
        <v>45914.926338715275</v>
      </c>
      <c r="B3101" s="16">
        <v>45903</v>
      </c>
      <c r="C3101" s="2" t="s">
        <v>674</v>
      </c>
      <c r="D3101" s="2" t="s">
        <v>39</v>
      </c>
      <c r="E3101" s="2">
        <v>2500</v>
      </c>
      <c r="F3101" s="2" t="s">
        <v>102</v>
      </c>
      <c r="H3101" s="2" t="s">
        <v>35</v>
      </c>
    </row>
    <row r="3102" spans="1:8" ht="13" hidden="1">
      <c r="A3102" s="15">
        <v>45914.968181550925</v>
      </c>
      <c r="B3102" s="16">
        <v>45904</v>
      </c>
      <c r="C3102" s="2" t="s">
        <v>350</v>
      </c>
      <c r="D3102" s="2" t="s">
        <v>40</v>
      </c>
      <c r="E3102" s="2">
        <v>2000</v>
      </c>
      <c r="F3102" s="2" t="s">
        <v>100</v>
      </c>
      <c r="H3102" s="2" t="s">
        <v>35</v>
      </c>
    </row>
    <row r="3103" spans="1:8" ht="13" hidden="1">
      <c r="A3103" s="15">
        <v>45914.970159988428</v>
      </c>
      <c r="B3103" s="16">
        <v>45904</v>
      </c>
      <c r="C3103" s="2" t="s">
        <v>240</v>
      </c>
      <c r="D3103" s="2" t="s">
        <v>42</v>
      </c>
      <c r="E3103" s="2">
        <v>990</v>
      </c>
      <c r="F3103" s="2" t="s">
        <v>100</v>
      </c>
      <c r="H3103" s="2" t="s">
        <v>35</v>
      </c>
    </row>
    <row r="3104" spans="1:8" ht="13" hidden="1">
      <c r="A3104" s="15">
        <v>45914.969563923616</v>
      </c>
      <c r="B3104" s="16">
        <v>45904</v>
      </c>
      <c r="C3104" s="2" t="s">
        <v>771</v>
      </c>
      <c r="D3104" s="2" t="s">
        <v>39</v>
      </c>
      <c r="E3104" s="2">
        <v>6040</v>
      </c>
      <c r="F3104" s="2" t="s">
        <v>100</v>
      </c>
      <c r="H3104" s="2" t="s">
        <v>35</v>
      </c>
    </row>
    <row r="3105" spans="1:8" ht="13" hidden="1">
      <c r="A3105" s="15">
        <v>45914.927757361111</v>
      </c>
      <c r="B3105" s="16">
        <v>45904</v>
      </c>
      <c r="C3105" s="2" t="s">
        <v>1200</v>
      </c>
      <c r="D3105" s="2" t="s">
        <v>38</v>
      </c>
      <c r="E3105" s="2">
        <v>195</v>
      </c>
      <c r="F3105" s="2" t="s">
        <v>102</v>
      </c>
      <c r="G3105" s="2" t="s">
        <v>1126</v>
      </c>
      <c r="H3105" s="2" t="s">
        <v>35</v>
      </c>
    </row>
    <row r="3106" spans="1:8" ht="13" hidden="1">
      <c r="A3106" s="15">
        <v>45914.968463541663</v>
      </c>
      <c r="B3106" s="16">
        <v>45904</v>
      </c>
      <c r="C3106" s="2" t="s">
        <v>105</v>
      </c>
      <c r="D3106" s="2" t="s">
        <v>40</v>
      </c>
      <c r="E3106" s="2">
        <v>3500</v>
      </c>
      <c r="F3106" s="2" t="s">
        <v>100</v>
      </c>
      <c r="H3106" s="2" t="s">
        <v>35</v>
      </c>
    </row>
    <row r="3107" spans="1:8" ht="13" hidden="1">
      <c r="A3107" s="15">
        <v>45914.940672986108</v>
      </c>
      <c r="B3107" s="16">
        <v>45904</v>
      </c>
      <c r="C3107" s="2" t="s">
        <v>258</v>
      </c>
      <c r="E3107" s="2">
        <v>8672</v>
      </c>
      <c r="H3107" s="2" t="s">
        <v>34</v>
      </c>
    </row>
    <row r="3108" spans="1:8" ht="13" hidden="1">
      <c r="A3108" s="15">
        <v>45914.968854849532</v>
      </c>
      <c r="B3108" s="16">
        <v>45904</v>
      </c>
      <c r="C3108" s="2" t="s">
        <v>409</v>
      </c>
      <c r="D3108" s="2" t="s">
        <v>40</v>
      </c>
      <c r="E3108" s="2">
        <v>11508</v>
      </c>
      <c r="F3108" s="2" t="s">
        <v>100</v>
      </c>
      <c r="H3108" s="2" t="s">
        <v>35</v>
      </c>
    </row>
    <row r="3109" spans="1:8" ht="13" hidden="1">
      <c r="A3109" s="15">
        <v>45914.969818645834</v>
      </c>
      <c r="B3109" s="16">
        <v>45904</v>
      </c>
      <c r="C3109" s="2" t="s">
        <v>110</v>
      </c>
      <c r="D3109" s="2" t="s">
        <v>38</v>
      </c>
      <c r="E3109" s="2">
        <v>1510</v>
      </c>
      <c r="F3109" s="2" t="s">
        <v>100</v>
      </c>
      <c r="H3109" s="2" t="s">
        <v>35</v>
      </c>
    </row>
    <row r="3110" spans="1:8" ht="13" hidden="1">
      <c r="A3110" s="15">
        <v>45914.927433564815</v>
      </c>
      <c r="B3110" s="16">
        <v>45904</v>
      </c>
      <c r="C3110" s="2" t="s">
        <v>1209</v>
      </c>
      <c r="D3110" s="2" t="s">
        <v>39</v>
      </c>
      <c r="E3110" s="2">
        <v>870</v>
      </c>
      <c r="F3110" s="2" t="s">
        <v>102</v>
      </c>
      <c r="G3110" s="2" t="s">
        <v>1210</v>
      </c>
      <c r="H3110" s="2" t="s">
        <v>35</v>
      </c>
    </row>
    <row r="3111" spans="1:8" ht="13" hidden="1">
      <c r="A3111" s="15">
        <v>45914.96926244213</v>
      </c>
      <c r="B3111" s="16">
        <v>45904</v>
      </c>
      <c r="C3111" s="2" t="s">
        <v>1211</v>
      </c>
      <c r="D3111" s="2" t="s">
        <v>40</v>
      </c>
      <c r="E3111" s="2">
        <v>3680</v>
      </c>
      <c r="F3111" s="2" t="s">
        <v>100</v>
      </c>
      <c r="H3111" s="2" t="s">
        <v>35</v>
      </c>
    </row>
    <row r="3112" spans="1:8" ht="13" hidden="1">
      <c r="A3112" s="15">
        <v>45914.929538124998</v>
      </c>
      <c r="B3112" s="16">
        <v>45905</v>
      </c>
      <c r="C3112" s="2" t="s">
        <v>45</v>
      </c>
      <c r="D3112" s="2" t="s">
        <v>45</v>
      </c>
      <c r="E3112" s="2">
        <v>421</v>
      </c>
      <c r="F3112" s="2" t="s">
        <v>102</v>
      </c>
      <c r="G3112" s="2" t="s">
        <v>285</v>
      </c>
      <c r="H3112" s="2" t="s">
        <v>35</v>
      </c>
    </row>
    <row r="3113" spans="1:8" ht="13" hidden="1">
      <c r="A3113" s="15">
        <v>45914.970493252316</v>
      </c>
      <c r="B3113" s="16">
        <v>45905</v>
      </c>
      <c r="C3113" s="2" t="s">
        <v>350</v>
      </c>
      <c r="D3113" s="2" t="s">
        <v>40</v>
      </c>
      <c r="E3113" s="2">
        <v>2000</v>
      </c>
      <c r="F3113" s="2" t="s">
        <v>100</v>
      </c>
      <c r="H3113" s="2" t="s">
        <v>35</v>
      </c>
    </row>
    <row r="3114" spans="1:8" ht="13" hidden="1">
      <c r="A3114" s="15">
        <v>45914.92987388889</v>
      </c>
      <c r="B3114" s="16">
        <v>45905</v>
      </c>
      <c r="C3114" s="2" t="s">
        <v>1212</v>
      </c>
      <c r="D3114" s="2" t="s">
        <v>38</v>
      </c>
      <c r="E3114" s="2">
        <v>682</v>
      </c>
      <c r="F3114" s="2" t="s">
        <v>102</v>
      </c>
      <c r="G3114" s="2" t="s">
        <v>356</v>
      </c>
      <c r="H3114" s="2" t="s">
        <v>35</v>
      </c>
    </row>
    <row r="3115" spans="1:8" ht="13" hidden="1">
      <c r="A3115" s="15">
        <v>45914.928053645832</v>
      </c>
      <c r="B3115" s="16">
        <v>45905</v>
      </c>
      <c r="C3115" s="2" t="s">
        <v>106</v>
      </c>
      <c r="D3115" s="2" t="s">
        <v>38</v>
      </c>
      <c r="E3115" s="2">
        <v>870</v>
      </c>
      <c r="F3115" s="2" t="s">
        <v>102</v>
      </c>
      <c r="G3115" s="2" t="s">
        <v>113</v>
      </c>
      <c r="H3115" s="2" t="s">
        <v>35</v>
      </c>
    </row>
    <row r="3116" spans="1:8" ht="13" hidden="1">
      <c r="A3116" s="15">
        <v>45914.928253715276</v>
      </c>
      <c r="B3116" s="16">
        <v>45905</v>
      </c>
      <c r="C3116" s="2" t="s">
        <v>1213</v>
      </c>
      <c r="E3116" s="2">
        <v>1500</v>
      </c>
      <c r="H3116" s="2" t="s">
        <v>34</v>
      </c>
    </row>
    <row r="3117" spans="1:8" ht="13" hidden="1">
      <c r="A3117" s="15">
        <v>45914.970782534721</v>
      </c>
      <c r="B3117" s="16">
        <v>45905</v>
      </c>
      <c r="C3117" s="2" t="s">
        <v>409</v>
      </c>
      <c r="D3117" s="2" t="s">
        <v>40</v>
      </c>
      <c r="E3117" s="2">
        <v>10038</v>
      </c>
      <c r="F3117" s="2" t="s">
        <v>100</v>
      </c>
      <c r="H3117" s="2" t="s">
        <v>35</v>
      </c>
    </row>
    <row r="3118" spans="1:8" ht="13" hidden="1">
      <c r="A3118" s="15">
        <v>45914.930209108796</v>
      </c>
      <c r="B3118" s="16">
        <v>45905</v>
      </c>
      <c r="C3118" s="2" t="s">
        <v>1214</v>
      </c>
      <c r="E3118" s="2">
        <v>2000</v>
      </c>
      <c r="H3118" s="2" t="s">
        <v>34</v>
      </c>
    </row>
    <row r="3119" spans="1:8" ht="13" hidden="1">
      <c r="A3119" s="15">
        <v>45914.928585324073</v>
      </c>
      <c r="B3119" s="16">
        <v>45905</v>
      </c>
      <c r="C3119" s="2" t="s">
        <v>1215</v>
      </c>
      <c r="D3119" s="2" t="s">
        <v>45</v>
      </c>
      <c r="E3119" s="2">
        <v>220</v>
      </c>
      <c r="F3119" s="2" t="s">
        <v>102</v>
      </c>
      <c r="G3119" s="2" t="s">
        <v>136</v>
      </c>
      <c r="H3119" s="2" t="s">
        <v>35</v>
      </c>
    </row>
    <row r="3120" spans="1:8" ht="13" hidden="1">
      <c r="A3120" s="15">
        <v>45914.932509537037</v>
      </c>
      <c r="B3120" s="16">
        <v>45906</v>
      </c>
      <c r="C3120" s="2" t="s">
        <v>1216</v>
      </c>
      <c r="D3120" s="2" t="s">
        <v>45</v>
      </c>
      <c r="E3120" s="2">
        <v>1388</v>
      </c>
      <c r="F3120" s="2" t="s">
        <v>102</v>
      </c>
      <c r="G3120" s="2" t="s">
        <v>956</v>
      </c>
      <c r="H3120" s="2" t="s">
        <v>35</v>
      </c>
    </row>
    <row r="3121" spans="1:8" ht="13" hidden="1">
      <c r="A3121" s="15">
        <v>45914.930658680554</v>
      </c>
      <c r="B3121" s="16">
        <v>45906</v>
      </c>
      <c r="C3121" s="2" t="s">
        <v>163</v>
      </c>
      <c r="D3121" s="2" t="s">
        <v>38</v>
      </c>
      <c r="E3121" s="2">
        <v>1880</v>
      </c>
      <c r="F3121" s="2" t="s">
        <v>102</v>
      </c>
      <c r="G3121" s="2" t="s">
        <v>164</v>
      </c>
      <c r="H3121" s="2" t="s">
        <v>35</v>
      </c>
    </row>
    <row r="3122" spans="1:8" ht="13" hidden="1">
      <c r="A3122" s="15">
        <v>45914.932794594904</v>
      </c>
      <c r="B3122" s="16">
        <v>45906</v>
      </c>
      <c r="C3122" s="2" t="s">
        <v>1217</v>
      </c>
      <c r="D3122" s="2" t="s">
        <v>38</v>
      </c>
      <c r="E3122" s="2">
        <v>651</v>
      </c>
      <c r="F3122" s="2" t="s">
        <v>102</v>
      </c>
      <c r="G3122" s="2" t="s">
        <v>103</v>
      </c>
      <c r="H3122" s="2" t="s">
        <v>35</v>
      </c>
    </row>
    <row r="3123" spans="1:8" ht="13" hidden="1">
      <c r="A3123" s="15">
        <v>45902.732763749998</v>
      </c>
      <c r="B3123" s="16">
        <v>45881</v>
      </c>
      <c r="C3123" s="2" t="s">
        <v>10</v>
      </c>
      <c r="D3123" s="2" t="s">
        <v>45</v>
      </c>
      <c r="E3123" s="2">
        <v>280</v>
      </c>
      <c r="F3123" s="2" t="s">
        <v>100</v>
      </c>
      <c r="H3123" s="2" t="s">
        <v>35</v>
      </c>
    </row>
    <row r="3124" spans="1:8" ht="13" hidden="1">
      <c r="A3124" s="15">
        <v>45914.971545972221</v>
      </c>
      <c r="B3124" s="16">
        <v>45906</v>
      </c>
      <c r="C3124" s="2" t="s">
        <v>114</v>
      </c>
      <c r="D3124" s="2" t="s">
        <v>38</v>
      </c>
      <c r="E3124" s="2">
        <v>311</v>
      </c>
      <c r="F3124" s="2" t="s">
        <v>100</v>
      </c>
      <c r="G3124" s="2" t="s">
        <v>1026</v>
      </c>
      <c r="H3124" s="2" t="s">
        <v>35</v>
      </c>
    </row>
    <row r="3125" spans="1:8" ht="13" hidden="1">
      <c r="A3125" s="15">
        <v>45914.931697673615</v>
      </c>
      <c r="B3125" s="16">
        <v>45906</v>
      </c>
      <c r="C3125" s="2" t="s">
        <v>315</v>
      </c>
      <c r="D3125" s="2" t="s">
        <v>38</v>
      </c>
      <c r="E3125" s="2">
        <v>165</v>
      </c>
      <c r="F3125" s="2" t="s">
        <v>102</v>
      </c>
      <c r="G3125" s="2" t="s">
        <v>1126</v>
      </c>
      <c r="H3125" s="2" t="s">
        <v>35</v>
      </c>
    </row>
    <row r="3126" spans="1:8" ht="13" hidden="1">
      <c r="A3126" s="15">
        <v>45914.971083310185</v>
      </c>
      <c r="B3126" s="16">
        <v>45906</v>
      </c>
      <c r="C3126" s="2" t="s">
        <v>116</v>
      </c>
      <c r="D3126" s="2" t="s">
        <v>38</v>
      </c>
      <c r="E3126" s="2">
        <v>1842</v>
      </c>
      <c r="F3126" s="2" t="s">
        <v>100</v>
      </c>
      <c r="G3126" s="2" t="s">
        <v>652</v>
      </c>
      <c r="H3126" s="2" t="s">
        <v>35</v>
      </c>
    </row>
    <row r="3127" spans="1:8" ht="13" hidden="1">
      <c r="A3127" s="15">
        <v>45914.933189328702</v>
      </c>
      <c r="B3127" s="16">
        <v>45907</v>
      </c>
      <c r="C3127" s="2" t="s">
        <v>1218</v>
      </c>
      <c r="D3127" s="2" t="s">
        <v>38</v>
      </c>
      <c r="E3127" s="2">
        <v>130</v>
      </c>
      <c r="F3127" s="2" t="s">
        <v>102</v>
      </c>
      <c r="G3127" s="2" t="s">
        <v>356</v>
      </c>
      <c r="H3127" s="2" t="s">
        <v>35</v>
      </c>
    </row>
    <row r="3128" spans="1:8" ht="13" hidden="1">
      <c r="A3128" s="15">
        <v>45844.729536909726</v>
      </c>
      <c r="B3128" s="16">
        <v>45843</v>
      </c>
      <c r="C3128" s="2" t="s">
        <v>1219</v>
      </c>
      <c r="D3128" s="2" t="s">
        <v>45</v>
      </c>
      <c r="E3128" s="2">
        <v>220</v>
      </c>
      <c r="F3128" s="2" t="s">
        <v>102</v>
      </c>
      <c r="G3128" s="2" t="s">
        <v>136</v>
      </c>
      <c r="H3128" s="2" t="s">
        <v>35</v>
      </c>
    </row>
    <row r="3129" spans="1:8" ht="13" hidden="1">
      <c r="A3129" s="15">
        <v>45914.974375706021</v>
      </c>
      <c r="B3129" s="16">
        <v>45908</v>
      </c>
      <c r="C3129" s="2" t="s">
        <v>654</v>
      </c>
      <c r="D3129" s="2" t="s">
        <v>48</v>
      </c>
      <c r="E3129" s="2">
        <v>150</v>
      </c>
      <c r="F3129" s="2" t="s">
        <v>100</v>
      </c>
      <c r="H3129" s="2" t="s">
        <v>35</v>
      </c>
    </row>
    <row r="3130" spans="1:8" ht="13" hidden="1">
      <c r="A3130" s="15">
        <v>45914.933746041672</v>
      </c>
      <c r="B3130" s="16">
        <v>45908</v>
      </c>
      <c r="C3130" s="2" t="s">
        <v>111</v>
      </c>
      <c r="D3130" s="2" t="s">
        <v>38</v>
      </c>
      <c r="E3130" s="2">
        <v>1100</v>
      </c>
      <c r="F3130" s="2" t="s">
        <v>102</v>
      </c>
      <c r="H3130" s="2" t="s">
        <v>35</v>
      </c>
    </row>
    <row r="3131" spans="1:8" ht="13" hidden="1">
      <c r="A3131" s="15">
        <v>45914.971857060184</v>
      </c>
      <c r="B3131" s="16">
        <v>45908</v>
      </c>
      <c r="C3131" s="2" t="s">
        <v>736</v>
      </c>
      <c r="D3131" s="2" t="s">
        <v>39</v>
      </c>
      <c r="E3131" s="2">
        <v>2310</v>
      </c>
      <c r="F3131" s="2" t="s">
        <v>100</v>
      </c>
      <c r="H3131" s="2" t="s">
        <v>35</v>
      </c>
    </row>
    <row r="3132" spans="1:8" ht="13" hidden="1">
      <c r="A3132" s="15">
        <v>45914.97574332176</v>
      </c>
      <c r="B3132" s="16">
        <v>45908</v>
      </c>
      <c r="C3132" s="2" t="s">
        <v>12</v>
      </c>
      <c r="D3132" s="2" t="s">
        <v>39</v>
      </c>
      <c r="E3132" s="2">
        <v>1520</v>
      </c>
      <c r="F3132" s="2" t="s">
        <v>100</v>
      </c>
      <c r="H3132" s="2" t="s">
        <v>35</v>
      </c>
    </row>
    <row r="3133" spans="1:8" ht="13" hidden="1">
      <c r="A3133" s="15">
        <v>45914.976040925925</v>
      </c>
      <c r="B3133" s="16">
        <v>45909</v>
      </c>
      <c r="C3133" s="2" t="s">
        <v>197</v>
      </c>
      <c r="D3133" s="2" t="s">
        <v>48</v>
      </c>
      <c r="E3133" s="2">
        <v>880</v>
      </c>
      <c r="F3133" s="2" t="s">
        <v>100</v>
      </c>
      <c r="H3133" s="2" t="s">
        <v>35</v>
      </c>
    </row>
    <row r="3134" spans="1:8" ht="13" hidden="1">
      <c r="A3134" s="15">
        <v>45914.976663923611</v>
      </c>
      <c r="B3134" s="16">
        <v>45910</v>
      </c>
      <c r="C3134" s="2" t="s">
        <v>240</v>
      </c>
      <c r="D3134" s="2" t="s">
        <v>42</v>
      </c>
      <c r="E3134" s="2">
        <v>1705</v>
      </c>
      <c r="F3134" s="2" t="s">
        <v>100</v>
      </c>
      <c r="H3134" s="2" t="s">
        <v>35</v>
      </c>
    </row>
    <row r="3135" spans="1:8" ht="13" hidden="1">
      <c r="A3135" s="15">
        <v>45914.934282233793</v>
      </c>
      <c r="B3135" s="16">
        <v>45910</v>
      </c>
      <c r="C3135" s="2" t="s">
        <v>1220</v>
      </c>
      <c r="E3135" s="2">
        <v>1500</v>
      </c>
      <c r="H3135" s="2" t="s">
        <v>34</v>
      </c>
    </row>
    <row r="3136" spans="1:8" ht="13" hidden="1">
      <c r="A3136" s="15">
        <v>45914.976305659722</v>
      </c>
      <c r="B3136" s="16">
        <v>45910</v>
      </c>
      <c r="C3136" s="2" t="s">
        <v>116</v>
      </c>
      <c r="D3136" s="2" t="s">
        <v>38</v>
      </c>
      <c r="E3136" s="2">
        <v>1118</v>
      </c>
      <c r="F3136" s="2" t="s">
        <v>100</v>
      </c>
      <c r="G3136" s="2" t="s">
        <v>652</v>
      </c>
      <c r="H3136" s="2" t="s">
        <v>35</v>
      </c>
    </row>
    <row r="3137" spans="1:8" ht="13" hidden="1">
      <c r="A3137" s="15">
        <v>45914.934013518519</v>
      </c>
      <c r="B3137" s="16">
        <v>45910</v>
      </c>
      <c r="C3137" s="2" t="s">
        <v>674</v>
      </c>
      <c r="D3137" s="2" t="s">
        <v>39</v>
      </c>
      <c r="E3137" s="2">
        <v>2200</v>
      </c>
      <c r="F3137" s="2" t="s">
        <v>102</v>
      </c>
      <c r="H3137" s="2" t="s">
        <v>35</v>
      </c>
    </row>
    <row r="3138" spans="1:8" ht="13" hidden="1">
      <c r="A3138" s="15">
        <v>45914.97737724537</v>
      </c>
      <c r="B3138" s="16">
        <v>45911</v>
      </c>
      <c r="C3138" s="2" t="s">
        <v>1221</v>
      </c>
      <c r="D3138" s="2" t="s">
        <v>45</v>
      </c>
      <c r="E3138" s="2">
        <v>4290</v>
      </c>
      <c r="F3138" s="2" t="s">
        <v>100</v>
      </c>
      <c r="G3138" s="2" t="s">
        <v>129</v>
      </c>
      <c r="H3138" s="2" t="s">
        <v>35</v>
      </c>
    </row>
    <row r="3139" spans="1:8" ht="13" hidden="1">
      <c r="A3139" s="15">
        <v>45722.861152303245</v>
      </c>
      <c r="B3139" s="16">
        <v>45718</v>
      </c>
      <c r="C3139" s="2" t="s">
        <v>1222</v>
      </c>
      <c r="D3139" s="2" t="s">
        <v>45</v>
      </c>
      <c r="E3139" s="2">
        <v>110</v>
      </c>
      <c r="F3139" s="2" t="s">
        <v>102</v>
      </c>
      <c r="G3139" s="2" t="s">
        <v>136</v>
      </c>
      <c r="H3139" s="2" t="s">
        <v>35</v>
      </c>
    </row>
    <row r="3140" spans="1:8" ht="13" hidden="1">
      <c r="A3140" s="15">
        <v>45914.976942476853</v>
      </c>
      <c r="B3140" s="16">
        <v>45911</v>
      </c>
      <c r="C3140" s="2" t="s">
        <v>18</v>
      </c>
      <c r="D3140" s="2" t="s">
        <v>41</v>
      </c>
      <c r="E3140" s="2">
        <v>5868</v>
      </c>
      <c r="F3140" s="2" t="s">
        <v>100</v>
      </c>
      <c r="H3140" s="2" t="s">
        <v>35</v>
      </c>
    </row>
    <row r="3141" spans="1:8" ht="13" hidden="1">
      <c r="A3141" s="15">
        <v>45914.934857569446</v>
      </c>
      <c r="B3141" s="16">
        <v>45912</v>
      </c>
      <c r="C3141" s="2" t="s">
        <v>112</v>
      </c>
      <c r="D3141" s="2" t="s">
        <v>38</v>
      </c>
      <c r="E3141" s="2">
        <v>140</v>
      </c>
      <c r="F3141" s="2" t="s">
        <v>102</v>
      </c>
      <c r="G3141" s="2" t="s">
        <v>103</v>
      </c>
      <c r="H3141" s="2" t="s">
        <v>35</v>
      </c>
    </row>
    <row r="3142" spans="1:8" ht="13" hidden="1">
      <c r="A3142" s="15">
        <v>45914.934573113424</v>
      </c>
      <c r="B3142" s="16">
        <v>45912</v>
      </c>
      <c r="C3142" s="2" t="s">
        <v>106</v>
      </c>
      <c r="D3142" s="2" t="s">
        <v>38</v>
      </c>
      <c r="E3142" s="2">
        <v>930</v>
      </c>
      <c r="F3142" s="2" t="s">
        <v>102</v>
      </c>
      <c r="G3142" s="2" t="s">
        <v>1095</v>
      </c>
      <c r="H3142" s="2" t="s">
        <v>35</v>
      </c>
    </row>
    <row r="3143" spans="1:8" ht="13" hidden="1">
      <c r="A3143" s="15">
        <v>45914.935287372689</v>
      </c>
      <c r="B3143" s="16">
        <v>45912</v>
      </c>
      <c r="C3143" s="2" t="s">
        <v>1223</v>
      </c>
      <c r="D3143" s="2" t="s">
        <v>39</v>
      </c>
      <c r="E3143" s="2">
        <v>2370</v>
      </c>
      <c r="F3143" s="2" t="s">
        <v>102</v>
      </c>
      <c r="H3143" s="2" t="s">
        <v>35</v>
      </c>
    </row>
    <row r="3144" spans="1:8" ht="13" hidden="1">
      <c r="A3144" s="15">
        <v>45914.935562893515</v>
      </c>
      <c r="B3144" s="16">
        <v>45912</v>
      </c>
      <c r="C3144" s="2" t="s">
        <v>1224</v>
      </c>
      <c r="D3144" s="2" t="s">
        <v>39</v>
      </c>
      <c r="E3144" s="2">
        <v>408</v>
      </c>
      <c r="F3144" s="2" t="s">
        <v>102</v>
      </c>
      <c r="G3144" s="2" t="s">
        <v>744</v>
      </c>
      <c r="H3144" s="2" t="s">
        <v>35</v>
      </c>
    </row>
    <row r="3145" spans="1:8" ht="13" hidden="1">
      <c r="A3145" s="15">
        <v>45929.78770450232</v>
      </c>
      <c r="B3145" s="16">
        <v>45912</v>
      </c>
      <c r="C3145" s="2" t="s">
        <v>350</v>
      </c>
      <c r="D3145" s="2" t="s">
        <v>40</v>
      </c>
      <c r="E3145" s="2">
        <v>2000</v>
      </c>
      <c r="F3145" s="2" t="s">
        <v>100</v>
      </c>
      <c r="H3145" s="2" t="s">
        <v>35</v>
      </c>
    </row>
    <row r="3146" spans="1:8" ht="13" hidden="1">
      <c r="A3146" s="15">
        <v>45914.93703591435</v>
      </c>
      <c r="B3146" s="16">
        <v>45913</v>
      </c>
      <c r="C3146" s="2" t="s">
        <v>1225</v>
      </c>
      <c r="D3146" s="2" t="s">
        <v>39</v>
      </c>
      <c r="E3146" s="2">
        <v>5000</v>
      </c>
      <c r="F3146" s="2" t="s">
        <v>102</v>
      </c>
      <c r="H3146" s="2" t="s">
        <v>35</v>
      </c>
    </row>
    <row r="3147" spans="1:8" ht="13" hidden="1">
      <c r="A3147" s="15">
        <v>45914.936108101851</v>
      </c>
      <c r="B3147" s="16">
        <v>45913</v>
      </c>
      <c r="C3147" s="2" t="s">
        <v>1226</v>
      </c>
      <c r="D3147" s="2" t="s">
        <v>39</v>
      </c>
      <c r="E3147" s="2">
        <v>1600</v>
      </c>
      <c r="F3147" s="2" t="s">
        <v>102</v>
      </c>
      <c r="H3147" s="2" t="s">
        <v>35</v>
      </c>
    </row>
    <row r="3148" spans="1:8" ht="13" hidden="1">
      <c r="A3148" s="15">
        <v>45914.935843506944</v>
      </c>
      <c r="B3148" s="16">
        <v>45913</v>
      </c>
      <c r="C3148" s="2" t="s">
        <v>1227</v>
      </c>
      <c r="D3148" s="2" t="s">
        <v>39</v>
      </c>
      <c r="E3148" s="2">
        <v>880</v>
      </c>
      <c r="F3148" s="2" t="s">
        <v>102</v>
      </c>
      <c r="H3148" s="2" t="s">
        <v>35</v>
      </c>
    </row>
    <row r="3149" spans="1:8" ht="13" hidden="1">
      <c r="A3149" s="15">
        <v>45929.788006689814</v>
      </c>
      <c r="B3149" s="16">
        <v>45913</v>
      </c>
      <c r="C3149" s="2" t="s">
        <v>116</v>
      </c>
      <c r="D3149" s="2" t="s">
        <v>38</v>
      </c>
      <c r="E3149" s="2">
        <v>909</v>
      </c>
      <c r="F3149" s="2" t="s">
        <v>100</v>
      </c>
      <c r="H3149" s="2" t="s">
        <v>35</v>
      </c>
    </row>
    <row r="3150" spans="1:8" ht="13" hidden="1">
      <c r="A3150" s="15">
        <v>45929.788431793982</v>
      </c>
      <c r="B3150" s="16">
        <v>45913</v>
      </c>
      <c r="C3150" s="2" t="s">
        <v>350</v>
      </c>
      <c r="D3150" s="2" t="s">
        <v>40</v>
      </c>
      <c r="E3150" s="2">
        <v>2000</v>
      </c>
      <c r="F3150" s="2" t="s">
        <v>100</v>
      </c>
      <c r="H3150" s="2" t="s">
        <v>35</v>
      </c>
    </row>
    <row r="3151" spans="1:8" ht="13" hidden="1">
      <c r="A3151" s="15">
        <v>45914.936421296297</v>
      </c>
      <c r="B3151" s="16">
        <v>45914</v>
      </c>
      <c r="C3151" s="2" t="s">
        <v>1228</v>
      </c>
      <c r="D3151" s="2" t="s">
        <v>45</v>
      </c>
      <c r="E3151" s="2">
        <v>390</v>
      </c>
      <c r="F3151" s="2" t="s">
        <v>102</v>
      </c>
      <c r="G3151" s="2" t="s">
        <v>285</v>
      </c>
      <c r="H3151" s="2" t="s">
        <v>35</v>
      </c>
    </row>
    <row r="3152" spans="1:8" ht="13" hidden="1">
      <c r="A3152" s="15">
        <v>45914.936784039353</v>
      </c>
      <c r="B3152" s="16">
        <v>45914</v>
      </c>
      <c r="C3152" s="2" t="s">
        <v>116</v>
      </c>
      <c r="D3152" s="2" t="s">
        <v>38</v>
      </c>
      <c r="E3152" s="2">
        <v>667</v>
      </c>
      <c r="F3152" s="2" t="s">
        <v>102</v>
      </c>
      <c r="G3152" s="2" t="s">
        <v>969</v>
      </c>
      <c r="H3152" s="2" t="s">
        <v>35</v>
      </c>
    </row>
    <row r="3153" spans="1:8" ht="13" hidden="1">
      <c r="A3153" s="15">
        <v>45929.788808472222</v>
      </c>
      <c r="B3153" s="16">
        <v>45914</v>
      </c>
      <c r="C3153" s="2" t="s">
        <v>240</v>
      </c>
      <c r="D3153" s="2" t="s">
        <v>42</v>
      </c>
      <c r="E3153" s="2">
        <v>990</v>
      </c>
      <c r="F3153" s="2" t="s">
        <v>100</v>
      </c>
      <c r="H3153" s="2" t="s">
        <v>35</v>
      </c>
    </row>
    <row r="3154" spans="1:8" ht="13" hidden="1">
      <c r="A3154" s="15">
        <v>45929.789116261571</v>
      </c>
      <c r="B3154" s="16">
        <v>45914</v>
      </c>
      <c r="C3154" s="2" t="s">
        <v>742</v>
      </c>
      <c r="D3154" s="2" t="s">
        <v>48</v>
      </c>
      <c r="E3154" s="2">
        <v>3383</v>
      </c>
      <c r="F3154" s="2" t="s">
        <v>100</v>
      </c>
      <c r="H3154" s="2" t="s">
        <v>35</v>
      </c>
    </row>
    <row r="3155" spans="1:8" ht="13" hidden="1">
      <c r="A3155" s="15">
        <v>45929.774207465278</v>
      </c>
      <c r="B3155" s="16">
        <v>45915</v>
      </c>
      <c r="C3155" s="2" t="s">
        <v>45</v>
      </c>
      <c r="D3155" s="2" t="s">
        <v>45</v>
      </c>
      <c r="E3155" s="2">
        <v>507</v>
      </c>
      <c r="F3155" s="2" t="s">
        <v>102</v>
      </c>
      <c r="G3155" s="2" t="s">
        <v>285</v>
      </c>
      <c r="H3155" s="2" t="s">
        <v>35</v>
      </c>
    </row>
    <row r="3156" spans="1:8" ht="13" hidden="1">
      <c r="A3156" s="15">
        <v>45929.774695312502</v>
      </c>
      <c r="B3156" s="16">
        <v>45915</v>
      </c>
      <c r="C3156" s="2" t="s">
        <v>436</v>
      </c>
      <c r="D3156" s="2" t="s">
        <v>38</v>
      </c>
      <c r="E3156" s="2">
        <v>278</v>
      </c>
      <c r="F3156" s="2" t="s">
        <v>102</v>
      </c>
      <c r="G3156" s="2" t="s">
        <v>356</v>
      </c>
      <c r="H3156" s="2" t="s">
        <v>35</v>
      </c>
    </row>
    <row r="3157" spans="1:8" ht="13" hidden="1">
      <c r="A3157" s="15">
        <v>45929.789555439813</v>
      </c>
      <c r="B3157" s="16">
        <v>45915</v>
      </c>
      <c r="C3157" s="2" t="s">
        <v>116</v>
      </c>
      <c r="D3157" s="2" t="s">
        <v>38</v>
      </c>
      <c r="E3157" s="2">
        <v>919</v>
      </c>
      <c r="F3157" s="2" t="s">
        <v>100</v>
      </c>
      <c r="G3157" s="2" t="s">
        <v>652</v>
      </c>
      <c r="H3157" s="2" t="s">
        <v>35</v>
      </c>
    </row>
    <row r="3158" spans="1:8" ht="13" hidden="1">
      <c r="A3158" s="15">
        <v>45929.791307430554</v>
      </c>
      <c r="B3158" s="16">
        <v>45915</v>
      </c>
      <c r="C3158" s="2" t="s">
        <v>743</v>
      </c>
      <c r="D3158" s="2" t="s">
        <v>48</v>
      </c>
      <c r="E3158" s="2">
        <v>6100</v>
      </c>
      <c r="F3158" s="2" t="s">
        <v>100</v>
      </c>
      <c r="H3158" s="2" t="s">
        <v>35</v>
      </c>
    </row>
    <row r="3159" spans="1:8" ht="13" hidden="1">
      <c r="A3159" s="15">
        <v>45917.76239256945</v>
      </c>
      <c r="B3159" s="16">
        <v>45916</v>
      </c>
      <c r="C3159" s="2" t="s">
        <v>1229</v>
      </c>
      <c r="D3159" s="2" t="s">
        <v>38</v>
      </c>
      <c r="E3159" s="2">
        <v>1040</v>
      </c>
      <c r="F3159" s="2" t="s">
        <v>102</v>
      </c>
      <c r="G3159" s="2" t="s">
        <v>1230</v>
      </c>
      <c r="H3159" s="2" t="s">
        <v>35</v>
      </c>
    </row>
    <row r="3160" spans="1:8" ht="13" hidden="1">
      <c r="A3160" s="15">
        <v>45929.774963946758</v>
      </c>
      <c r="B3160" s="16">
        <v>45916</v>
      </c>
      <c r="C3160" s="2" t="s">
        <v>1040</v>
      </c>
      <c r="D3160" s="2" t="s">
        <v>38</v>
      </c>
      <c r="E3160" s="2">
        <v>302</v>
      </c>
      <c r="F3160" s="2" t="s">
        <v>102</v>
      </c>
      <c r="G3160" s="2" t="s">
        <v>103</v>
      </c>
      <c r="H3160" s="2" t="s">
        <v>35</v>
      </c>
    </row>
    <row r="3161" spans="1:8" ht="13" hidden="1">
      <c r="A3161" s="15">
        <v>45929.791663969911</v>
      </c>
      <c r="B3161" s="16">
        <v>45916</v>
      </c>
      <c r="C3161" s="2" t="s">
        <v>20</v>
      </c>
      <c r="D3161" s="2" t="s">
        <v>39</v>
      </c>
      <c r="E3161" s="2">
        <v>1590</v>
      </c>
      <c r="F3161" s="2" t="s">
        <v>100</v>
      </c>
      <c r="H3161" s="2" t="s">
        <v>35</v>
      </c>
    </row>
    <row r="3162" spans="1:8" ht="13" hidden="1">
      <c r="A3162" s="15">
        <v>45917.762711446761</v>
      </c>
      <c r="B3162" s="16">
        <v>45917</v>
      </c>
      <c r="C3162" s="2" t="s">
        <v>1231</v>
      </c>
      <c r="D3162" s="2" t="s">
        <v>38</v>
      </c>
      <c r="E3162" s="2">
        <v>1290</v>
      </c>
      <c r="F3162" s="2" t="s">
        <v>102</v>
      </c>
      <c r="G3162" s="2" t="s">
        <v>1232</v>
      </c>
      <c r="H3162" s="2" t="s">
        <v>35</v>
      </c>
    </row>
    <row r="3163" spans="1:8" ht="13" hidden="1">
      <c r="A3163" s="15">
        <v>45929.775304259259</v>
      </c>
      <c r="B3163" s="16">
        <v>45917</v>
      </c>
      <c r="C3163" s="2" t="s">
        <v>430</v>
      </c>
      <c r="D3163" s="2" t="s">
        <v>152</v>
      </c>
      <c r="E3163" s="2">
        <v>200</v>
      </c>
      <c r="F3163" s="2" t="s">
        <v>102</v>
      </c>
      <c r="H3163" s="2" t="s">
        <v>35</v>
      </c>
    </row>
    <row r="3164" spans="1:8" ht="13" hidden="1">
      <c r="A3164" s="15">
        <v>45929.775509687504</v>
      </c>
      <c r="B3164" s="16">
        <v>45917</v>
      </c>
      <c r="C3164" s="2" t="s">
        <v>1233</v>
      </c>
      <c r="E3164" s="2">
        <v>3000</v>
      </c>
      <c r="H3164" s="2" t="s">
        <v>34</v>
      </c>
    </row>
    <row r="3165" spans="1:8" ht="13" hidden="1">
      <c r="A3165" s="15">
        <v>45929.791896377312</v>
      </c>
      <c r="B3165" s="16">
        <v>45917</v>
      </c>
      <c r="C3165" s="2" t="s">
        <v>308</v>
      </c>
      <c r="D3165" s="2" t="s">
        <v>40</v>
      </c>
      <c r="E3165" s="2">
        <v>13690</v>
      </c>
      <c r="F3165" s="2" t="s">
        <v>100</v>
      </c>
      <c r="H3165" s="2" t="s">
        <v>35</v>
      </c>
    </row>
    <row r="3166" spans="1:8" ht="13" hidden="1">
      <c r="A3166" s="15">
        <v>45929.793247372683</v>
      </c>
      <c r="B3166" s="16">
        <v>45917</v>
      </c>
      <c r="C3166" s="2" t="s">
        <v>1234</v>
      </c>
      <c r="D3166" s="2" t="s">
        <v>39</v>
      </c>
      <c r="E3166" s="2">
        <v>7931</v>
      </c>
      <c r="F3166" s="2" t="s">
        <v>100</v>
      </c>
      <c r="H3166" s="2" t="s">
        <v>35</v>
      </c>
    </row>
    <row r="3167" spans="1:8" ht="13" hidden="1">
      <c r="A3167" s="15">
        <v>45929.793572025461</v>
      </c>
      <c r="B3167" s="16">
        <v>45917</v>
      </c>
      <c r="C3167" s="2" t="s">
        <v>1235</v>
      </c>
      <c r="D3167" s="2" t="s">
        <v>39</v>
      </c>
      <c r="E3167" s="2">
        <v>1941</v>
      </c>
      <c r="F3167" s="2" t="s">
        <v>100</v>
      </c>
      <c r="G3167" s="2" t="s">
        <v>1236</v>
      </c>
      <c r="H3167" s="2" t="s">
        <v>35</v>
      </c>
    </row>
    <row r="3168" spans="1:8" ht="13" hidden="1">
      <c r="A3168" s="15">
        <v>45929.794127893518</v>
      </c>
      <c r="B3168" s="16">
        <v>45917</v>
      </c>
      <c r="C3168" s="2" t="s">
        <v>350</v>
      </c>
      <c r="D3168" s="2" t="s">
        <v>40</v>
      </c>
      <c r="E3168" s="2">
        <v>2000</v>
      </c>
      <c r="F3168" s="2" t="s">
        <v>100</v>
      </c>
      <c r="H3168" s="2" t="s">
        <v>35</v>
      </c>
    </row>
    <row r="3169" spans="1:8" ht="13" hidden="1">
      <c r="A3169" s="15">
        <v>45929.795055983792</v>
      </c>
      <c r="B3169" s="16">
        <v>45917</v>
      </c>
      <c r="C3169" s="2" t="s">
        <v>240</v>
      </c>
      <c r="D3169" s="2" t="s">
        <v>42</v>
      </c>
      <c r="E3169" s="2">
        <v>1320</v>
      </c>
      <c r="F3169" s="2" t="s">
        <v>100</v>
      </c>
      <c r="H3169" s="2" t="s">
        <v>35</v>
      </c>
    </row>
    <row r="3170" spans="1:8" ht="13" hidden="1">
      <c r="A3170" s="15">
        <v>45929.77588616898</v>
      </c>
      <c r="B3170" s="16">
        <v>45918</v>
      </c>
      <c r="C3170" s="2" t="s">
        <v>110</v>
      </c>
      <c r="D3170" s="2" t="s">
        <v>38</v>
      </c>
      <c r="E3170" s="2">
        <v>550</v>
      </c>
      <c r="F3170" s="2" t="s">
        <v>102</v>
      </c>
      <c r="G3170" s="2" t="s">
        <v>441</v>
      </c>
      <c r="H3170" s="2" t="s">
        <v>35</v>
      </c>
    </row>
    <row r="3171" spans="1:8" ht="13" hidden="1">
      <c r="A3171" s="15">
        <v>45929.776164097224</v>
      </c>
      <c r="B3171" s="16">
        <v>45918</v>
      </c>
      <c r="C3171" s="2" t="s">
        <v>106</v>
      </c>
      <c r="D3171" s="2" t="s">
        <v>38</v>
      </c>
      <c r="E3171" s="2">
        <v>1100</v>
      </c>
      <c r="F3171" s="2" t="s">
        <v>102</v>
      </c>
      <c r="G3171" s="2" t="s">
        <v>439</v>
      </c>
      <c r="H3171" s="2" t="s">
        <v>35</v>
      </c>
    </row>
    <row r="3172" spans="1:8" ht="13" hidden="1">
      <c r="A3172" s="15">
        <v>45929.776480775465</v>
      </c>
      <c r="B3172" s="16">
        <v>45918</v>
      </c>
      <c r="C3172" s="2" t="s">
        <v>112</v>
      </c>
      <c r="D3172" s="2" t="s">
        <v>38</v>
      </c>
      <c r="E3172" s="2">
        <v>550</v>
      </c>
      <c r="F3172" s="2" t="s">
        <v>102</v>
      </c>
      <c r="G3172" s="2" t="s">
        <v>1237</v>
      </c>
      <c r="H3172" s="2" t="s">
        <v>35</v>
      </c>
    </row>
    <row r="3173" spans="1:8" ht="13" hidden="1">
      <c r="A3173" s="15">
        <v>45929.776787337963</v>
      </c>
      <c r="B3173" s="16">
        <v>45918</v>
      </c>
      <c r="C3173" s="2" t="s">
        <v>1238</v>
      </c>
      <c r="D3173" s="2" t="s">
        <v>39</v>
      </c>
      <c r="E3173" s="2">
        <v>1140</v>
      </c>
      <c r="F3173" s="2" t="s">
        <v>102</v>
      </c>
      <c r="G3173" s="2" t="s">
        <v>1239</v>
      </c>
      <c r="H3173" s="2" t="s">
        <v>35</v>
      </c>
    </row>
    <row r="3174" spans="1:8" ht="13" hidden="1">
      <c r="A3174" s="15">
        <v>45929.777039780092</v>
      </c>
      <c r="B3174" s="16">
        <v>45918</v>
      </c>
      <c r="C3174" s="2" t="s">
        <v>207</v>
      </c>
      <c r="D3174" s="2" t="s">
        <v>39</v>
      </c>
      <c r="E3174" s="2">
        <v>495</v>
      </c>
      <c r="F3174" s="2" t="s">
        <v>102</v>
      </c>
      <c r="H3174" s="2" t="s">
        <v>35</v>
      </c>
    </row>
    <row r="3175" spans="1:8" ht="13" hidden="1">
      <c r="A3175" s="15">
        <v>45929.777304293981</v>
      </c>
      <c r="B3175" s="16">
        <v>45918</v>
      </c>
      <c r="C3175" s="2" t="s">
        <v>207</v>
      </c>
      <c r="D3175" s="2" t="s">
        <v>39</v>
      </c>
      <c r="E3175" s="2">
        <v>1939</v>
      </c>
      <c r="F3175" s="2" t="s">
        <v>102</v>
      </c>
      <c r="H3175" s="2" t="s">
        <v>35</v>
      </c>
    </row>
    <row r="3176" spans="1:8" ht="13" hidden="1">
      <c r="A3176" s="15">
        <v>45929.777600729169</v>
      </c>
      <c r="B3176" s="16">
        <v>45918</v>
      </c>
      <c r="C3176" s="2" t="s">
        <v>112</v>
      </c>
      <c r="D3176" s="2" t="s">
        <v>38</v>
      </c>
      <c r="E3176" s="2">
        <v>2770</v>
      </c>
      <c r="F3176" s="2" t="s">
        <v>102</v>
      </c>
      <c r="G3176" s="2" t="s">
        <v>435</v>
      </c>
      <c r="H3176" s="2" t="s">
        <v>35</v>
      </c>
    </row>
    <row r="3177" spans="1:8" ht="13" hidden="1">
      <c r="A3177" s="15">
        <v>45929.777820335643</v>
      </c>
      <c r="B3177" s="16">
        <v>45918</v>
      </c>
      <c r="C3177" s="2" t="s">
        <v>1240</v>
      </c>
      <c r="D3177" s="2" t="s">
        <v>38</v>
      </c>
      <c r="E3177" s="2">
        <v>790</v>
      </c>
      <c r="F3177" s="2" t="s">
        <v>102</v>
      </c>
      <c r="H3177" s="2" t="s">
        <v>35</v>
      </c>
    </row>
    <row r="3178" spans="1:8" ht="13" hidden="1">
      <c r="A3178" s="15">
        <v>45929.79547430556</v>
      </c>
      <c r="B3178" s="16">
        <v>45918</v>
      </c>
      <c r="C3178" s="2" t="s">
        <v>1241</v>
      </c>
      <c r="D3178" s="2" t="s">
        <v>39</v>
      </c>
      <c r="E3178" s="2">
        <v>3216</v>
      </c>
      <c r="F3178" s="2" t="s">
        <v>100</v>
      </c>
      <c r="H3178" s="2" t="s">
        <v>35</v>
      </c>
    </row>
    <row r="3179" spans="1:8" ht="13" hidden="1">
      <c r="A3179" s="15">
        <v>45929.795990682869</v>
      </c>
      <c r="B3179" s="16">
        <v>45918</v>
      </c>
      <c r="C3179" s="2" t="s">
        <v>207</v>
      </c>
      <c r="D3179" s="2" t="s">
        <v>39</v>
      </c>
      <c r="E3179" s="2">
        <v>1171</v>
      </c>
      <c r="F3179" s="2" t="s">
        <v>100</v>
      </c>
      <c r="H3179" s="2" t="s">
        <v>35</v>
      </c>
    </row>
    <row r="3180" spans="1:8" ht="13" hidden="1">
      <c r="A3180" s="15">
        <v>45929.796344340277</v>
      </c>
      <c r="B3180" s="16">
        <v>45918</v>
      </c>
      <c r="C3180" s="2" t="s">
        <v>350</v>
      </c>
      <c r="D3180" s="2" t="s">
        <v>40</v>
      </c>
      <c r="E3180" s="2">
        <v>2000</v>
      </c>
      <c r="F3180" s="2" t="s">
        <v>100</v>
      </c>
      <c r="H3180" s="2" t="s">
        <v>35</v>
      </c>
    </row>
    <row r="3181" spans="1:8" ht="13" hidden="1">
      <c r="A3181" s="15">
        <v>45929.796785462968</v>
      </c>
      <c r="B3181" s="16">
        <v>45918</v>
      </c>
      <c r="C3181" s="2" t="s">
        <v>207</v>
      </c>
      <c r="D3181" s="2" t="s">
        <v>39</v>
      </c>
      <c r="E3181" s="2">
        <v>940</v>
      </c>
      <c r="F3181" s="2" t="s">
        <v>100</v>
      </c>
      <c r="H3181" s="2" t="s">
        <v>35</v>
      </c>
    </row>
    <row r="3182" spans="1:8" ht="13" hidden="1">
      <c r="A3182" s="15">
        <v>45929.778130879626</v>
      </c>
      <c r="B3182" s="16">
        <v>45919</v>
      </c>
      <c r="C3182" s="2" t="s">
        <v>114</v>
      </c>
      <c r="D3182" s="2" t="s">
        <v>38</v>
      </c>
      <c r="E3182" s="2">
        <v>149</v>
      </c>
      <c r="F3182" s="2" t="s">
        <v>102</v>
      </c>
      <c r="G3182" s="2" t="s">
        <v>103</v>
      </c>
      <c r="H3182" s="2" t="s">
        <v>35</v>
      </c>
    </row>
    <row r="3183" spans="1:8" ht="13" hidden="1">
      <c r="A3183" s="15">
        <v>45929.778461377311</v>
      </c>
      <c r="B3183" s="16">
        <v>45919</v>
      </c>
      <c r="C3183" s="2" t="s">
        <v>1242</v>
      </c>
      <c r="D3183" s="2" t="s">
        <v>45</v>
      </c>
      <c r="E3183" s="2">
        <v>750</v>
      </c>
      <c r="F3183" s="2" t="s">
        <v>102</v>
      </c>
      <c r="G3183" s="2" t="s">
        <v>103</v>
      </c>
      <c r="H3183" s="2" t="s">
        <v>35</v>
      </c>
    </row>
    <row r="3184" spans="1:8" ht="13" hidden="1">
      <c r="A3184" s="15">
        <v>45929.797064467595</v>
      </c>
      <c r="B3184" s="16">
        <v>45919</v>
      </c>
      <c r="C3184" s="2" t="s">
        <v>240</v>
      </c>
      <c r="D3184" s="2" t="s">
        <v>42</v>
      </c>
      <c r="E3184" s="2">
        <v>990</v>
      </c>
      <c r="F3184" s="2" t="s">
        <v>100</v>
      </c>
      <c r="H3184" s="2" t="s">
        <v>35</v>
      </c>
    </row>
    <row r="3185" spans="1:8" ht="13" hidden="1">
      <c r="A3185" s="15">
        <v>45929.782952708338</v>
      </c>
      <c r="B3185" s="16">
        <v>45920</v>
      </c>
      <c r="C3185" s="2" t="s">
        <v>845</v>
      </c>
      <c r="D3185" s="2" t="s">
        <v>38</v>
      </c>
      <c r="E3185" s="2">
        <v>500</v>
      </c>
      <c r="F3185" s="2" t="s">
        <v>102</v>
      </c>
      <c r="H3185" s="2" t="s">
        <v>35</v>
      </c>
    </row>
    <row r="3186" spans="1:8" ht="13" hidden="1">
      <c r="A3186" s="15">
        <v>45929.797553668977</v>
      </c>
      <c r="B3186" s="16">
        <v>45920</v>
      </c>
      <c r="C3186" s="2" t="s">
        <v>350</v>
      </c>
      <c r="D3186" s="2" t="s">
        <v>40</v>
      </c>
      <c r="E3186" s="2">
        <v>2000</v>
      </c>
      <c r="F3186" s="2" t="s">
        <v>100</v>
      </c>
      <c r="H3186" s="2" t="s">
        <v>35</v>
      </c>
    </row>
    <row r="3187" spans="1:8" ht="13" hidden="1">
      <c r="A3187" s="15">
        <v>45929.799387060186</v>
      </c>
      <c r="B3187" s="16">
        <v>45920</v>
      </c>
      <c r="C3187" s="2" t="s">
        <v>240</v>
      </c>
      <c r="D3187" s="2" t="s">
        <v>42</v>
      </c>
      <c r="E3187" s="2">
        <v>330</v>
      </c>
      <c r="F3187" s="2" t="s">
        <v>100</v>
      </c>
      <c r="H3187" s="2" t="s">
        <v>35</v>
      </c>
    </row>
    <row r="3188" spans="1:8" ht="13" hidden="1">
      <c r="A3188" s="15">
        <v>45929.799656064817</v>
      </c>
      <c r="B3188" s="16">
        <v>45920</v>
      </c>
      <c r="C3188" s="2" t="s">
        <v>142</v>
      </c>
      <c r="D3188" s="2" t="s">
        <v>45</v>
      </c>
      <c r="E3188" s="2">
        <v>8140</v>
      </c>
      <c r="F3188" s="2" t="s">
        <v>100</v>
      </c>
      <c r="H3188" s="2" t="s">
        <v>35</v>
      </c>
    </row>
    <row r="3189" spans="1:8" ht="13" hidden="1">
      <c r="A3189" s="15">
        <v>45929.800005300931</v>
      </c>
      <c r="B3189" s="16">
        <v>45920</v>
      </c>
      <c r="C3189" s="2" t="s">
        <v>24</v>
      </c>
      <c r="D3189" s="2" t="s">
        <v>49</v>
      </c>
      <c r="E3189" s="2">
        <v>1100</v>
      </c>
      <c r="F3189" s="2" t="s">
        <v>100</v>
      </c>
      <c r="H3189" s="2" t="s">
        <v>35</v>
      </c>
    </row>
    <row r="3190" spans="1:8" ht="13" hidden="1">
      <c r="A3190" s="15">
        <v>45929.778787581017</v>
      </c>
      <c r="B3190" s="16">
        <v>45922</v>
      </c>
      <c r="C3190" s="2" t="s">
        <v>112</v>
      </c>
      <c r="D3190" s="2" t="s">
        <v>38</v>
      </c>
      <c r="E3190" s="2">
        <v>650</v>
      </c>
      <c r="F3190" s="2" t="s">
        <v>102</v>
      </c>
      <c r="H3190" s="2" t="s">
        <v>35</v>
      </c>
    </row>
    <row r="3191" spans="1:8" ht="13" hidden="1">
      <c r="A3191" s="15">
        <v>45929.779138715283</v>
      </c>
      <c r="B3191" s="16">
        <v>45922</v>
      </c>
      <c r="C3191" s="2" t="s">
        <v>236</v>
      </c>
      <c r="D3191" s="2" t="s">
        <v>43</v>
      </c>
      <c r="E3191" s="2">
        <v>396</v>
      </c>
      <c r="F3191" s="2" t="s">
        <v>102</v>
      </c>
      <c r="G3191" s="2" t="s">
        <v>956</v>
      </c>
      <c r="H3191" s="2" t="s">
        <v>35</v>
      </c>
    </row>
    <row r="3192" spans="1:8" ht="13" hidden="1">
      <c r="A3192" s="15">
        <v>45929.78396666667</v>
      </c>
      <c r="B3192" s="16">
        <v>45922</v>
      </c>
      <c r="C3192" s="2" t="s">
        <v>1243</v>
      </c>
      <c r="D3192" s="2" t="s">
        <v>39</v>
      </c>
      <c r="E3192" s="2">
        <v>3050</v>
      </c>
      <c r="F3192" s="2" t="s">
        <v>102</v>
      </c>
      <c r="G3192" s="2" t="s">
        <v>1244</v>
      </c>
      <c r="H3192" s="2" t="s">
        <v>35</v>
      </c>
    </row>
    <row r="3193" spans="1:8" ht="13" hidden="1">
      <c r="A3193" s="15">
        <v>45929.784340104168</v>
      </c>
      <c r="B3193" s="16">
        <v>45922</v>
      </c>
      <c r="C3193" s="2" t="s">
        <v>1245</v>
      </c>
      <c r="D3193" s="2" t="s">
        <v>39</v>
      </c>
      <c r="E3193" s="2">
        <v>280</v>
      </c>
      <c r="F3193" s="2" t="s">
        <v>102</v>
      </c>
      <c r="H3193" s="2" t="s">
        <v>35</v>
      </c>
    </row>
    <row r="3194" spans="1:8" ht="13" hidden="1">
      <c r="A3194" s="15">
        <v>45929.784550289347</v>
      </c>
      <c r="B3194" s="16">
        <v>45922</v>
      </c>
      <c r="C3194" s="2" t="s">
        <v>360</v>
      </c>
      <c r="D3194" s="2" t="s">
        <v>39</v>
      </c>
      <c r="E3194" s="2">
        <v>600</v>
      </c>
      <c r="F3194" s="2" t="s">
        <v>102</v>
      </c>
      <c r="H3194" s="2" t="s">
        <v>35</v>
      </c>
    </row>
    <row r="3195" spans="1:8" ht="13" hidden="1">
      <c r="A3195" s="15">
        <v>45929.797769930556</v>
      </c>
      <c r="B3195" s="16">
        <v>45922</v>
      </c>
      <c r="C3195" s="2" t="s">
        <v>105</v>
      </c>
      <c r="D3195" s="2" t="s">
        <v>40</v>
      </c>
      <c r="E3195" s="2">
        <v>2200</v>
      </c>
      <c r="F3195" s="2" t="s">
        <v>100</v>
      </c>
      <c r="H3195" s="2" t="s">
        <v>35</v>
      </c>
    </row>
    <row r="3196" spans="1:8" ht="13" hidden="1">
      <c r="A3196" s="15">
        <v>45929.798154560187</v>
      </c>
      <c r="B3196" s="16">
        <v>45922</v>
      </c>
      <c r="C3196" s="2" t="s">
        <v>280</v>
      </c>
      <c r="D3196" s="2" t="s">
        <v>46</v>
      </c>
      <c r="E3196" s="2">
        <v>1650</v>
      </c>
      <c r="F3196" s="2" t="s">
        <v>100</v>
      </c>
      <c r="G3196" s="2" t="s">
        <v>306</v>
      </c>
      <c r="H3196" s="2" t="s">
        <v>35</v>
      </c>
    </row>
    <row r="3197" spans="1:8" ht="13" hidden="1">
      <c r="A3197" s="15">
        <v>45929.798496643518</v>
      </c>
      <c r="B3197" s="16">
        <v>45922</v>
      </c>
      <c r="C3197" s="2" t="s">
        <v>240</v>
      </c>
      <c r="D3197" s="2" t="s">
        <v>42</v>
      </c>
      <c r="E3197" s="2">
        <v>990</v>
      </c>
      <c r="F3197" s="2" t="s">
        <v>100</v>
      </c>
      <c r="H3197" s="2" t="s">
        <v>35</v>
      </c>
    </row>
    <row r="3198" spans="1:8" ht="13" hidden="1">
      <c r="A3198" s="15">
        <v>45929.798841145835</v>
      </c>
      <c r="B3198" s="16">
        <v>45922</v>
      </c>
      <c r="C3198" s="2" t="s">
        <v>357</v>
      </c>
      <c r="D3198" s="2" t="s">
        <v>38</v>
      </c>
      <c r="E3198" s="2">
        <v>999</v>
      </c>
      <c r="F3198" s="2" t="s">
        <v>100</v>
      </c>
      <c r="G3198" s="2" t="s">
        <v>661</v>
      </c>
      <c r="H3198" s="2" t="s">
        <v>35</v>
      </c>
    </row>
    <row r="3199" spans="1:8" ht="13" hidden="1">
      <c r="A3199" s="15">
        <v>45929.800501006946</v>
      </c>
      <c r="B3199" s="16">
        <v>45923</v>
      </c>
      <c r="C3199" s="2" t="s">
        <v>604</v>
      </c>
      <c r="D3199" s="2" t="s">
        <v>45</v>
      </c>
      <c r="E3199" s="2">
        <v>999</v>
      </c>
      <c r="F3199" s="2" t="s">
        <v>100</v>
      </c>
      <c r="G3199" s="2" t="s">
        <v>129</v>
      </c>
      <c r="H3199" s="2" t="s">
        <v>35</v>
      </c>
    </row>
    <row r="3200" spans="1:8" ht="13" hidden="1">
      <c r="A3200" s="15">
        <v>45929.800839398144</v>
      </c>
      <c r="B3200" s="16">
        <v>45923</v>
      </c>
      <c r="C3200" s="2" t="s">
        <v>116</v>
      </c>
      <c r="D3200" s="2" t="s">
        <v>38</v>
      </c>
      <c r="E3200" s="2">
        <v>10869</v>
      </c>
      <c r="F3200" s="2" t="s">
        <v>100</v>
      </c>
      <c r="G3200" s="2" t="s">
        <v>652</v>
      </c>
      <c r="H3200" s="2" t="s">
        <v>35</v>
      </c>
    </row>
    <row r="3201" spans="1:8" ht="13" hidden="1">
      <c r="A3201" s="15">
        <v>45929.801091759262</v>
      </c>
      <c r="B3201" s="16">
        <v>45924</v>
      </c>
      <c r="C3201" s="2" t="s">
        <v>604</v>
      </c>
      <c r="D3201" s="2" t="s">
        <v>45</v>
      </c>
      <c r="E3201" s="2">
        <v>659</v>
      </c>
      <c r="F3201" s="2" t="s">
        <v>100</v>
      </c>
      <c r="G3201" s="2" t="s">
        <v>129</v>
      </c>
      <c r="H3201" s="2" t="s">
        <v>35</v>
      </c>
    </row>
    <row r="3202" spans="1:8" ht="13" hidden="1">
      <c r="A3202" s="15">
        <v>45929.779472187496</v>
      </c>
      <c r="B3202" s="16">
        <v>45925</v>
      </c>
      <c r="C3202" s="2" t="s">
        <v>478</v>
      </c>
      <c r="D3202" s="2" t="s">
        <v>39</v>
      </c>
      <c r="E3202" s="2">
        <v>648</v>
      </c>
      <c r="F3202" s="2" t="s">
        <v>102</v>
      </c>
      <c r="G3202" s="2" t="s">
        <v>107</v>
      </c>
      <c r="H3202" s="2" t="s">
        <v>35</v>
      </c>
    </row>
    <row r="3203" spans="1:8" ht="13" hidden="1">
      <c r="A3203" s="15">
        <v>45929.779837766204</v>
      </c>
      <c r="B3203" s="16">
        <v>45925</v>
      </c>
      <c r="C3203" s="2" t="s">
        <v>106</v>
      </c>
      <c r="D3203" s="2" t="s">
        <v>38</v>
      </c>
      <c r="E3203" s="2">
        <v>1300</v>
      </c>
      <c r="F3203" s="2" t="s">
        <v>102</v>
      </c>
      <c r="G3203" s="2" t="s">
        <v>1147</v>
      </c>
      <c r="H3203" s="2" t="s">
        <v>35</v>
      </c>
    </row>
    <row r="3204" spans="1:8" ht="13" hidden="1">
      <c r="A3204" s="15">
        <v>45929.780227777781</v>
      </c>
      <c r="B3204" s="16">
        <v>45925</v>
      </c>
      <c r="C3204" s="2" t="s">
        <v>816</v>
      </c>
      <c r="D3204" s="2" t="s">
        <v>45</v>
      </c>
      <c r="E3204" s="2">
        <v>1948</v>
      </c>
      <c r="F3204" s="2" t="s">
        <v>102</v>
      </c>
      <c r="G3204" s="2" t="s">
        <v>285</v>
      </c>
      <c r="H3204" s="2" t="s">
        <v>35</v>
      </c>
    </row>
    <row r="3205" spans="1:8" ht="13" hidden="1">
      <c r="A3205" s="15">
        <v>45929.801890057875</v>
      </c>
      <c r="B3205" s="16">
        <v>45925</v>
      </c>
      <c r="C3205" s="2" t="s">
        <v>292</v>
      </c>
      <c r="E3205" s="2">
        <v>379705</v>
      </c>
      <c r="H3205" s="2" t="s">
        <v>34</v>
      </c>
    </row>
    <row r="3206" spans="1:8" ht="13" hidden="1">
      <c r="A3206" s="15">
        <v>45929.806894768517</v>
      </c>
      <c r="B3206" s="16">
        <v>45925</v>
      </c>
      <c r="C3206" s="2" t="s">
        <v>146</v>
      </c>
      <c r="D3206" s="2" t="s">
        <v>47</v>
      </c>
      <c r="E3206" s="2">
        <v>3400</v>
      </c>
      <c r="F3206" s="2" t="s">
        <v>102</v>
      </c>
      <c r="H3206" s="2" t="s">
        <v>35</v>
      </c>
    </row>
    <row r="3207" spans="1:8" ht="13" hidden="1">
      <c r="A3207" s="15">
        <v>45929.780536215279</v>
      </c>
      <c r="B3207" s="16">
        <v>45926</v>
      </c>
      <c r="C3207" s="2" t="s">
        <v>1246</v>
      </c>
      <c r="D3207" s="2" t="s">
        <v>38</v>
      </c>
      <c r="E3207" s="2">
        <v>999</v>
      </c>
      <c r="F3207" s="2" t="s">
        <v>102</v>
      </c>
      <c r="H3207" s="2" t="s">
        <v>35</v>
      </c>
    </row>
    <row r="3208" spans="1:8" ht="13" hidden="1">
      <c r="A3208" s="15">
        <v>45936.864236284724</v>
      </c>
      <c r="B3208" s="16">
        <v>45926</v>
      </c>
      <c r="C3208" s="2" t="s">
        <v>992</v>
      </c>
      <c r="D3208" s="2" t="s">
        <v>39</v>
      </c>
      <c r="E3208" s="2">
        <v>500</v>
      </c>
      <c r="F3208" s="2" t="s">
        <v>100</v>
      </c>
      <c r="H3208" s="2" t="s">
        <v>35</v>
      </c>
    </row>
    <row r="3209" spans="1:8" ht="13" hidden="1">
      <c r="A3209" s="15">
        <v>45936.864585763891</v>
      </c>
      <c r="B3209" s="16">
        <v>45926</v>
      </c>
      <c r="C3209" s="2" t="s">
        <v>116</v>
      </c>
      <c r="D3209" s="2" t="s">
        <v>38</v>
      </c>
      <c r="E3209" s="2">
        <v>1529</v>
      </c>
      <c r="F3209" s="2" t="s">
        <v>100</v>
      </c>
      <c r="G3209" s="2" t="s">
        <v>652</v>
      </c>
      <c r="H3209" s="2" t="s">
        <v>35</v>
      </c>
    </row>
    <row r="3210" spans="1:8" ht="13" hidden="1">
      <c r="A3210" s="15">
        <v>45929.801336493052</v>
      </c>
      <c r="B3210" s="16">
        <v>45927</v>
      </c>
      <c r="C3210" s="2" t="s">
        <v>368</v>
      </c>
      <c r="D3210" s="2" t="s">
        <v>39</v>
      </c>
      <c r="E3210" s="2">
        <v>1180</v>
      </c>
      <c r="F3210" s="2" t="s">
        <v>100</v>
      </c>
      <c r="H3210" s="2" t="s">
        <v>35</v>
      </c>
    </row>
    <row r="3211" spans="1:8" ht="13" hidden="1">
      <c r="A3211" s="15">
        <v>45929.806083113421</v>
      </c>
      <c r="B3211" s="16">
        <v>45927</v>
      </c>
      <c r="C3211" s="2" t="s">
        <v>11</v>
      </c>
      <c r="D3211" s="2" t="s">
        <v>47</v>
      </c>
      <c r="E3211" s="2">
        <v>40000</v>
      </c>
      <c r="F3211" s="2" t="s">
        <v>102</v>
      </c>
      <c r="H3211" s="2" t="s">
        <v>35</v>
      </c>
    </row>
    <row r="3212" spans="1:8" ht="13" hidden="1">
      <c r="A3212" s="15">
        <v>45936.864920729167</v>
      </c>
      <c r="B3212" s="16">
        <v>45927</v>
      </c>
      <c r="C3212" s="2" t="s">
        <v>116</v>
      </c>
      <c r="D3212" s="2" t="s">
        <v>38</v>
      </c>
      <c r="E3212" s="2">
        <v>1502</v>
      </c>
      <c r="F3212" s="2" t="s">
        <v>100</v>
      </c>
      <c r="G3212" s="2" t="s">
        <v>652</v>
      </c>
      <c r="H3212" s="2" t="s">
        <v>35</v>
      </c>
    </row>
    <row r="3213" spans="1:8" ht="13" hidden="1">
      <c r="A3213" s="15">
        <v>45936.865181250003</v>
      </c>
      <c r="B3213" s="16">
        <v>45927</v>
      </c>
      <c r="C3213" s="2" t="s">
        <v>1247</v>
      </c>
      <c r="D3213" s="2" t="s">
        <v>49</v>
      </c>
      <c r="E3213" s="2">
        <v>2200</v>
      </c>
      <c r="F3213" s="2" t="s">
        <v>100</v>
      </c>
      <c r="H3213" s="2" t="s">
        <v>35</v>
      </c>
    </row>
    <row r="3214" spans="1:8" ht="13" hidden="1">
      <c r="A3214" s="15">
        <v>45936.865399884264</v>
      </c>
      <c r="B3214" s="16">
        <v>45927</v>
      </c>
      <c r="C3214" s="2" t="s">
        <v>1248</v>
      </c>
      <c r="D3214" s="2" t="s">
        <v>40</v>
      </c>
      <c r="E3214" s="2">
        <v>1000</v>
      </c>
      <c r="F3214" s="2" t="s">
        <v>100</v>
      </c>
      <c r="H3214" s="2" t="s">
        <v>35</v>
      </c>
    </row>
    <row r="3215" spans="1:8" ht="13" hidden="1">
      <c r="A3215" s="15">
        <v>45929.780778229164</v>
      </c>
      <c r="B3215" s="16">
        <v>45928</v>
      </c>
      <c r="C3215" s="2" t="s">
        <v>204</v>
      </c>
      <c r="D3215" s="2" t="s">
        <v>45</v>
      </c>
      <c r="E3215" s="2">
        <v>3900</v>
      </c>
      <c r="F3215" s="2" t="s">
        <v>102</v>
      </c>
      <c r="H3215" s="2" t="s">
        <v>35</v>
      </c>
    </row>
    <row r="3216" spans="1:8" ht="13" hidden="1">
      <c r="A3216" s="15">
        <v>45929.781027523146</v>
      </c>
      <c r="B3216" s="16">
        <v>45928</v>
      </c>
      <c r="C3216" s="2" t="s">
        <v>112</v>
      </c>
      <c r="D3216" s="2" t="s">
        <v>38</v>
      </c>
      <c r="E3216" s="2">
        <v>1250</v>
      </c>
      <c r="F3216" s="2" t="s">
        <v>102</v>
      </c>
      <c r="H3216" s="2" t="s">
        <v>35</v>
      </c>
    </row>
    <row r="3217" spans="1:8" ht="13" hidden="1">
      <c r="A3217" s="15">
        <v>45929.781402928245</v>
      </c>
      <c r="B3217" s="16">
        <v>45928</v>
      </c>
      <c r="C3217" s="2" t="s">
        <v>491</v>
      </c>
      <c r="D3217" s="2" t="s">
        <v>45</v>
      </c>
      <c r="E3217" s="2">
        <v>327</v>
      </c>
      <c r="F3217" s="2" t="s">
        <v>102</v>
      </c>
      <c r="G3217" s="2" t="s">
        <v>285</v>
      </c>
      <c r="H3217" s="2" t="s">
        <v>35</v>
      </c>
    </row>
    <row r="3218" spans="1:8" ht="13" hidden="1">
      <c r="A3218" s="15">
        <v>45936.865903472222</v>
      </c>
      <c r="B3218" s="16">
        <v>45928</v>
      </c>
      <c r="C3218" s="2" t="s">
        <v>183</v>
      </c>
      <c r="D3218" s="2" t="s">
        <v>46</v>
      </c>
      <c r="E3218" s="2">
        <v>1757</v>
      </c>
      <c r="F3218" s="2" t="s">
        <v>100</v>
      </c>
      <c r="G3218" s="2" t="s">
        <v>129</v>
      </c>
      <c r="H3218" s="2" t="s">
        <v>35</v>
      </c>
    </row>
    <row r="3219" spans="1:8" ht="13" hidden="1">
      <c r="A3219" s="15">
        <v>45936.866165069441</v>
      </c>
      <c r="B3219" s="16">
        <v>45928</v>
      </c>
      <c r="C3219" s="2" t="s">
        <v>240</v>
      </c>
      <c r="D3219" s="2" t="s">
        <v>42</v>
      </c>
      <c r="E3219" s="2">
        <v>330</v>
      </c>
      <c r="F3219" s="2" t="s">
        <v>100</v>
      </c>
      <c r="H3219" s="2" t="s">
        <v>35</v>
      </c>
    </row>
    <row r="3220" spans="1:8" ht="13" hidden="1">
      <c r="A3220" s="15">
        <v>45936.866387430557</v>
      </c>
      <c r="B3220" s="16">
        <v>45928</v>
      </c>
      <c r="C3220" s="2" t="s">
        <v>158</v>
      </c>
      <c r="D3220" s="2" t="s">
        <v>49</v>
      </c>
      <c r="E3220" s="2">
        <v>4980</v>
      </c>
      <c r="F3220" s="2" t="s">
        <v>100</v>
      </c>
      <c r="H3220" s="2" t="s">
        <v>35</v>
      </c>
    </row>
    <row r="3221" spans="1:8" ht="13" hidden="1">
      <c r="A3221" s="15">
        <v>45936.866668645831</v>
      </c>
      <c r="B3221" s="16">
        <v>45928</v>
      </c>
      <c r="C3221" s="2" t="s">
        <v>240</v>
      </c>
      <c r="D3221" s="2" t="s">
        <v>42</v>
      </c>
      <c r="E3221" s="2">
        <v>990</v>
      </c>
      <c r="F3221" s="2" t="s">
        <v>100</v>
      </c>
      <c r="H3221" s="2" t="s">
        <v>35</v>
      </c>
    </row>
    <row r="3222" spans="1:8" ht="13" hidden="1">
      <c r="A3222" s="15">
        <v>45929.781823206024</v>
      </c>
      <c r="B3222" s="16">
        <v>45929</v>
      </c>
      <c r="C3222" s="2" t="s">
        <v>710</v>
      </c>
      <c r="D3222" s="2" t="s">
        <v>45</v>
      </c>
      <c r="E3222" s="2">
        <v>919</v>
      </c>
      <c r="F3222" s="2" t="s">
        <v>102</v>
      </c>
      <c r="G3222" s="2" t="s">
        <v>285</v>
      </c>
      <c r="H3222" s="2" t="s">
        <v>35</v>
      </c>
    </row>
    <row r="3223" spans="1:8" ht="13" hidden="1">
      <c r="A3223" s="15">
        <v>45929.782066736108</v>
      </c>
      <c r="B3223" s="16">
        <v>45929</v>
      </c>
      <c r="C3223" s="2" t="s">
        <v>114</v>
      </c>
      <c r="D3223" s="2" t="s">
        <v>38</v>
      </c>
      <c r="E3223" s="2">
        <v>168</v>
      </c>
      <c r="F3223" s="2" t="s">
        <v>102</v>
      </c>
      <c r="G3223" s="2" t="s">
        <v>356</v>
      </c>
      <c r="H3223" s="2" t="s">
        <v>35</v>
      </c>
    </row>
    <row r="3224" spans="1:8" ht="13" hidden="1">
      <c r="A3224" s="15">
        <v>45929.806394131941</v>
      </c>
      <c r="B3224" s="16">
        <v>45929</v>
      </c>
      <c r="C3224" s="2" t="s">
        <v>753</v>
      </c>
      <c r="D3224" s="2" t="s">
        <v>5</v>
      </c>
      <c r="E3224" s="2">
        <v>93000</v>
      </c>
      <c r="F3224" s="2" t="s">
        <v>102</v>
      </c>
      <c r="H3224" s="2" t="s">
        <v>35</v>
      </c>
    </row>
    <row r="3225" spans="1:8" ht="13" hidden="1">
      <c r="A3225" s="15">
        <v>45929.807144259263</v>
      </c>
      <c r="B3225" s="16">
        <v>45929</v>
      </c>
      <c r="C3225" s="2" t="s">
        <v>408</v>
      </c>
      <c r="D3225" s="2" t="s">
        <v>152</v>
      </c>
      <c r="E3225" s="2">
        <v>15000</v>
      </c>
      <c r="F3225" s="2" t="s">
        <v>102</v>
      </c>
      <c r="H3225" s="2" t="s">
        <v>35</v>
      </c>
    </row>
    <row r="3226" spans="1:8" ht="13" hidden="1">
      <c r="A3226" s="15">
        <v>45929.807400659723</v>
      </c>
      <c r="B3226" s="16">
        <v>45929</v>
      </c>
      <c r="C3226" s="2" t="s">
        <v>133</v>
      </c>
      <c r="D3226" s="2" t="s">
        <v>47</v>
      </c>
      <c r="E3226" s="2">
        <v>24000</v>
      </c>
      <c r="F3226" s="2" t="s">
        <v>102</v>
      </c>
      <c r="H3226" s="2" t="s">
        <v>35</v>
      </c>
    </row>
    <row r="3227" spans="1:8" ht="13" hidden="1">
      <c r="A3227" s="15">
        <v>45929.807675219912</v>
      </c>
      <c r="B3227" s="16">
        <v>45929</v>
      </c>
      <c r="C3227" s="2" t="s">
        <v>9</v>
      </c>
      <c r="D3227" s="2" t="s">
        <v>47</v>
      </c>
      <c r="E3227" s="2">
        <v>13600</v>
      </c>
      <c r="F3227" s="2" t="s">
        <v>102</v>
      </c>
      <c r="H3227" s="2" t="s">
        <v>35</v>
      </c>
    </row>
    <row r="3228" spans="1:8" ht="13" hidden="1">
      <c r="A3228" s="15">
        <v>45930.87054265046</v>
      </c>
      <c r="B3228" s="16">
        <v>45930</v>
      </c>
      <c r="C3228" s="2" t="s">
        <v>106</v>
      </c>
      <c r="D3228" s="2" t="s">
        <v>38</v>
      </c>
      <c r="E3228" s="2">
        <v>1100</v>
      </c>
      <c r="F3228" s="2" t="s">
        <v>102</v>
      </c>
      <c r="H3228" s="2" t="s">
        <v>35</v>
      </c>
    </row>
    <row r="3229" spans="1:8" ht="13" hidden="1">
      <c r="A3229" s="15">
        <v>45936.857401516201</v>
      </c>
      <c r="B3229" s="16">
        <v>45930</v>
      </c>
      <c r="C3229" s="2" t="s">
        <v>781</v>
      </c>
      <c r="D3229" s="2" t="s">
        <v>45</v>
      </c>
      <c r="E3229" s="2">
        <v>220</v>
      </c>
      <c r="F3229" s="2" t="s">
        <v>102</v>
      </c>
      <c r="G3229" s="2" t="s">
        <v>136</v>
      </c>
      <c r="H3229" s="2" t="s">
        <v>35</v>
      </c>
    </row>
    <row r="3230" spans="1:8" ht="13" hidden="1">
      <c r="A3230" s="15">
        <v>45936.858199351853</v>
      </c>
      <c r="B3230" s="16">
        <v>45930</v>
      </c>
      <c r="C3230" s="2" t="s">
        <v>1249</v>
      </c>
      <c r="D3230" s="2" t="s">
        <v>45</v>
      </c>
      <c r="E3230" s="2">
        <v>442</v>
      </c>
      <c r="F3230" s="2" t="s">
        <v>102</v>
      </c>
      <c r="G3230" s="2" t="s">
        <v>285</v>
      </c>
      <c r="H3230" s="2" t="s">
        <v>35</v>
      </c>
    </row>
    <row r="3231" spans="1:8" ht="13" hidden="1">
      <c r="A3231" s="15">
        <v>45936.858471909727</v>
      </c>
      <c r="B3231" s="16">
        <v>45931</v>
      </c>
      <c r="C3231" s="2" t="s">
        <v>1250</v>
      </c>
      <c r="E3231" s="2">
        <v>3523</v>
      </c>
      <c r="H3231" s="2" t="s">
        <v>34</v>
      </c>
    </row>
    <row r="3232" spans="1:8" ht="13" hidden="1">
      <c r="A3232" s="15">
        <v>45936.861763449073</v>
      </c>
      <c r="B3232" s="16">
        <v>45931</v>
      </c>
      <c r="C3232" s="2" t="s">
        <v>1251</v>
      </c>
      <c r="D3232" s="2" t="s">
        <v>39</v>
      </c>
      <c r="E3232" s="2">
        <v>3260</v>
      </c>
      <c r="F3232" s="2" t="s">
        <v>102</v>
      </c>
      <c r="G3232" s="2" t="s">
        <v>1252</v>
      </c>
      <c r="H3232" s="2" t="s">
        <v>35</v>
      </c>
    </row>
    <row r="3233" spans="1:8" ht="13" hidden="1">
      <c r="A3233" s="15">
        <v>45936.866964895831</v>
      </c>
      <c r="B3233" s="16">
        <v>45931</v>
      </c>
      <c r="C3233" s="2" t="s">
        <v>1253</v>
      </c>
      <c r="D3233" s="2" t="s">
        <v>49</v>
      </c>
      <c r="E3233" s="2">
        <v>1200</v>
      </c>
      <c r="F3233" s="2" t="s">
        <v>100</v>
      </c>
      <c r="G3233" s="2" t="s">
        <v>179</v>
      </c>
      <c r="H3233" s="2" t="s">
        <v>35</v>
      </c>
    </row>
    <row r="3234" spans="1:8" ht="13" hidden="1">
      <c r="A3234" s="15">
        <v>45936.867197951389</v>
      </c>
      <c r="B3234" s="16">
        <v>45931</v>
      </c>
      <c r="C3234" s="2" t="s">
        <v>26</v>
      </c>
      <c r="D3234" s="2" t="s">
        <v>41</v>
      </c>
      <c r="E3234" s="2">
        <v>6552</v>
      </c>
      <c r="F3234" s="2" t="s">
        <v>100</v>
      </c>
      <c r="H3234" s="2" t="s">
        <v>35</v>
      </c>
    </row>
    <row r="3235" spans="1:8" ht="13" hidden="1">
      <c r="A3235" s="15">
        <v>45936.867516909726</v>
      </c>
      <c r="B3235" s="16">
        <v>45931</v>
      </c>
      <c r="C3235" s="2" t="s">
        <v>518</v>
      </c>
      <c r="D3235" s="2" t="s">
        <v>38</v>
      </c>
      <c r="E3235" s="2">
        <v>311</v>
      </c>
      <c r="F3235" s="2" t="s">
        <v>100</v>
      </c>
      <c r="G3235" s="2" t="s">
        <v>1254</v>
      </c>
      <c r="H3235" s="2" t="s">
        <v>35</v>
      </c>
    </row>
    <row r="3236" spans="1:8" ht="13" hidden="1">
      <c r="A3236" s="15">
        <v>45936.858870173615</v>
      </c>
      <c r="B3236" s="16">
        <v>45932</v>
      </c>
      <c r="C3236" s="2" t="s">
        <v>163</v>
      </c>
      <c r="D3236" s="2" t="s">
        <v>38</v>
      </c>
      <c r="E3236" s="2">
        <v>1880</v>
      </c>
      <c r="F3236" s="2" t="s">
        <v>102</v>
      </c>
      <c r="G3236" s="2" t="s">
        <v>164</v>
      </c>
      <c r="H3236" s="2" t="s">
        <v>35</v>
      </c>
    </row>
    <row r="3237" spans="1:8" ht="13" hidden="1">
      <c r="A3237" s="15">
        <v>45936.859206550929</v>
      </c>
      <c r="B3237" s="16">
        <v>45932</v>
      </c>
      <c r="C3237" s="2" t="s">
        <v>719</v>
      </c>
      <c r="D3237" s="2" t="s">
        <v>45</v>
      </c>
      <c r="E3237" s="2">
        <v>962</v>
      </c>
      <c r="F3237" s="2" t="s">
        <v>102</v>
      </c>
      <c r="G3237" s="2" t="s">
        <v>285</v>
      </c>
      <c r="H3237" s="2" t="s">
        <v>35</v>
      </c>
    </row>
    <row r="3238" spans="1:8" ht="13" hidden="1">
      <c r="A3238" s="15">
        <v>45936.862102303239</v>
      </c>
      <c r="B3238" s="16">
        <v>45932</v>
      </c>
      <c r="C3238" s="2" t="s">
        <v>106</v>
      </c>
      <c r="D3238" s="2" t="s">
        <v>38</v>
      </c>
      <c r="E3238" s="2">
        <v>800</v>
      </c>
      <c r="F3238" s="2" t="s">
        <v>102</v>
      </c>
      <c r="G3238" s="2" t="s">
        <v>1230</v>
      </c>
      <c r="H3238" s="2" t="s">
        <v>35</v>
      </c>
    </row>
    <row r="3239" spans="1:8" ht="13" hidden="1">
      <c r="A3239" s="15">
        <v>45936.862401759259</v>
      </c>
      <c r="B3239" s="16">
        <v>45933</v>
      </c>
      <c r="C3239" s="2" t="s">
        <v>106</v>
      </c>
      <c r="D3239" s="2" t="s">
        <v>38</v>
      </c>
      <c r="E3239" s="2">
        <v>1100</v>
      </c>
      <c r="F3239" s="2" t="s">
        <v>102</v>
      </c>
      <c r="G3239" s="2" t="s">
        <v>952</v>
      </c>
      <c r="H3239" s="2" t="s">
        <v>35</v>
      </c>
    </row>
    <row r="3240" spans="1:8" ht="13" hidden="1">
      <c r="A3240" s="15">
        <v>45936.867788680553</v>
      </c>
      <c r="B3240" s="16">
        <v>45933</v>
      </c>
      <c r="C3240" s="2" t="s">
        <v>10</v>
      </c>
      <c r="D3240" s="2" t="s">
        <v>45</v>
      </c>
      <c r="E3240" s="2">
        <v>360</v>
      </c>
      <c r="F3240" s="2" t="s">
        <v>100</v>
      </c>
      <c r="H3240" s="2" t="s">
        <v>35</v>
      </c>
    </row>
    <row r="3241" spans="1:8" ht="13" hidden="1">
      <c r="A3241" s="15">
        <v>45944.839171296291</v>
      </c>
      <c r="B3241" s="16">
        <v>45933</v>
      </c>
      <c r="C3241" s="2" t="s">
        <v>409</v>
      </c>
      <c r="D3241" s="2" t="s">
        <v>40</v>
      </c>
      <c r="E3241" s="2">
        <v>20320</v>
      </c>
      <c r="F3241" s="2" t="s">
        <v>100</v>
      </c>
      <c r="H3241" s="2" t="s">
        <v>35</v>
      </c>
    </row>
    <row r="3242" spans="1:8" ht="13" hidden="1">
      <c r="A3242" s="15">
        <v>45936.859456678241</v>
      </c>
      <c r="B3242" s="16">
        <v>45934</v>
      </c>
      <c r="C3242" s="2" t="s">
        <v>105</v>
      </c>
      <c r="D3242" s="2" t="s">
        <v>40</v>
      </c>
      <c r="E3242" s="2">
        <v>800</v>
      </c>
      <c r="F3242" s="2" t="s">
        <v>102</v>
      </c>
      <c r="H3242" s="2" t="s">
        <v>35</v>
      </c>
    </row>
    <row r="3243" spans="1:8" ht="13" hidden="1">
      <c r="A3243" s="15">
        <v>45936.859717453699</v>
      </c>
      <c r="B3243" s="16">
        <v>45934</v>
      </c>
      <c r="C3243" s="2" t="s">
        <v>780</v>
      </c>
      <c r="D3243" s="2" t="s">
        <v>38</v>
      </c>
      <c r="E3243" s="2">
        <v>320</v>
      </c>
      <c r="F3243" s="2" t="s">
        <v>102</v>
      </c>
      <c r="G3243" s="2" t="s">
        <v>356</v>
      </c>
      <c r="H3243" s="2" t="s">
        <v>35</v>
      </c>
    </row>
    <row r="3244" spans="1:8" ht="13" hidden="1">
      <c r="A3244" s="15">
        <v>45936.859994259255</v>
      </c>
      <c r="B3244" s="16">
        <v>45934</v>
      </c>
      <c r="C3244" s="2" t="s">
        <v>106</v>
      </c>
      <c r="D3244" s="2" t="s">
        <v>38</v>
      </c>
      <c r="E3244" s="2">
        <v>899</v>
      </c>
      <c r="F3244" s="2" t="s">
        <v>102</v>
      </c>
      <c r="H3244" s="2" t="s">
        <v>35</v>
      </c>
    </row>
    <row r="3245" spans="1:8" ht="13" hidden="1">
      <c r="A3245" s="15">
        <v>45936.860281412039</v>
      </c>
      <c r="B3245" s="16">
        <v>45934</v>
      </c>
      <c r="C3245" s="2" t="s">
        <v>139</v>
      </c>
      <c r="D3245" s="2" t="s">
        <v>38</v>
      </c>
      <c r="E3245" s="2">
        <v>149</v>
      </c>
      <c r="F3245" s="2" t="s">
        <v>102</v>
      </c>
      <c r="G3245" s="2" t="s">
        <v>103</v>
      </c>
      <c r="H3245" s="2" t="s">
        <v>35</v>
      </c>
    </row>
    <row r="3246" spans="1:8" ht="13" hidden="1">
      <c r="A3246" s="15">
        <v>45936.860647083333</v>
      </c>
      <c r="B3246" s="16">
        <v>45934</v>
      </c>
      <c r="C3246" s="2" t="s">
        <v>1056</v>
      </c>
      <c r="D3246" s="2" t="s">
        <v>38</v>
      </c>
      <c r="E3246" s="2">
        <v>292</v>
      </c>
      <c r="F3246" s="2" t="s">
        <v>102</v>
      </c>
      <c r="G3246" s="2" t="s">
        <v>356</v>
      </c>
      <c r="H3246" s="2" t="s">
        <v>35</v>
      </c>
    </row>
    <row r="3247" spans="1:8" ht="13" hidden="1">
      <c r="A3247" s="15">
        <v>45944.839458368057</v>
      </c>
      <c r="B3247" s="16">
        <v>45934</v>
      </c>
      <c r="C3247" s="2" t="s">
        <v>116</v>
      </c>
      <c r="D3247" s="2" t="s">
        <v>38</v>
      </c>
      <c r="E3247" s="2">
        <v>2710</v>
      </c>
      <c r="F3247" s="2" t="s">
        <v>100</v>
      </c>
      <c r="G3247" s="2" t="s">
        <v>626</v>
      </c>
      <c r="H3247" s="2" t="s">
        <v>35</v>
      </c>
    </row>
    <row r="3248" spans="1:8" ht="13" hidden="1">
      <c r="A3248" s="15">
        <v>45944.839804826392</v>
      </c>
      <c r="B3248" s="16">
        <v>45934</v>
      </c>
      <c r="C3248" s="2" t="s">
        <v>350</v>
      </c>
      <c r="D3248" s="2" t="s">
        <v>40</v>
      </c>
      <c r="E3248" s="2">
        <v>1000</v>
      </c>
      <c r="F3248" s="2" t="s">
        <v>100</v>
      </c>
      <c r="H3248" s="2" t="s">
        <v>35</v>
      </c>
    </row>
    <row r="3249" spans="1:8" ht="13" hidden="1">
      <c r="A3249" s="15">
        <v>45944.840194178236</v>
      </c>
      <c r="B3249" s="16">
        <v>45934</v>
      </c>
      <c r="C3249" s="2" t="s">
        <v>183</v>
      </c>
      <c r="D3249" s="2" t="s">
        <v>46</v>
      </c>
      <c r="E3249" s="2">
        <v>1100</v>
      </c>
      <c r="F3249" s="2" t="s">
        <v>100</v>
      </c>
      <c r="G3249" s="2" t="s">
        <v>129</v>
      </c>
      <c r="H3249" s="2" t="s">
        <v>35</v>
      </c>
    </row>
    <row r="3250" spans="1:8" ht="13" hidden="1">
      <c r="A3250" s="15">
        <v>45936.860929965274</v>
      </c>
      <c r="B3250" s="16">
        <v>45935</v>
      </c>
      <c r="C3250" s="2" t="s">
        <v>287</v>
      </c>
      <c r="D3250" s="2" t="s">
        <v>38</v>
      </c>
      <c r="E3250" s="2">
        <v>680</v>
      </c>
      <c r="F3250" s="2" t="s">
        <v>102</v>
      </c>
      <c r="G3250" s="2" t="s">
        <v>199</v>
      </c>
      <c r="H3250" s="2" t="s">
        <v>35</v>
      </c>
    </row>
    <row r="3251" spans="1:8" ht="13" hidden="1">
      <c r="A3251" s="15">
        <v>45944.840663310184</v>
      </c>
      <c r="B3251" s="16">
        <v>45935</v>
      </c>
      <c r="C3251" s="2" t="s">
        <v>350</v>
      </c>
      <c r="D3251" s="2" t="s">
        <v>40</v>
      </c>
      <c r="E3251" s="2">
        <v>1000</v>
      </c>
      <c r="F3251" s="2" t="s">
        <v>100</v>
      </c>
      <c r="H3251" s="2" t="s">
        <v>35</v>
      </c>
    </row>
    <row r="3252" spans="1:8" ht="13" hidden="1">
      <c r="A3252" s="15">
        <v>45944.841252037033</v>
      </c>
      <c r="B3252" s="16">
        <v>45935</v>
      </c>
      <c r="C3252" s="2" t="s">
        <v>1255</v>
      </c>
      <c r="D3252" s="2" t="s">
        <v>39</v>
      </c>
      <c r="E3252" s="2">
        <v>17952</v>
      </c>
      <c r="F3252" s="2" t="s">
        <v>100</v>
      </c>
      <c r="H3252" s="2" t="s">
        <v>35</v>
      </c>
    </row>
    <row r="3253" spans="1:8" ht="13" hidden="1">
      <c r="A3253" s="15">
        <v>45944.841719212964</v>
      </c>
      <c r="B3253" s="16">
        <v>45935</v>
      </c>
      <c r="C3253" s="2" t="s">
        <v>116</v>
      </c>
      <c r="D3253" s="2" t="s">
        <v>38</v>
      </c>
      <c r="E3253" s="2">
        <v>1619</v>
      </c>
      <c r="F3253" s="2" t="s">
        <v>100</v>
      </c>
      <c r="G3253" s="2" t="s">
        <v>652</v>
      </c>
      <c r="H3253" s="2" t="s">
        <v>35</v>
      </c>
    </row>
    <row r="3254" spans="1:8" ht="13" hidden="1">
      <c r="A3254" s="15">
        <v>45944.841927951391</v>
      </c>
      <c r="B3254" s="16">
        <v>45935</v>
      </c>
      <c r="C3254" s="2" t="s">
        <v>240</v>
      </c>
      <c r="D3254" s="2" t="s">
        <v>42</v>
      </c>
      <c r="E3254" s="2">
        <v>990</v>
      </c>
      <c r="F3254" s="2" t="s">
        <v>100</v>
      </c>
      <c r="H3254" s="2" t="s">
        <v>35</v>
      </c>
    </row>
    <row r="3255" spans="1:8" ht="13" hidden="1">
      <c r="A3255" s="15">
        <v>45936.862876793981</v>
      </c>
      <c r="B3255" s="16">
        <v>45936</v>
      </c>
      <c r="C3255" s="2" t="s">
        <v>106</v>
      </c>
      <c r="D3255" s="2" t="s">
        <v>38</v>
      </c>
      <c r="E3255" s="2">
        <v>1350</v>
      </c>
      <c r="F3255" s="2" t="s">
        <v>102</v>
      </c>
      <c r="H3255" s="2" t="s">
        <v>35</v>
      </c>
    </row>
    <row r="3256" spans="1:8" ht="13" hidden="1">
      <c r="A3256" s="15">
        <v>45944.842237708333</v>
      </c>
      <c r="B3256" s="16">
        <v>45936</v>
      </c>
      <c r="C3256" s="2" t="s">
        <v>1256</v>
      </c>
      <c r="D3256" s="2" t="s">
        <v>45</v>
      </c>
      <c r="E3256" s="2">
        <v>1480</v>
      </c>
      <c r="F3256" s="2" t="s">
        <v>100</v>
      </c>
      <c r="G3256" s="2" t="s">
        <v>696</v>
      </c>
      <c r="H3256" s="2" t="s">
        <v>35</v>
      </c>
    </row>
    <row r="3257" spans="1:8" ht="13" hidden="1">
      <c r="A3257" s="15">
        <v>45944.842527233792</v>
      </c>
      <c r="B3257" s="16">
        <v>45936</v>
      </c>
      <c r="C3257" s="2" t="s">
        <v>409</v>
      </c>
      <c r="D3257" s="2" t="s">
        <v>40</v>
      </c>
      <c r="E3257" s="2">
        <v>22450</v>
      </c>
      <c r="F3257" s="2" t="s">
        <v>100</v>
      </c>
      <c r="H3257" s="2" t="s">
        <v>35</v>
      </c>
    </row>
    <row r="3258" spans="1:8" ht="13" hidden="1">
      <c r="A3258" s="15">
        <v>45944.842793923613</v>
      </c>
      <c r="B3258" s="16">
        <v>45936</v>
      </c>
      <c r="C3258" s="2" t="s">
        <v>176</v>
      </c>
      <c r="D3258" s="2" t="s">
        <v>41</v>
      </c>
      <c r="E3258" s="2">
        <v>1232</v>
      </c>
      <c r="F3258" s="2" t="s">
        <v>100</v>
      </c>
      <c r="H3258" s="2" t="s">
        <v>35</v>
      </c>
    </row>
    <row r="3259" spans="1:8" ht="13" hidden="1">
      <c r="A3259" s="15">
        <v>45944.835601481478</v>
      </c>
      <c r="B3259" s="16">
        <v>45937</v>
      </c>
      <c r="C3259" s="2" t="s">
        <v>45</v>
      </c>
      <c r="D3259" s="2" t="s">
        <v>45</v>
      </c>
      <c r="E3259" s="2">
        <v>3308</v>
      </c>
      <c r="F3259" s="2" t="s">
        <v>102</v>
      </c>
      <c r="G3259" s="2" t="s">
        <v>285</v>
      </c>
      <c r="H3259" s="2" t="s">
        <v>35</v>
      </c>
    </row>
    <row r="3260" spans="1:8" ht="13" hidden="1">
      <c r="A3260" s="15">
        <v>45944.843190011576</v>
      </c>
      <c r="B3260" s="16">
        <v>45937</v>
      </c>
      <c r="C3260" s="2" t="s">
        <v>1257</v>
      </c>
      <c r="D3260" s="2" t="s">
        <v>45</v>
      </c>
      <c r="E3260" s="2">
        <v>2099</v>
      </c>
      <c r="F3260" s="2" t="s">
        <v>100</v>
      </c>
      <c r="G3260" s="2" t="s">
        <v>129</v>
      </c>
      <c r="H3260" s="2" t="s">
        <v>35</v>
      </c>
    </row>
    <row r="3261" spans="1:8" ht="13" hidden="1">
      <c r="A3261" s="15">
        <v>45944.843554942127</v>
      </c>
      <c r="B3261" s="16">
        <v>45937</v>
      </c>
      <c r="C3261" s="2" t="s">
        <v>116</v>
      </c>
      <c r="D3261" s="2" t="s">
        <v>38</v>
      </c>
      <c r="E3261" s="2">
        <v>1588</v>
      </c>
      <c r="F3261" s="2" t="s">
        <v>100</v>
      </c>
      <c r="G3261" s="2" t="s">
        <v>652</v>
      </c>
      <c r="H3261" s="2" t="s">
        <v>35</v>
      </c>
    </row>
    <row r="3262" spans="1:8" ht="13" hidden="1">
      <c r="A3262" s="15">
        <v>45944.835888263886</v>
      </c>
      <c r="B3262" s="16">
        <v>45938</v>
      </c>
      <c r="C3262" s="2" t="s">
        <v>674</v>
      </c>
      <c r="D3262" s="2" t="s">
        <v>39</v>
      </c>
      <c r="E3262" s="2">
        <v>950</v>
      </c>
      <c r="F3262" s="2" t="s">
        <v>102</v>
      </c>
      <c r="H3262" s="2" t="s">
        <v>35</v>
      </c>
    </row>
    <row r="3263" spans="1:8" ht="13" hidden="1">
      <c r="A3263" s="15">
        <v>45944.844018668984</v>
      </c>
      <c r="B3263" s="16">
        <v>45938</v>
      </c>
      <c r="C3263" s="2" t="s">
        <v>12</v>
      </c>
      <c r="D3263" s="2" t="s">
        <v>39</v>
      </c>
      <c r="E3263" s="2">
        <v>1520</v>
      </c>
      <c r="F3263" s="2" t="s">
        <v>100</v>
      </c>
      <c r="H3263" s="2" t="s">
        <v>35</v>
      </c>
    </row>
    <row r="3264" spans="1:8" ht="13" hidden="1">
      <c r="A3264" s="15">
        <v>45944.844235729164</v>
      </c>
      <c r="B3264" s="16">
        <v>45938</v>
      </c>
      <c r="C3264" s="2" t="s">
        <v>654</v>
      </c>
      <c r="D3264" s="2" t="s">
        <v>48</v>
      </c>
      <c r="E3264" s="2">
        <v>150</v>
      </c>
      <c r="F3264" s="2" t="s">
        <v>100</v>
      </c>
      <c r="H3264" s="2" t="s">
        <v>35</v>
      </c>
    </row>
    <row r="3265" spans="1:8" ht="13" hidden="1">
      <c r="A3265" s="15">
        <v>45944.844560104168</v>
      </c>
      <c r="B3265" s="16">
        <v>45938</v>
      </c>
      <c r="C3265" s="2" t="s">
        <v>807</v>
      </c>
      <c r="D3265" s="2" t="s">
        <v>152</v>
      </c>
      <c r="E3265" s="2">
        <v>3060</v>
      </c>
      <c r="F3265" s="2" t="s">
        <v>100</v>
      </c>
      <c r="H3265" s="2" t="s">
        <v>35</v>
      </c>
    </row>
    <row r="3266" spans="1:8" ht="13" hidden="1">
      <c r="A3266" s="15">
        <v>45944.844825532404</v>
      </c>
      <c r="B3266" s="16">
        <v>45939</v>
      </c>
      <c r="C3266" s="2" t="s">
        <v>15</v>
      </c>
      <c r="D3266" s="2" t="s">
        <v>48</v>
      </c>
      <c r="E3266" s="2">
        <v>880</v>
      </c>
      <c r="F3266" s="2" t="s">
        <v>100</v>
      </c>
      <c r="H3266" s="2" t="s">
        <v>35</v>
      </c>
    </row>
    <row r="3267" spans="1:8" ht="13" hidden="1">
      <c r="A3267" s="15">
        <v>45944.845087141206</v>
      </c>
      <c r="B3267" s="16">
        <v>45939</v>
      </c>
      <c r="C3267" s="2" t="s">
        <v>418</v>
      </c>
      <c r="D3267" s="2" t="s">
        <v>39</v>
      </c>
      <c r="E3267" s="2">
        <v>7868</v>
      </c>
      <c r="F3267" s="2" t="s">
        <v>100</v>
      </c>
      <c r="H3267" s="2" t="s">
        <v>35</v>
      </c>
    </row>
    <row r="3268" spans="1:8" ht="13" hidden="1">
      <c r="A3268" s="15">
        <v>45944.837975914357</v>
      </c>
      <c r="B3268" s="16">
        <v>45940</v>
      </c>
      <c r="C3268" s="2" t="s">
        <v>106</v>
      </c>
      <c r="D3268" s="2" t="s">
        <v>38</v>
      </c>
      <c r="E3268" s="2">
        <v>1100</v>
      </c>
      <c r="F3268" s="2" t="s">
        <v>102</v>
      </c>
      <c r="H3268" s="2" t="s">
        <v>35</v>
      </c>
    </row>
    <row r="3269" spans="1:8" ht="13" hidden="1">
      <c r="A3269" s="15">
        <v>45944.845380752318</v>
      </c>
      <c r="B3269" s="16">
        <v>45940</v>
      </c>
      <c r="C3269" s="2" t="s">
        <v>183</v>
      </c>
      <c r="D3269" s="2" t="s">
        <v>46</v>
      </c>
      <c r="E3269" s="2">
        <v>1782</v>
      </c>
      <c r="F3269" s="2" t="s">
        <v>100</v>
      </c>
      <c r="G3269" s="2" t="s">
        <v>129</v>
      </c>
      <c r="H3269" s="2" t="s">
        <v>35</v>
      </c>
    </row>
    <row r="3270" spans="1:8" ht="13" hidden="1">
      <c r="A3270" s="15">
        <v>45944.845700104168</v>
      </c>
      <c r="B3270" s="16">
        <v>45940</v>
      </c>
      <c r="C3270" s="2" t="s">
        <v>22</v>
      </c>
      <c r="D3270" s="2" t="s">
        <v>46</v>
      </c>
      <c r="E3270" s="2">
        <v>2530</v>
      </c>
      <c r="F3270" s="2" t="s">
        <v>100</v>
      </c>
      <c r="H3270" s="2" t="s">
        <v>35</v>
      </c>
    </row>
    <row r="3271" spans="1:8" ht="13" hidden="1">
      <c r="A3271" s="15">
        <v>45944.84595368056</v>
      </c>
      <c r="B3271" s="16">
        <v>45940</v>
      </c>
      <c r="C3271" s="2" t="s">
        <v>240</v>
      </c>
      <c r="D3271" s="2" t="s">
        <v>42</v>
      </c>
      <c r="E3271" s="2">
        <v>110</v>
      </c>
      <c r="F3271" s="2" t="s">
        <v>100</v>
      </c>
      <c r="H3271" s="2" t="s">
        <v>35</v>
      </c>
    </row>
    <row r="3272" spans="1:8" ht="13" hidden="1">
      <c r="A3272" s="15">
        <v>45944.836148518516</v>
      </c>
      <c r="B3272" s="16">
        <v>45941</v>
      </c>
      <c r="C3272" s="2" t="s">
        <v>112</v>
      </c>
      <c r="D3272" s="2" t="s">
        <v>38</v>
      </c>
      <c r="E3272" s="2">
        <v>270</v>
      </c>
      <c r="F3272" s="2" t="s">
        <v>102</v>
      </c>
      <c r="H3272" s="2" t="s">
        <v>35</v>
      </c>
    </row>
    <row r="3273" spans="1:8" ht="13" hidden="1">
      <c r="A3273" s="15">
        <v>45944.836454039352</v>
      </c>
      <c r="B3273" s="16">
        <v>45941</v>
      </c>
      <c r="C3273" s="2" t="s">
        <v>1258</v>
      </c>
      <c r="D3273" s="2" t="s">
        <v>38</v>
      </c>
      <c r="E3273" s="2">
        <v>340</v>
      </c>
      <c r="F3273" s="2" t="s">
        <v>102</v>
      </c>
      <c r="G3273" s="2" t="s">
        <v>1126</v>
      </c>
      <c r="H3273" s="2" t="s">
        <v>35</v>
      </c>
    </row>
    <row r="3274" spans="1:8" ht="13" hidden="1">
      <c r="A3274" s="15">
        <v>45944.846167361116</v>
      </c>
      <c r="B3274" s="16">
        <v>45941</v>
      </c>
      <c r="C3274" s="2" t="s">
        <v>18</v>
      </c>
      <c r="D3274" s="2" t="s">
        <v>41</v>
      </c>
      <c r="E3274" s="2">
        <v>5868</v>
      </c>
      <c r="F3274" s="2" t="s">
        <v>100</v>
      </c>
      <c r="H3274" s="2" t="s">
        <v>35</v>
      </c>
    </row>
    <row r="3275" spans="1:8" ht="13" hidden="1">
      <c r="A3275" s="15">
        <v>45964.786154756948</v>
      </c>
      <c r="B3275" s="16">
        <v>45941</v>
      </c>
      <c r="C3275" s="2" t="s">
        <v>105</v>
      </c>
      <c r="D3275" s="2" t="s">
        <v>40</v>
      </c>
      <c r="E3275" s="2">
        <v>5100</v>
      </c>
      <c r="F3275" s="2" t="s">
        <v>100</v>
      </c>
      <c r="H3275" s="2" t="s">
        <v>35</v>
      </c>
    </row>
    <row r="3276" spans="1:8" ht="13" hidden="1">
      <c r="A3276" s="15">
        <v>45964.786428182866</v>
      </c>
      <c r="B3276" s="16">
        <v>45941</v>
      </c>
      <c r="C3276" s="2" t="s">
        <v>350</v>
      </c>
      <c r="D3276" s="2" t="s">
        <v>40</v>
      </c>
      <c r="E3276" s="2">
        <v>2000</v>
      </c>
      <c r="F3276" s="2" t="s">
        <v>100</v>
      </c>
      <c r="H3276" s="2" t="s">
        <v>35</v>
      </c>
    </row>
    <row r="3277" spans="1:8" ht="13" hidden="1">
      <c r="A3277" s="15">
        <v>45964.787817523145</v>
      </c>
      <c r="B3277" s="16">
        <v>45941</v>
      </c>
      <c r="C3277" s="2" t="s">
        <v>45</v>
      </c>
      <c r="D3277" s="2" t="s">
        <v>45</v>
      </c>
      <c r="E3277" s="2">
        <v>2651</v>
      </c>
      <c r="F3277" s="2" t="s">
        <v>100</v>
      </c>
      <c r="G3277" s="2" t="s">
        <v>956</v>
      </c>
      <c r="H3277" s="2" t="s">
        <v>35</v>
      </c>
    </row>
    <row r="3278" spans="1:8" ht="13" hidden="1">
      <c r="A3278" s="15">
        <v>45944.836721909727</v>
      </c>
      <c r="B3278" s="16">
        <v>45942</v>
      </c>
      <c r="C3278" s="2" t="s">
        <v>1163</v>
      </c>
      <c r="D3278" s="2" t="s">
        <v>39</v>
      </c>
      <c r="E3278" s="2">
        <v>1700</v>
      </c>
      <c r="F3278" s="2" t="s">
        <v>102</v>
      </c>
      <c r="H3278" s="2" t="s">
        <v>35</v>
      </c>
    </row>
    <row r="3279" spans="1:8" ht="13" hidden="1">
      <c r="A3279" s="15">
        <v>45944.836945532406</v>
      </c>
      <c r="B3279" s="16">
        <v>45942</v>
      </c>
      <c r="C3279" s="2" t="s">
        <v>114</v>
      </c>
      <c r="D3279" s="2" t="s">
        <v>39</v>
      </c>
      <c r="E3279" s="2">
        <v>1393</v>
      </c>
      <c r="F3279" s="2" t="s">
        <v>102</v>
      </c>
      <c r="H3279" s="2" t="s">
        <v>35</v>
      </c>
    </row>
    <row r="3280" spans="1:8" ht="13" hidden="1">
      <c r="A3280" s="15">
        <v>45964.788220127317</v>
      </c>
      <c r="B3280" s="16">
        <v>45942</v>
      </c>
      <c r="C3280" s="2" t="s">
        <v>409</v>
      </c>
      <c r="D3280" s="2" t="s">
        <v>40</v>
      </c>
      <c r="E3280" s="2">
        <v>18600</v>
      </c>
      <c r="F3280" s="2" t="s">
        <v>100</v>
      </c>
      <c r="H3280" s="2" t="s">
        <v>35</v>
      </c>
    </row>
    <row r="3281" spans="1:8" ht="13" hidden="1">
      <c r="A3281" s="15">
        <v>45964.78855769676</v>
      </c>
      <c r="B3281" s="16">
        <v>45942</v>
      </c>
      <c r="C3281" s="2" t="s">
        <v>350</v>
      </c>
      <c r="D3281" s="2" t="s">
        <v>40</v>
      </c>
      <c r="E3281" s="2">
        <v>1000</v>
      </c>
      <c r="F3281" s="2" t="s">
        <v>100</v>
      </c>
      <c r="H3281" s="2" t="s">
        <v>35</v>
      </c>
    </row>
    <row r="3282" spans="1:8" ht="13" hidden="1">
      <c r="A3282" s="15">
        <v>45944.837291631949</v>
      </c>
      <c r="B3282" s="16">
        <v>45943</v>
      </c>
      <c r="C3282" s="2" t="s">
        <v>668</v>
      </c>
      <c r="D3282" s="2" t="s">
        <v>45</v>
      </c>
      <c r="E3282" s="2">
        <v>1066</v>
      </c>
      <c r="F3282" s="2" t="s">
        <v>102</v>
      </c>
      <c r="G3282" s="2" t="s">
        <v>285</v>
      </c>
      <c r="H3282" s="2" t="s">
        <v>35</v>
      </c>
    </row>
    <row r="3283" spans="1:8" ht="13" hidden="1">
      <c r="A3283" s="15">
        <v>45964.788872847217</v>
      </c>
      <c r="B3283" s="16">
        <v>45943</v>
      </c>
      <c r="C3283" s="2" t="s">
        <v>116</v>
      </c>
      <c r="D3283" s="2" t="s">
        <v>38</v>
      </c>
      <c r="E3283" s="2">
        <v>1884</v>
      </c>
      <c r="F3283" s="2" t="s">
        <v>100</v>
      </c>
      <c r="G3283" s="2" t="s">
        <v>652</v>
      </c>
      <c r="H3283" s="2" t="s">
        <v>35</v>
      </c>
    </row>
    <row r="3284" spans="1:8" ht="13" hidden="1">
      <c r="A3284" s="15">
        <v>45964.789345729165</v>
      </c>
      <c r="B3284" s="16">
        <v>45943</v>
      </c>
      <c r="C3284" s="2" t="s">
        <v>240</v>
      </c>
      <c r="D3284" s="2" t="s">
        <v>42</v>
      </c>
      <c r="E3284" s="2">
        <v>990</v>
      </c>
      <c r="F3284" s="2" t="s">
        <v>100</v>
      </c>
      <c r="H3284" s="2" t="s">
        <v>35</v>
      </c>
    </row>
    <row r="3285" spans="1:8" ht="13" hidden="1">
      <c r="A3285" s="15">
        <v>45964.789688113422</v>
      </c>
      <c r="B3285" s="16">
        <v>45943</v>
      </c>
      <c r="C3285" s="2" t="s">
        <v>350</v>
      </c>
      <c r="D3285" s="2" t="s">
        <v>40</v>
      </c>
      <c r="E3285" s="2">
        <v>1000</v>
      </c>
      <c r="F3285" s="2" t="s">
        <v>100</v>
      </c>
      <c r="H3285" s="2" t="s">
        <v>35</v>
      </c>
    </row>
    <row r="3286" spans="1:8" ht="13" hidden="1">
      <c r="A3286" s="15">
        <v>45964.790065081019</v>
      </c>
      <c r="B3286" s="16">
        <v>45944</v>
      </c>
      <c r="C3286" s="2" t="s">
        <v>662</v>
      </c>
      <c r="D3286" s="2" t="s">
        <v>48</v>
      </c>
      <c r="E3286" s="2">
        <v>3484</v>
      </c>
      <c r="F3286" s="2" t="s">
        <v>100</v>
      </c>
      <c r="H3286" s="2" t="s">
        <v>35</v>
      </c>
    </row>
    <row r="3287" spans="1:8" ht="13" hidden="1">
      <c r="A3287" s="15">
        <v>45964.790388136578</v>
      </c>
      <c r="B3287" s="16">
        <v>45944</v>
      </c>
      <c r="C3287" s="2" t="s">
        <v>1259</v>
      </c>
      <c r="D3287" s="2" t="s">
        <v>40</v>
      </c>
      <c r="E3287" s="2">
        <v>14390</v>
      </c>
      <c r="F3287" s="2" t="s">
        <v>100</v>
      </c>
      <c r="H3287" s="2" t="s">
        <v>35</v>
      </c>
    </row>
    <row r="3288" spans="1:8" ht="13" hidden="1">
      <c r="A3288" s="15">
        <v>45962.707533645837</v>
      </c>
      <c r="B3288" s="16">
        <v>45945</v>
      </c>
      <c r="C3288" s="2" t="s">
        <v>110</v>
      </c>
      <c r="D3288" s="2" t="s">
        <v>38</v>
      </c>
      <c r="E3288" s="2">
        <v>605</v>
      </c>
      <c r="F3288" s="2" t="s">
        <v>102</v>
      </c>
      <c r="H3288" s="2" t="s">
        <v>35</v>
      </c>
    </row>
    <row r="3289" spans="1:8" ht="13" hidden="1">
      <c r="A3289" s="15">
        <v>45962.707833692126</v>
      </c>
      <c r="B3289" s="16">
        <v>45945</v>
      </c>
      <c r="C3289" s="2" t="s">
        <v>112</v>
      </c>
      <c r="D3289" s="2" t="s">
        <v>38</v>
      </c>
      <c r="E3289" s="2">
        <v>450</v>
      </c>
      <c r="F3289" s="2" t="s">
        <v>102</v>
      </c>
      <c r="G3289" s="2" t="s">
        <v>880</v>
      </c>
      <c r="H3289" s="2" t="s">
        <v>35</v>
      </c>
    </row>
    <row r="3290" spans="1:8" ht="13" hidden="1">
      <c r="A3290" s="15">
        <v>45962.708431840278</v>
      </c>
      <c r="B3290" s="16">
        <v>45945</v>
      </c>
      <c r="C3290" s="2" t="s">
        <v>398</v>
      </c>
      <c r="D3290" s="2" t="s">
        <v>38</v>
      </c>
      <c r="E3290" s="2">
        <v>194</v>
      </c>
      <c r="F3290" s="2" t="s">
        <v>102</v>
      </c>
      <c r="G3290" s="2" t="s">
        <v>103</v>
      </c>
      <c r="H3290" s="2" t="s">
        <v>35</v>
      </c>
    </row>
    <row r="3291" spans="1:8" ht="13" hidden="1">
      <c r="A3291" s="15">
        <v>45962.708813449077</v>
      </c>
      <c r="B3291" s="16">
        <v>45945</v>
      </c>
      <c r="C3291" s="2" t="s">
        <v>430</v>
      </c>
      <c r="D3291" s="2" t="s">
        <v>39</v>
      </c>
      <c r="E3291" s="2">
        <v>200</v>
      </c>
      <c r="F3291" s="2" t="s">
        <v>102</v>
      </c>
      <c r="H3291" s="2" t="s">
        <v>35</v>
      </c>
    </row>
    <row r="3292" spans="1:8" ht="13" hidden="1">
      <c r="A3292" s="15">
        <v>45962.709221666664</v>
      </c>
      <c r="B3292" s="16">
        <v>45945</v>
      </c>
      <c r="C3292" s="2" t="s">
        <v>1260</v>
      </c>
      <c r="D3292" s="2" t="s">
        <v>39</v>
      </c>
      <c r="E3292" s="2">
        <v>1610</v>
      </c>
      <c r="F3292" s="2" t="s">
        <v>102</v>
      </c>
      <c r="H3292" s="2" t="s">
        <v>35</v>
      </c>
    </row>
    <row r="3293" spans="1:8" ht="13" hidden="1">
      <c r="A3293" s="15">
        <v>45964.790777025468</v>
      </c>
      <c r="B3293" s="16">
        <v>45945</v>
      </c>
      <c r="C3293" s="2" t="s">
        <v>1127</v>
      </c>
      <c r="D3293" s="2" t="s">
        <v>152</v>
      </c>
      <c r="E3293" s="2">
        <v>1320</v>
      </c>
      <c r="F3293" s="2" t="s">
        <v>100</v>
      </c>
      <c r="H3293" s="2" t="s">
        <v>35</v>
      </c>
    </row>
    <row r="3294" spans="1:8" ht="13" hidden="1">
      <c r="A3294" s="15">
        <v>45964.791200335647</v>
      </c>
      <c r="B3294" s="16">
        <v>45945</v>
      </c>
      <c r="C3294" s="2" t="s">
        <v>1261</v>
      </c>
      <c r="D3294" s="2" t="s">
        <v>45</v>
      </c>
      <c r="E3294" s="2">
        <v>910</v>
      </c>
      <c r="F3294" s="2" t="s">
        <v>100</v>
      </c>
      <c r="H3294" s="2" t="s">
        <v>35</v>
      </c>
    </row>
    <row r="3295" spans="1:8" ht="13" hidden="1">
      <c r="A3295" s="15">
        <v>45964.7915971412</v>
      </c>
      <c r="B3295" s="16">
        <v>45945</v>
      </c>
      <c r="C3295" s="2" t="s">
        <v>350</v>
      </c>
      <c r="D3295" s="2" t="s">
        <v>40</v>
      </c>
      <c r="E3295" s="2">
        <v>1000</v>
      </c>
      <c r="F3295" s="2" t="s">
        <v>100</v>
      </c>
      <c r="H3295" s="2" t="s">
        <v>35</v>
      </c>
    </row>
    <row r="3296" spans="1:8" ht="13" hidden="1">
      <c r="A3296" s="15">
        <v>45962.709737442128</v>
      </c>
      <c r="B3296" s="16">
        <v>45946</v>
      </c>
      <c r="C3296" s="2" t="s">
        <v>1262</v>
      </c>
      <c r="D3296" s="2" t="s">
        <v>39</v>
      </c>
      <c r="E3296" s="2">
        <v>1400</v>
      </c>
      <c r="F3296" s="2" t="s">
        <v>102</v>
      </c>
      <c r="G3296" s="2" t="s">
        <v>1263</v>
      </c>
      <c r="H3296" s="2" t="s">
        <v>35</v>
      </c>
    </row>
    <row r="3297" spans="1:8" ht="13" hidden="1">
      <c r="A3297" s="15">
        <v>45962.710209456018</v>
      </c>
      <c r="B3297" s="16">
        <v>45946</v>
      </c>
      <c r="C3297" s="2" t="s">
        <v>296</v>
      </c>
      <c r="D3297" s="2" t="s">
        <v>39</v>
      </c>
      <c r="E3297" s="2">
        <v>1700</v>
      </c>
      <c r="F3297" s="2" t="s">
        <v>102</v>
      </c>
      <c r="H3297" s="2" t="s">
        <v>35</v>
      </c>
    </row>
    <row r="3298" spans="1:8" ht="13" hidden="1">
      <c r="A3298" s="15">
        <v>45962.710831550925</v>
      </c>
      <c r="B3298" s="16">
        <v>45946</v>
      </c>
      <c r="C3298" s="2" t="s">
        <v>1264</v>
      </c>
      <c r="D3298" s="2" t="s">
        <v>39</v>
      </c>
      <c r="E3298" s="2">
        <v>2000</v>
      </c>
      <c r="F3298" s="2" t="s">
        <v>102</v>
      </c>
      <c r="H3298" s="2" t="s">
        <v>35</v>
      </c>
    </row>
    <row r="3299" spans="1:8" ht="13" hidden="1">
      <c r="A3299" s="15">
        <v>45962.711256956019</v>
      </c>
      <c r="B3299" s="16">
        <v>45946</v>
      </c>
      <c r="C3299" s="2" t="s">
        <v>207</v>
      </c>
      <c r="D3299" s="2" t="s">
        <v>39</v>
      </c>
      <c r="E3299" s="2">
        <v>1198</v>
      </c>
      <c r="F3299" s="2" t="s">
        <v>102</v>
      </c>
      <c r="H3299" s="2" t="s">
        <v>35</v>
      </c>
    </row>
    <row r="3300" spans="1:8" ht="13" hidden="1">
      <c r="A3300" s="15">
        <v>45962.711684733797</v>
      </c>
      <c r="B3300" s="16">
        <v>45946</v>
      </c>
      <c r="C3300" s="2" t="s">
        <v>1265</v>
      </c>
      <c r="D3300" s="2" t="s">
        <v>38</v>
      </c>
      <c r="E3300" s="2">
        <v>405</v>
      </c>
      <c r="F3300" s="2" t="s">
        <v>102</v>
      </c>
      <c r="H3300" s="2" t="s">
        <v>35</v>
      </c>
    </row>
    <row r="3301" spans="1:8" ht="13" hidden="1">
      <c r="A3301" s="15">
        <v>45962.71203023148</v>
      </c>
      <c r="B3301" s="16">
        <v>45946</v>
      </c>
      <c r="C3301" s="2" t="s">
        <v>1040</v>
      </c>
      <c r="D3301" s="2" t="s">
        <v>38</v>
      </c>
      <c r="E3301" s="2">
        <v>199</v>
      </c>
      <c r="F3301" s="2" t="s">
        <v>102</v>
      </c>
      <c r="G3301" s="2" t="s">
        <v>103</v>
      </c>
      <c r="H3301" s="2" t="s">
        <v>35</v>
      </c>
    </row>
    <row r="3302" spans="1:8" ht="13" hidden="1">
      <c r="A3302" s="15">
        <v>45962.72597407407</v>
      </c>
      <c r="B3302" s="16">
        <v>45946</v>
      </c>
      <c r="C3302" s="2" t="s">
        <v>110</v>
      </c>
      <c r="D3302" s="2" t="s">
        <v>38</v>
      </c>
      <c r="E3302" s="2">
        <v>500</v>
      </c>
      <c r="F3302" s="2" t="s">
        <v>102</v>
      </c>
      <c r="H3302" s="2" t="s">
        <v>35</v>
      </c>
    </row>
    <row r="3303" spans="1:8" ht="13" hidden="1">
      <c r="A3303" s="15">
        <v>45964.79200645833</v>
      </c>
      <c r="B3303" s="16">
        <v>45946</v>
      </c>
      <c r="C3303" s="2" t="s">
        <v>1266</v>
      </c>
      <c r="D3303" s="2" t="s">
        <v>39</v>
      </c>
      <c r="E3303" s="2">
        <v>1590</v>
      </c>
      <c r="F3303" s="2" t="s">
        <v>100</v>
      </c>
      <c r="H3303" s="2" t="s">
        <v>35</v>
      </c>
    </row>
    <row r="3304" spans="1:8" ht="13" hidden="1">
      <c r="A3304" s="15">
        <v>45964.79247724537</v>
      </c>
      <c r="B3304" s="16">
        <v>45946</v>
      </c>
      <c r="C3304" s="2" t="s">
        <v>1259</v>
      </c>
      <c r="D3304" s="2" t="s">
        <v>40</v>
      </c>
      <c r="E3304" s="2">
        <v>13500</v>
      </c>
      <c r="F3304" s="2" t="s">
        <v>100</v>
      </c>
      <c r="H3304" s="2" t="s">
        <v>35</v>
      </c>
    </row>
    <row r="3305" spans="1:8" ht="13" hidden="1">
      <c r="A3305" s="15">
        <v>45964.80006523148</v>
      </c>
      <c r="B3305" s="16">
        <v>45946</v>
      </c>
      <c r="C3305" s="2" t="s">
        <v>1267</v>
      </c>
      <c r="E3305" s="2">
        <v>100000</v>
      </c>
      <c r="H3305" s="2" t="s">
        <v>34</v>
      </c>
    </row>
    <row r="3306" spans="1:8" ht="13" hidden="1">
      <c r="A3306" s="15">
        <v>45962.712337743054</v>
      </c>
      <c r="B3306" s="16">
        <v>45947</v>
      </c>
      <c r="C3306" s="2" t="s">
        <v>106</v>
      </c>
      <c r="D3306" s="2" t="s">
        <v>38</v>
      </c>
      <c r="E3306" s="2">
        <v>880</v>
      </c>
      <c r="F3306" s="2" t="s">
        <v>102</v>
      </c>
      <c r="G3306" s="2" t="s">
        <v>113</v>
      </c>
      <c r="H3306" s="2" t="s">
        <v>35</v>
      </c>
    </row>
    <row r="3307" spans="1:8" ht="13" hidden="1">
      <c r="A3307" s="15">
        <v>45962.712764456017</v>
      </c>
      <c r="B3307" s="16">
        <v>45947</v>
      </c>
      <c r="C3307" s="2" t="s">
        <v>114</v>
      </c>
      <c r="D3307" s="2" t="s">
        <v>38</v>
      </c>
      <c r="E3307" s="2">
        <v>165</v>
      </c>
      <c r="F3307" s="2" t="s">
        <v>102</v>
      </c>
      <c r="G3307" s="2" t="s">
        <v>356</v>
      </c>
      <c r="H3307" s="2" t="s">
        <v>35</v>
      </c>
    </row>
    <row r="3308" spans="1:8" ht="13" hidden="1">
      <c r="A3308" s="15">
        <v>45962.713349675927</v>
      </c>
      <c r="B3308" s="16">
        <v>45947</v>
      </c>
      <c r="C3308" s="2" t="s">
        <v>1268</v>
      </c>
      <c r="D3308" s="2" t="s">
        <v>39</v>
      </c>
      <c r="E3308" s="2">
        <v>1200</v>
      </c>
      <c r="F3308" s="2" t="s">
        <v>102</v>
      </c>
      <c r="G3308" s="2" t="s">
        <v>667</v>
      </c>
      <c r="H3308" s="2" t="s">
        <v>35</v>
      </c>
    </row>
    <row r="3309" spans="1:8" ht="13" hidden="1">
      <c r="A3309" s="15">
        <v>45964.79279550926</v>
      </c>
      <c r="B3309" s="16">
        <v>45947</v>
      </c>
      <c r="C3309" s="2" t="s">
        <v>350</v>
      </c>
      <c r="D3309" s="2" t="s">
        <v>40</v>
      </c>
      <c r="E3309" s="2">
        <v>1000</v>
      </c>
      <c r="F3309" s="2" t="s">
        <v>100</v>
      </c>
      <c r="H3309" s="2" t="s">
        <v>35</v>
      </c>
    </row>
    <row r="3310" spans="1:8" ht="13" hidden="1">
      <c r="A3310" s="15">
        <v>45962.713727523151</v>
      </c>
      <c r="B3310" s="16">
        <v>45948</v>
      </c>
      <c r="C3310" s="2" t="s">
        <v>1269</v>
      </c>
      <c r="D3310" s="2" t="s">
        <v>45</v>
      </c>
      <c r="E3310" s="2">
        <v>550</v>
      </c>
      <c r="F3310" s="2" t="s">
        <v>102</v>
      </c>
      <c r="G3310" s="2" t="s">
        <v>136</v>
      </c>
      <c r="H3310" s="2" t="s">
        <v>35</v>
      </c>
    </row>
    <row r="3311" spans="1:8" ht="13" hidden="1">
      <c r="A3311" s="15">
        <v>45962.714277916668</v>
      </c>
      <c r="B3311" s="16">
        <v>45948</v>
      </c>
      <c r="C3311" s="2" t="s">
        <v>779</v>
      </c>
      <c r="D3311" s="2" t="s">
        <v>45</v>
      </c>
      <c r="E3311" s="2">
        <v>760</v>
      </c>
      <c r="F3311" s="2" t="s">
        <v>102</v>
      </c>
      <c r="G3311" s="2" t="s">
        <v>285</v>
      </c>
      <c r="H3311" s="2" t="s">
        <v>35</v>
      </c>
    </row>
    <row r="3312" spans="1:8" ht="13" hidden="1">
      <c r="A3312" s="15">
        <v>45962.714775069442</v>
      </c>
      <c r="B3312" s="16">
        <v>45948</v>
      </c>
      <c r="C3312" s="2" t="s">
        <v>928</v>
      </c>
      <c r="D3312" s="2" t="s">
        <v>39</v>
      </c>
      <c r="E3312" s="2">
        <v>6226</v>
      </c>
      <c r="F3312" s="2" t="s">
        <v>102</v>
      </c>
      <c r="G3312" s="2" t="s">
        <v>1270</v>
      </c>
      <c r="H3312" s="2" t="s">
        <v>35</v>
      </c>
    </row>
    <row r="3313" spans="1:8" ht="13" hidden="1">
      <c r="A3313" s="15">
        <v>45962.715218796293</v>
      </c>
      <c r="B3313" s="16">
        <v>45948</v>
      </c>
      <c r="C3313" s="2" t="s">
        <v>1100</v>
      </c>
      <c r="D3313" s="2" t="s">
        <v>38</v>
      </c>
      <c r="E3313" s="2">
        <v>119</v>
      </c>
      <c r="F3313" s="2" t="s">
        <v>102</v>
      </c>
      <c r="G3313" s="2" t="s">
        <v>103</v>
      </c>
      <c r="H3313" s="2" t="s">
        <v>35</v>
      </c>
    </row>
    <row r="3314" spans="1:8" ht="13" hidden="1">
      <c r="A3314" s="15">
        <v>45964.793046631945</v>
      </c>
      <c r="B3314" s="16">
        <v>45948</v>
      </c>
      <c r="C3314" s="2" t="s">
        <v>1271</v>
      </c>
      <c r="D3314" s="2" t="s">
        <v>40</v>
      </c>
      <c r="E3314" s="2">
        <v>1280</v>
      </c>
      <c r="F3314" s="2" t="s">
        <v>100</v>
      </c>
      <c r="H3314" s="2" t="s">
        <v>35</v>
      </c>
    </row>
    <row r="3315" spans="1:8" ht="13" hidden="1">
      <c r="A3315" s="15">
        <v>45964.793807743059</v>
      </c>
      <c r="B3315" s="16">
        <v>45948</v>
      </c>
      <c r="C3315" s="2" t="s">
        <v>350</v>
      </c>
      <c r="D3315" s="2" t="s">
        <v>40</v>
      </c>
      <c r="E3315" s="2">
        <v>1000</v>
      </c>
      <c r="F3315" s="2" t="s">
        <v>100</v>
      </c>
      <c r="H3315" s="2" t="s">
        <v>35</v>
      </c>
    </row>
    <row r="3316" spans="1:8" ht="13" hidden="1">
      <c r="A3316" s="15">
        <v>45964.79417543982</v>
      </c>
      <c r="B3316" s="16">
        <v>45948</v>
      </c>
      <c r="C3316" s="2" t="s">
        <v>116</v>
      </c>
      <c r="D3316" s="2" t="s">
        <v>38</v>
      </c>
      <c r="E3316" s="2">
        <v>1770</v>
      </c>
      <c r="F3316" s="2" t="s">
        <v>102</v>
      </c>
      <c r="G3316" s="2" t="s">
        <v>652</v>
      </c>
      <c r="H3316" s="2" t="s">
        <v>35</v>
      </c>
    </row>
    <row r="3317" spans="1:8" ht="13" hidden="1">
      <c r="A3317" s="15">
        <v>45962.715859756943</v>
      </c>
      <c r="B3317" s="16">
        <v>45949</v>
      </c>
      <c r="C3317" s="2" t="s">
        <v>1135</v>
      </c>
      <c r="D3317" s="2" t="s">
        <v>38</v>
      </c>
      <c r="E3317" s="2">
        <v>535</v>
      </c>
      <c r="F3317" s="2" t="s">
        <v>102</v>
      </c>
      <c r="G3317" s="2" t="s">
        <v>356</v>
      </c>
      <c r="H3317" s="2" t="s">
        <v>35</v>
      </c>
    </row>
    <row r="3318" spans="1:8" ht="13" hidden="1">
      <c r="A3318" s="15">
        <v>45964.779543946759</v>
      </c>
      <c r="B3318" s="16">
        <v>45949</v>
      </c>
      <c r="C3318" s="2" t="s">
        <v>1272</v>
      </c>
      <c r="E3318" s="2">
        <v>3975</v>
      </c>
      <c r="H3318" s="2" t="s">
        <v>34</v>
      </c>
    </row>
    <row r="3319" spans="1:8" ht="13" hidden="1">
      <c r="A3319" s="15">
        <v>45962.726750636575</v>
      </c>
      <c r="B3319" s="16">
        <v>45950</v>
      </c>
      <c r="C3319" s="2" t="s">
        <v>106</v>
      </c>
      <c r="D3319" s="2" t="s">
        <v>38</v>
      </c>
      <c r="E3319" s="2">
        <v>1300</v>
      </c>
      <c r="F3319" s="2" t="s">
        <v>102</v>
      </c>
      <c r="G3319" s="2" t="s">
        <v>952</v>
      </c>
      <c r="H3319" s="2" t="s">
        <v>35</v>
      </c>
    </row>
    <row r="3320" spans="1:8" ht="13" hidden="1">
      <c r="A3320" s="15">
        <v>45964.794480787037</v>
      </c>
      <c r="B3320" s="16">
        <v>45950</v>
      </c>
      <c r="C3320" s="2" t="s">
        <v>308</v>
      </c>
      <c r="D3320" s="2" t="s">
        <v>40</v>
      </c>
      <c r="E3320" s="2">
        <v>13690</v>
      </c>
      <c r="F3320" s="2" t="s">
        <v>100</v>
      </c>
      <c r="H3320" s="2" t="s">
        <v>35</v>
      </c>
    </row>
    <row r="3321" spans="1:8" ht="13" hidden="1">
      <c r="A3321" s="15">
        <v>45964.794959062499</v>
      </c>
      <c r="B3321" s="16">
        <v>45950</v>
      </c>
      <c r="C3321" s="2" t="s">
        <v>24</v>
      </c>
      <c r="D3321" s="2" t="s">
        <v>49</v>
      </c>
      <c r="E3321" s="2">
        <v>1100</v>
      </c>
      <c r="F3321" s="2" t="s">
        <v>100</v>
      </c>
      <c r="H3321" s="2" t="s">
        <v>35</v>
      </c>
    </row>
    <row r="3322" spans="1:8" ht="13" hidden="1">
      <c r="A3322" s="15">
        <v>45964.795220509259</v>
      </c>
      <c r="B3322" s="16">
        <v>45950</v>
      </c>
      <c r="C3322" s="2" t="s">
        <v>17</v>
      </c>
      <c r="D3322" s="2" t="s">
        <v>45</v>
      </c>
      <c r="E3322" s="2">
        <v>8140</v>
      </c>
      <c r="F3322" s="2" t="s">
        <v>100</v>
      </c>
      <c r="H3322" s="2" t="s">
        <v>35</v>
      </c>
    </row>
    <row r="3323" spans="1:8" ht="13" hidden="1">
      <c r="A3323" s="15">
        <v>45964.795475231484</v>
      </c>
      <c r="B3323" s="16">
        <v>45950</v>
      </c>
      <c r="C3323" s="2" t="s">
        <v>240</v>
      </c>
      <c r="D3323" s="2" t="s">
        <v>42</v>
      </c>
      <c r="E3323" s="2">
        <v>990</v>
      </c>
      <c r="F3323" s="2" t="s">
        <v>100</v>
      </c>
      <c r="H3323" s="2" t="s">
        <v>35</v>
      </c>
    </row>
    <row r="3324" spans="1:8" ht="13" hidden="1">
      <c r="A3324" s="15">
        <v>45962.727256238424</v>
      </c>
      <c r="B3324" s="16">
        <v>45951</v>
      </c>
      <c r="C3324" s="2" t="s">
        <v>106</v>
      </c>
      <c r="D3324" s="2" t="s">
        <v>38</v>
      </c>
      <c r="E3324" s="2">
        <v>1300</v>
      </c>
      <c r="F3324" s="2" t="s">
        <v>102</v>
      </c>
      <c r="G3324" s="2" t="s">
        <v>1047</v>
      </c>
      <c r="H3324" s="2" t="s">
        <v>35</v>
      </c>
    </row>
    <row r="3325" spans="1:8" ht="13" hidden="1">
      <c r="A3325" s="15">
        <v>45962.7162846875</v>
      </c>
      <c r="B3325" s="16">
        <v>45952</v>
      </c>
      <c r="C3325" s="2" t="s">
        <v>106</v>
      </c>
      <c r="D3325" s="2" t="s">
        <v>38</v>
      </c>
      <c r="E3325" s="2">
        <v>999</v>
      </c>
      <c r="F3325" s="2" t="s">
        <v>102</v>
      </c>
      <c r="G3325" s="2" t="s">
        <v>1155</v>
      </c>
      <c r="H3325" s="2" t="s">
        <v>35</v>
      </c>
    </row>
    <row r="3326" spans="1:8" ht="13" hidden="1">
      <c r="A3326" s="15">
        <v>45962.716626493057</v>
      </c>
      <c r="B3326" s="16">
        <v>45952</v>
      </c>
      <c r="C3326" s="2" t="s">
        <v>1240</v>
      </c>
      <c r="D3326" s="2" t="s">
        <v>39</v>
      </c>
      <c r="E3326" s="2">
        <v>1300</v>
      </c>
      <c r="F3326" s="2" t="s">
        <v>102</v>
      </c>
      <c r="H3326" s="2" t="s">
        <v>35</v>
      </c>
    </row>
    <row r="3327" spans="1:8" ht="13" hidden="1">
      <c r="A3327" s="15">
        <v>45964.795967731479</v>
      </c>
      <c r="B3327" s="16">
        <v>45952</v>
      </c>
      <c r="C3327" s="2" t="s">
        <v>277</v>
      </c>
      <c r="D3327" s="2" t="s">
        <v>46</v>
      </c>
      <c r="E3327" s="2">
        <v>880</v>
      </c>
      <c r="F3327" s="2" t="s">
        <v>100</v>
      </c>
      <c r="G3327" s="2" t="s">
        <v>129</v>
      </c>
      <c r="H3327" s="2" t="s">
        <v>35</v>
      </c>
    </row>
    <row r="3328" spans="1:8" ht="13" hidden="1">
      <c r="A3328" s="15">
        <v>45964.796334340281</v>
      </c>
      <c r="B3328" s="16">
        <v>45952</v>
      </c>
      <c r="C3328" s="2" t="s">
        <v>116</v>
      </c>
      <c r="D3328" s="2" t="s">
        <v>38</v>
      </c>
      <c r="E3328" s="2">
        <v>1730</v>
      </c>
      <c r="F3328" s="2" t="s">
        <v>100</v>
      </c>
      <c r="G3328" s="2" t="s">
        <v>652</v>
      </c>
      <c r="H3328" s="2" t="s">
        <v>35</v>
      </c>
    </row>
    <row r="3329" spans="1:8" ht="13" hidden="1">
      <c r="A3329" s="15">
        <v>45962.717023622681</v>
      </c>
      <c r="B3329" s="16">
        <v>45953</v>
      </c>
      <c r="C3329" s="2" t="s">
        <v>106</v>
      </c>
      <c r="D3329" s="2" t="s">
        <v>38</v>
      </c>
      <c r="E3329" s="2">
        <v>617</v>
      </c>
      <c r="F3329" s="2" t="s">
        <v>102</v>
      </c>
      <c r="G3329" s="2" t="s">
        <v>103</v>
      </c>
      <c r="H3329" s="2" t="s">
        <v>35</v>
      </c>
    </row>
    <row r="3330" spans="1:8" ht="13" hidden="1">
      <c r="A3330" s="15">
        <v>45962.717299548611</v>
      </c>
      <c r="B3330" s="16">
        <v>45953</v>
      </c>
      <c r="C3330" s="2" t="s">
        <v>1273</v>
      </c>
      <c r="D3330" s="2" t="s">
        <v>45</v>
      </c>
      <c r="E3330" s="2">
        <v>1540</v>
      </c>
      <c r="F3330" s="2" t="s">
        <v>102</v>
      </c>
      <c r="G3330" s="2" t="s">
        <v>346</v>
      </c>
      <c r="H3330" s="2" t="s">
        <v>35</v>
      </c>
    </row>
    <row r="3331" spans="1:8" ht="13" hidden="1">
      <c r="A3331" s="15">
        <v>45944.846971006948</v>
      </c>
      <c r="B3331" s="16">
        <v>45954</v>
      </c>
      <c r="C3331" s="2" t="s">
        <v>790</v>
      </c>
      <c r="E3331" s="14">
        <v>375775</v>
      </c>
      <c r="H3331" s="2" t="s">
        <v>34</v>
      </c>
    </row>
    <row r="3332" spans="1:8" ht="13" hidden="1">
      <c r="A3332" s="15">
        <v>45944.847618530097</v>
      </c>
      <c r="B3332" s="16">
        <v>45954</v>
      </c>
      <c r="C3332" s="2" t="s">
        <v>11</v>
      </c>
      <c r="D3332" s="2" t="s">
        <v>47</v>
      </c>
      <c r="E3332" s="2">
        <v>40000</v>
      </c>
      <c r="F3332" s="2" t="s">
        <v>102</v>
      </c>
      <c r="H3332" s="2" t="s">
        <v>35</v>
      </c>
    </row>
    <row r="3333" spans="1:8" ht="13" hidden="1">
      <c r="A3333" s="15">
        <v>45962.717587662039</v>
      </c>
      <c r="B3333" s="16">
        <v>45954</v>
      </c>
      <c r="C3333" s="2" t="s">
        <v>106</v>
      </c>
      <c r="D3333" s="2" t="s">
        <v>38</v>
      </c>
      <c r="E3333" s="2">
        <v>900</v>
      </c>
      <c r="F3333" s="2" t="s">
        <v>102</v>
      </c>
      <c r="G3333" s="2" t="s">
        <v>1095</v>
      </c>
      <c r="H3333" s="2" t="s">
        <v>35</v>
      </c>
    </row>
    <row r="3334" spans="1:8" ht="13" hidden="1">
      <c r="A3334" s="15">
        <v>45962.717956898152</v>
      </c>
      <c r="B3334" s="16">
        <v>45954</v>
      </c>
      <c r="C3334" s="2" t="s">
        <v>112</v>
      </c>
      <c r="D3334" s="2" t="s">
        <v>38</v>
      </c>
      <c r="E3334" s="2">
        <v>140</v>
      </c>
      <c r="F3334" s="2" t="s">
        <v>102</v>
      </c>
      <c r="G3334" s="2" t="s">
        <v>103</v>
      </c>
      <c r="H3334" s="2" t="s">
        <v>35</v>
      </c>
    </row>
    <row r="3335" spans="1:8" ht="13" hidden="1">
      <c r="A3335" s="15">
        <v>45964.796741724538</v>
      </c>
      <c r="B3335" s="16">
        <v>45954</v>
      </c>
      <c r="C3335" s="2" t="s">
        <v>350</v>
      </c>
      <c r="D3335" s="2" t="s">
        <v>40</v>
      </c>
      <c r="E3335" s="2">
        <v>1000</v>
      </c>
      <c r="F3335" s="2" t="s">
        <v>100</v>
      </c>
      <c r="H3335" s="2" t="s">
        <v>35</v>
      </c>
    </row>
    <row r="3336" spans="1:8" ht="13" hidden="1">
      <c r="A3336" s="15">
        <v>45964.797186689815</v>
      </c>
      <c r="B3336" s="16">
        <v>45954</v>
      </c>
      <c r="C3336" s="2" t="s">
        <v>1274</v>
      </c>
      <c r="D3336" s="2" t="s">
        <v>45</v>
      </c>
      <c r="E3336" s="2">
        <v>2743</v>
      </c>
      <c r="F3336" s="2" t="s">
        <v>100</v>
      </c>
      <c r="G3336" s="2" t="s">
        <v>129</v>
      </c>
      <c r="H3336" s="2" t="s">
        <v>35</v>
      </c>
    </row>
    <row r="3337" spans="1:8" ht="13" hidden="1">
      <c r="A3337" s="15">
        <v>45962.718398715282</v>
      </c>
      <c r="B3337" s="16">
        <v>45955</v>
      </c>
      <c r="C3337" s="2" t="s">
        <v>830</v>
      </c>
      <c r="D3337" s="2" t="s">
        <v>38</v>
      </c>
      <c r="E3337" s="2">
        <v>600</v>
      </c>
      <c r="F3337" s="2" t="s">
        <v>102</v>
      </c>
      <c r="G3337" s="2" t="s">
        <v>667</v>
      </c>
      <c r="H3337" s="2" t="s">
        <v>35</v>
      </c>
    </row>
    <row r="3338" spans="1:8" ht="13" hidden="1">
      <c r="A3338" s="15">
        <v>45962.718850555553</v>
      </c>
      <c r="B3338" s="16">
        <v>45955</v>
      </c>
      <c r="C3338" s="2" t="s">
        <v>1275</v>
      </c>
      <c r="D3338" s="2" t="s">
        <v>45</v>
      </c>
      <c r="E3338" s="2">
        <v>110</v>
      </c>
      <c r="F3338" s="2" t="s">
        <v>102</v>
      </c>
      <c r="G3338" s="2" t="s">
        <v>136</v>
      </c>
      <c r="H3338" s="2" t="s">
        <v>35</v>
      </c>
    </row>
    <row r="3339" spans="1:8" ht="13" hidden="1">
      <c r="A3339" s="15">
        <v>45962.719219270832</v>
      </c>
      <c r="B3339" s="16">
        <v>45955</v>
      </c>
      <c r="C3339" s="2" t="s">
        <v>1276</v>
      </c>
      <c r="D3339" s="2" t="s">
        <v>38</v>
      </c>
      <c r="E3339" s="2">
        <v>1095</v>
      </c>
      <c r="F3339" s="2" t="s">
        <v>102</v>
      </c>
      <c r="G3339" s="2" t="s">
        <v>661</v>
      </c>
      <c r="H3339" s="2" t="s">
        <v>35</v>
      </c>
    </row>
    <row r="3340" spans="1:8" ht="13" hidden="1">
      <c r="A3340" s="15">
        <v>45964.797431574072</v>
      </c>
      <c r="B3340" s="16">
        <v>45955</v>
      </c>
      <c r="C3340" s="2" t="s">
        <v>240</v>
      </c>
      <c r="D3340" s="2" t="s">
        <v>42</v>
      </c>
      <c r="E3340" s="2">
        <v>990</v>
      </c>
      <c r="F3340" s="2" t="s">
        <v>100</v>
      </c>
      <c r="H3340" s="2" t="s">
        <v>35</v>
      </c>
    </row>
    <row r="3341" spans="1:8" ht="13" hidden="1">
      <c r="A3341" s="15">
        <v>45962.719892476853</v>
      </c>
      <c r="B3341" s="16">
        <v>45956</v>
      </c>
      <c r="C3341" s="2" t="s">
        <v>1277</v>
      </c>
      <c r="D3341" s="2" t="s">
        <v>45</v>
      </c>
      <c r="E3341" s="2">
        <v>2849</v>
      </c>
      <c r="F3341" s="2" t="s">
        <v>102</v>
      </c>
      <c r="G3341" s="2" t="s">
        <v>1278</v>
      </c>
      <c r="H3341" s="2" t="s">
        <v>35</v>
      </c>
    </row>
    <row r="3342" spans="1:8" ht="13" hidden="1">
      <c r="A3342" s="15">
        <v>45962.720185983795</v>
      </c>
      <c r="B3342" s="16">
        <v>45956</v>
      </c>
      <c r="C3342" s="2" t="s">
        <v>1275</v>
      </c>
      <c r="D3342" s="2" t="s">
        <v>45</v>
      </c>
      <c r="E3342" s="2">
        <v>220</v>
      </c>
      <c r="F3342" s="2" t="s">
        <v>102</v>
      </c>
      <c r="G3342" s="2" t="s">
        <v>188</v>
      </c>
      <c r="H3342" s="2" t="s">
        <v>35</v>
      </c>
    </row>
    <row r="3343" spans="1:8" ht="13" hidden="1">
      <c r="A3343" s="15">
        <v>45962.720500185183</v>
      </c>
      <c r="B3343" s="16">
        <v>45956</v>
      </c>
      <c r="C3343" s="2" t="s">
        <v>533</v>
      </c>
      <c r="D3343" s="2" t="s">
        <v>46</v>
      </c>
      <c r="E3343" s="2">
        <v>1311</v>
      </c>
      <c r="F3343" s="2" t="s">
        <v>102</v>
      </c>
      <c r="G3343" s="2" t="s">
        <v>1279</v>
      </c>
      <c r="H3343" s="2" t="s">
        <v>35</v>
      </c>
    </row>
    <row r="3344" spans="1:8" ht="13" hidden="1">
      <c r="A3344" s="15">
        <v>45964.797755150459</v>
      </c>
      <c r="B3344" s="16">
        <v>45956</v>
      </c>
      <c r="C3344" s="2" t="s">
        <v>350</v>
      </c>
      <c r="D3344" s="2" t="s">
        <v>40</v>
      </c>
      <c r="E3344" s="2">
        <v>1000</v>
      </c>
      <c r="F3344" s="2" t="s">
        <v>100</v>
      </c>
      <c r="H3344" s="2" t="s">
        <v>35</v>
      </c>
    </row>
    <row r="3345" spans="1:8" ht="13" hidden="1">
      <c r="A3345" s="15">
        <v>45964.798143784719</v>
      </c>
      <c r="B3345" s="16">
        <v>45956</v>
      </c>
      <c r="C3345" s="2" t="s">
        <v>116</v>
      </c>
      <c r="D3345" s="2" t="s">
        <v>38</v>
      </c>
      <c r="E3345" s="2">
        <v>2079</v>
      </c>
      <c r="F3345" s="2" t="s">
        <v>100</v>
      </c>
      <c r="G3345" s="2" t="s">
        <v>652</v>
      </c>
      <c r="H3345" s="2" t="s">
        <v>35</v>
      </c>
    </row>
    <row r="3346" spans="1:8" ht="13" hidden="1">
      <c r="A3346" s="15">
        <v>45944.847221504635</v>
      </c>
      <c r="B3346" s="16">
        <v>45957</v>
      </c>
      <c r="C3346" s="2" t="s">
        <v>146</v>
      </c>
      <c r="D3346" s="2" t="s">
        <v>47</v>
      </c>
      <c r="E3346" s="2">
        <v>3400</v>
      </c>
      <c r="F3346" s="2" t="s">
        <v>102</v>
      </c>
      <c r="H3346" s="2" t="s">
        <v>35</v>
      </c>
    </row>
    <row r="3347" spans="1:8" ht="13" hidden="1">
      <c r="A3347" s="15">
        <v>45944.847987233792</v>
      </c>
      <c r="B3347" s="16">
        <v>45957</v>
      </c>
      <c r="C3347" s="2" t="s">
        <v>1280</v>
      </c>
      <c r="D3347" s="2" t="s">
        <v>5</v>
      </c>
      <c r="E3347" s="2">
        <v>93000</v>
      </c>
      <c r="F3347" s="2" t="s">
        <v>102</v>
      </c>
      <c r="H3347" s="2" t="s">
        <v>35</v>
      </c>
    </row>
    <row r="3348" spans="1:8" ht="13" hidden="1">
      <c r="A3348" s="15">
        <v>45944.848358680552</v>
      </c>
      <c r="B3348" s="16">
        <v>45957</v>
      </c>
      <c r="C3348" s="2" t="s">
        <v>408</v>
      </c>
      <c r="D3348" s="2" t="s">
        <v>152</v>
      </c>
      <c r="E3348" s="2">
        <v>15000</v>
      </c>
      <c r="F3348" s="2" t="s">
        <v>102</v>
      </c>
      <c r="H3348" s="2" t="s">
        <v>35</v>
      </c>
    </row>
    <row r="3349" spans="1:8" ht="13" hidden="1">
      <c r="A3349" s="15">
        <v>45944.848646539351</v>
      </c>
      <c r="B3349" s="16">
        <v>45957</v>
      </c>
      <c r="C3349" s="2" t="s">
        <v>133</v>
      </c>
      <c r="D3349" s="2" t="s">
        <v>47</v>
      </c>
      <c r="E3349" s="2">
        <v>24000</v>
      </c>
      <c r="F3349" s="2" t="s">
        <v>102</v>
      </c>
      <c r="H3349" s="2" t="s">
        <v>35</v>
      </c>
    </row>
    <row r="3350" spans="1:8" ht="13" hidden="1">
      <c r="A3350" s="15">
        <v>45944.848917731477</v>
      </c>
      <c r="B3350" s="16">
        <v>45957</v>
      </c>
      <c r="C3350" s="2" t="s">
        <v>9</v>
      </c>
      <c r="D3350" s="2" t="s">
        <v>47</v>
      </c>
      <c r="E3350" s="2">
        <v>13600</v>
      </c>
      <c r="F3350" s="2" t="s">
        <v>102</v>
      </c>
      <c r="H3350" s="2" t="s">
        <v>35</v>
      </c>
    </row>
    <row r="3351" spans="1:8" ht="13" hidden="1">
      <c r="A3351" s="15">
        <v>45962.720838773152</v>
      </c>
      <c r="B3351" s="16">
        <v>45957</v>
      </c>
      <c r="C3351" s="2" t="s">
        <v>106</v>
      </c>
      <c r="D3351" s="2" t="s">
        <v>38</v>
      </c>
      <c r="E3351" s="2">
        <v>1100</v>
      </c>
      <c r="F3351" s="2" t="s">
        <v>102</v>
      </c>
      <c r="G3351" s="2" t="s">
        <v>957</v>
      </c>
      <c r="H3351" s="2" t="s">
        <v>35</v>
      </c>
    </row>
    <row r="3352" spans="1:8" ht="13" hidden="1">
      <c r="A3352" s="15">
        <v>45964.798432615746</v>
      </c>
      <c r="B3352" s="16">
        <v>45957</v>
      </c>
      <c r="C3352" s="2" t="s">
        <v>499</v>
      </c>
      <c r="D3352" s="2" t="s">
        <v>38</v>
      </c>
      <c r="E3352" s="2">
        <v>3980</v>
      </c>
      <c r="F3352" s="2" t="s">
        <v>100</v>
      </c>
      <c r="G3352" s="2" t="s">
        <v>129</v>
      </c>
      <c r="H3352" s="2" t="s">
        <v>35</v>
      </c>
    </row>
    <row r="3353" spans="1:8" ht="13" hidden="1">
      <c r="A3353" s="15">
        <v>45964.798771909722</v>
      </c>
      <c r="B3353" s="16">
        <v>45957</v>
      </c>
      <c r="C3353" s="2" t="s">
        <v>555</v>
      </c>
      <c r="D3353" s="2" t="s">
        <v>39</v>
      </c>
      <c r="E3353" s="2">
        <v>1180</v>
      </c>
      <c r="F3353" s="2" t="s">
        <v>100</v>
      </c>
      <c r="H3353" s="2" t="s">
        <v>35</v>
      </c>
    </row>
    <row r="3354" spans="1:8" ht="13" hidden="1">
      <c r="A3354" s="15">
        <v>45964.799051377311</v>
      </c>
      <c r="B3354" s="16">
        <v>45957</v>
      </c>
      <c r="C3354" s="2" t="s">
        <v>350</v>
      </c>
      <c r="D3354" s="2" t="s">
        <v>40</v>
      </c>
      <c r="E3354" s="2">
        <v>1000</v>
      </c>
      <c r="F3354" s="2" t="s">
        <v>100</v>
      </c>
      <c r="H3354" s="2" t="s">
        <v>35</v>
      </c>
    </row>
    <row r="3355" spans="1:8" ht="13" hidden="1">
      <c r="A3355" s="15">
        <v>45962.72124752315</v>
      </c>
      <c r="B3355" s="16">
        <v>45958</v>
      </c>
      <c r="C3355" s="2" t="s">
        <v>1040</v>
      </c>
      <c r="D3355" s="2" t="s">
        <v>38</v>
      </c>
      <c r="E3355" s="2">
        <v>300</v>
      </c>
      <c r="F3355" s="2" t="s">
        <v>102</v>
      </c>
      <c r="G3355" s="2" t="s">
        <v>356</v>
      </c>
      <c r="H3355" s="2" t="s">
        <v>35</v>
      </c>
    </row>
    <row r="3356" spans="1:8" ht="13" hidden="1">
      <c r="A3356" s="15">
        <v>45962.721867800923</v>
      </c>
      <c r="B3356" s="16">
        <v>45959</v>
      </c>
      <c r="C3356" s="2" t="s">
        <v>112</v>
      </c>
      <c r="D3356" s="2" t="s">
        <v>38</v>
      </c>
      <c r="E3356" s="2">
        <v>170</v>
      </c>
      <c r="F3356" s="2" t="s">
        <v>102</v>
      </c>
      <c r="G3356" s="2" t="s">
        <v>356</v>
      </c>
      <c r="H3356" s="2" t="s">
        <v>35</v>
      </c>
    </row>
    <row r="3357" spans="1:8" ht="13" hidden="1">
      <c r="A3357" s="15">
        <v>45962.729347129629</v>
      </c>
      <c r="B3357" s="16">
        <v>45959</v>
      </c>
      <c r="C3357" s="2" t="s">
        <v>106</v>
      </c>
      <c r="D3357" s="2" t="s">
        <v>38</v>
      </c>
      <c r="E3357" s="2">
        <v>1400</v>
      </c>
      <c r="F3357" s="2" t="s">
        <v>102</v>
      </c>
      <c r="G3357" s="2" t="s">
        <v>965</v>
      </c>
      <c r="H3357" s="2" t="s">
        <v>35</v>
      </c>
    </row>
    <row r="3358" spans="1:8" ht="13" hidden="1">
      <c r="A3358" s="15">
        <v>45962.722349641204</v>
      </c>
      <c r="B3358" s="16">
        <v>45960</v>
      </c>
      <c r="C3358" s="2" t="s">
        <v>114</v>
      </c>
      <c r="D3358" s="2" t="s">
        <v>38</v>
      </c>
      <c r="E3358" s="2">
        <v>149</v>
      </c>
      <c r="F3358" s="2" t="s">
        <v>102</v>
      </c>
      <c r="G3358" s="2" t="s">
        <v>103</v>
      </c>
      <c r="H3358" s="2" t="s">
        <v>35</v>
      </c>
    </row>
    <row r="3359" spans="1:8" ht="13" hidden="1">
      <c r="A3359" s="15">
        <v>45962.722644074078</v>
      </c>
      <c r="B3359" s="16">
        <v>45960</v>
      </c>
      <c r="C3359" s="2" t="s">
        <v>287</v>
      </c>
      <c r="D3359" s="2" t="s">
        <v>38</v>
      </c>
      <c r="E3359" s="2">
        <v>560</v>
      </c>
      <c r="F3359" s="2" t="s">
        <v>102</v>
      </c>
      <c r="G3359" s="2" t="s">
        <v>199</v>
      </c>
      <c r="H3359" s="2" t="s">
        <v>35</v>
      </c>
    </row>
    <row r="3360" spans="1:8" ht="13" hidden="1">
      <c r="A3360" s="15">
        <v>45962.729817615742</v>
      </c>
      <c r="B3360" s="16">
        <v>45960</v>
      </c>
      <c r="C3360" s="2" t="s">
        <v>106</v>
      </c>
      <c r="D3360" s="2" t="s">
        <v>38</v>
      </c>
      <c r="E3360" s="2">
        <v>1200</v>
      </c>
      <c r="F3360" s="2" t="s">
        <v>102</v>
      </c>
      <c r="G3360" s="2" t="s">
        <v>1281</v>
      </c>
      <c r="H3360" s="2" t="s">
        <v>35</v>
      </c>
    </row>
    <row r="3361" spans="1:8" ht="13" hidden="1">
      <c r="A3361" s="15">
        <v>45962.723080208336</v>
      </c>
      <c r="B3361" s="16">
        <v>45961</v>
      </c>
      <c r="C3361" s="2" t="s">
        <v>106</v>
      </c>
      <c r="D3361" s="2" t="s">
        <v>38</v>
      </c>
      <c r="E3361" s="2">
        <v>1550</v>
      </c>
      <c r="F3361" s="2" t="s">
        <v>102</v>
      </c>
      <c r="G3361" s="2" t="s">
        <v>931</v>
      </c>
      <c r="H3361" s="2" t="s">
        <v>35</v>
      </c>
    </row>
    <row r="3362" spans="1:8" ht="13" hidden="1">
      <c r="A3362" s="15">
        <v>45962.723391354171</v>
      </c>
      <c r="B3362" s="16">
        <v>45961</v>
      </c>
      <c r="C3362" s="2" t="s">
        <v>112</v>
      </c>
      <c r="D3362" s="2" t="s">
        <v>38</v>
      </c>
      <c r="E3362" s="2">
        <v>280</v>
      </c>
      <c r="F3362" s="2" t="s">
        <v>102</v>
      </c>
      <c r="G3362" s="2" t="s">
        <v>113</v>
      </c>
      <c r="H3362" s="2" t="s">
        <v>35</v>
      </c>
    </row>
    <row r="3363" spans="1:8" ht="13" hidden="1">
      <c r="A3363" s="15">
        <v>45962.723749571756</v>
      </c>
      <c r="B3363" s="16">
        <v>45961</v>
      </c>
      <c r="C3363" s="2" t="s">
        <v>1130</v>
      </c>
      <c r="D3363" s="2" t="s">
        <v>38</v>
      </c>
      <c r="E3363" s="2">
        <v>345</v>
      </c>
      <c r="F3363" s="2" t="s">
        <v>102</v>
      </c>
      <c r="G3363" s="2" t="s">
        <v>356</v>
      </c>
      <c r="H3363" s="2" t="s">
        <v>35</v>
      </c>
    </row>
    <row r="3364" spans="1:8" ht="13" hidden="1">
      <c r="A3364" s="15">
        <v>45962.724048460645</v>
      </c>
      <c r="B3364" s="16">
        <v>45962</v>
      </c>
      <c r="C3364" s="2" t="s">
        <v>601</v>
      </c>
      <c r="D3364" s="2" t="s">
        <v>38</v>
      </c>
      <c r="E3364" s="2">
        <v>162</v>
      </c>
      <c r="F3364" s="2" t="s">
        <v>102</v>
      </c>
      <c r="G3364" s="2" t="s">
        <v>356</v>
      </c>
      <c r="H3364" s="2" t="s">
        <v>35</v>
      </c>
    </row>
    <row r="3365" spans="1:8" ht="13" hidden="1">
      <c r="A3365" s="15">
        <v>45962.724606111107</v>
      </c>
      <c r="B3365" s="16">
        <v>45962</v>
      </c>
      <c r="C3365" s="2" t="s">
        <v>183</v>
      </c>
      <c r="D3365" s="2" t="s">
        <v>46</v>
      </c>
      <c r="E3365" s="2">
        <v>1650</v>
      </c>
      <c r="F3365" s="2" t="s">
        <v>102</v>
      </c>
      <c r="G3365" s="2" t="s">
        <v>1282</v>
      </c>
      <c r="H3365" s="2" t="s">
        <v>35</v>
      </c>
    </row>
    <row r="3366" spans="1:8" ht="13" hidden="1">
      <c r="A3366" s="15">
        <v>45962.724843888893</v>
      </c>
      <c r="B3366" s="16">
        <v>45962</v>
      </c>
      <c r="C3366" s="2" t="s">
        <v>436</v>
      </c>
      <c r="D3366" s="2" t="s">
        <v>38</v>
      </c>
      <c r="E3366" s="2">
        <v>194</v>
      </c>
      <c r="F3366" s="2" t="s">
        <v>102</v>
      </c>
      <c r="G3366" s="2" t="s">
        <v>356</v>
      </c>
      <c r="H3366" s="2" t="s">
        <v>35</v>
      </c>
    </row>
    <row r="3367" spans="1:8" ht="13" hidden="1">
      <c r="A3367" s="15">
        <v>45964.779884722222</v>
      </c>
      <c r="B3367" s="16">
        <v>45962</v>
      </c>
      <c r="C3367" s="2" t="s">
        <v>719</v>
      </c>
      <c r="D3367" s="2" t="s">
        <v>45</v>
      </c>
      <c r="E3367" s="2">
        <v>838</v>
      </c>
      <c r="F3367" s="2" t="s">
        <v>102</v>
      </c>
      <c r="G3367" s="2" t="s">
        <v>285</v>
      </c>
      <c r="H3367" s="2" t="s">
        <v>35</v>
      </c>
    </row>
    <row r="3368" spans="1:8" ht="13" hidden="1">
      <c r="A3368" s="15">
        <v>45964.780157800924</v>
      </c>
      <c r="B3368" s="16">
        <v>45962</v>
      </c>
      <c r="C3368" s="2" t="s">
        <v>436</v>
      </c>
      <c r="D3368" s="2" t="s">
        <v>38</v>
      </c>
      <c r="E3368" s="2">
        <v>160</v>
      </c>
      <c r="F3368" s="2" t="s">
        <v>102</v>
      </c>
      <c r="G3368" s="2" t="s">
        <v>356</v>
      </c>
      <c r="H3368" s="2" t="s">
        <v>35</v>
      </c>
    </row>
    <row r="3369" spans="1:8" ht="13" hidden="1">
      <c r="A3369" s="15">
        <v>45964.782886956018</v>
      </c>
      <c r="B3369" s="16">
        <v>45962</v>
      </c>
      <c r="C3369" s="2" t="s">
        <v>575</v>
      </c>
      <c r="E3369" s="2">
        <v>5250</v>
      </c>
      <c r="H3369" s="2" t="s">
        <v>34</v>
      </c>
    </row>
    <row r="3370" spans="1:8" ht="13" hidden="1">
      <c r="A3370" s="15">
        <v>45964.783199004625</v>
      </c>
      <c r="B3370" s="16">
        <v>45962</v>
      </c>
      <c r="C3370" s="2" t="s">
        <v>1283</v>
      </c>
      <c r="D3370" s="2" t="s">
        <v>39</v>
      </c>
      <c r="E3370" s="2">
        <v>1900</v>
      </c>
      <c r="F3370" s="2" t="s">
        <v>102</v>
      </c>
      <c r="H3370" s="2" t="s">
        <v>35</v>
      </c>
    </row>
    <row r="3371" spans="1:8" ht="13" hidden="1">
      <c r="A3371" s="15">
        <v>45964.784320555555</v>
      </c>
      <c r="B3371" s="16">
        <v>45962</v>
      </c>
      <c r="C3371" s="2" t="s">
        <v>294</v>
      </c>
      <c r="D3371" s="2" t="s">
        <v>39</v>
      </c>
      <c r="E3371" s="2">
        <v>750</v>
      </c>
      <c r="F3371" s="2" t="s">
        <v>102</v>
      </c>
      <c r="H3371" s="2" t="s">
        <v>35</v>
      </c>
    </row>
    <row r="3372" spans="1:8" ht="13" hidden="1">
      <c r="A3372" s="15">
        <v>45964.78086053241</v>
      </c>
      <c r="B3372" s="16">
        <v>45963</v>
      </c>
      <c r="C3372" s="2" t="s">
        <v>727</v>
      </c>
      <c r="D3372" s="2" t="s">
        <v>45</v>
      </c>
      <c r="E3372" s="2">
        <v>1120</v>
      </c>
      <c r="F3372" s="2" t="s">
        <v>102</v>
      </c>
      <c r="G3372" s="2" t="s">
        <v>285</v>
      </c>
      <c r="H3372" s="2" t="s">
        <v>35</v>
      </c>
    </row>
    <row r="3373" spans="1:8" ht="13" hidden="1">
      <c r="A3373" s="15">
        <v>45964.781270162042</v>
      </c>
      <c r="B3373" s="16">
        <v>45963</v>
      </c>
      <c r="C3373" s="2" t="s">
        <v>1284</v>
      </c>
      <c r="D3373" s="2" t="s">
        <v>45</v>
      </c>
      <c r="E3373" s="2">
        <v>220</v>
      </c>
      <c r="F3373" s="2" t="s">
        <v>102</v>
      </c>
      <c r="G3373" s="2" t="s">
        <v>136</v>
      </c>
      <c r="H3373" s="2" t="s">
        <v>35</v>
      </c>
    </row>
    <row r="3374" spans="1:8" ht="13" hidden="1">
      <c r="A3374" s="15">
        <v>45964.781569085651</v>
      </c>
      <c r="B3374" s="16">
        <v>45963</v>
      </c>
      <c r="C3374" s="2" t="s">
        <v>1285</v>
      </c>
      <c r="D3374" s="2" t="s">
        <v>38</v>
      </c>
      <c r="E3374" s="2">
        <v>600</v>
      </c>
      <c r="F3374" s="2" t="s">
        <v>102</v>
      </c>
      <c r="G3374" s="2" t="s">
        <v>103</v>
      </c>
      <c r="H3374" s="2" t="s">
        <v>35</v>
      </c>
    </row>
    <row r="3375" spans="1:8" ht="13" hidden="1">
      <c r="A3375" s="15">
        <v>45964.783560034717</v>
      </c>
      <c r="B3375" s="16">
        <v>45963</v>
      </c>
      <c r="C3375" s="2" t="s">
        <v>1286</v>
      </c>
      <c r="E3375" s="2">
        <v>1189</v>
      </c>
      <c r="H3375" s="2" t="s">
        <v>34</v>
      </c>
    </row>
    <row r="3376" spans="1:8" ht="13" hidden="1">
      <c r="A3376" s="15">
        <v>45964.783805393519</v>
      </c>
      <c r="B3376" s="16">
        <v>45964</v>
      </c>
      <c r="C3376" s="2" t="s">
        <v>1287</v>
      </c>
      <c r="D3376" s="2" t="s">
        <v>38</v>
      </c>
      <c r="E3376" s="2">
        <v>688</v>
      </c>
      <c r="F3376" s="2" t="s">
        <v>102</v>
      </c>
      <c r="G3376" s="2" t="s">
        <v>356</v>
      </c>
      <c r="H3376" s="2" t="s">
        <v>35</v>
      </c>
    </row>
    <row r="3377" spans="1:8" ht="13" hidden="1">
      <c r="A3377" s="15">
        <v>45973.483066076384</v>
      </c>
      <c r="B3377" s="16">
        <v>45965</v>
      </c>
      <c r="C3377" s="2" t="s">
        <v>106</v>
      </c>
      <c r="D3377" s="2" t="s">
        <v>38</v>
      </c>
      <c r="E3377" s="2">
        <v>1400</v>
      </c>
      <c r="F3377" s="2" t="s">
        <v>102</v>
      </c>
      <c r="G3377" s="2" t="s">
        <v>1288</v>
      </c>
      <c r="H3377" s="2" t="s">
        <v>35</v>
      </c>
    </row>
    <row r="3378" spans="1:8" ht="13" hidden="1">
      <c r="A3378" s="15">
        <v>45973.487033518519</v>
      </c>
      <c r="B3378" s="16">
        <v>45966</v>
      </c>
      <c r="C3378" s="2" t="s">
        <v>1289</v>
      </c>
      <c r="D3378" s="2" t="s">
        <v>38</v>
      </c>
      <c r="E3378" s="2">
        <v>531</v>
      </c>
      <c r="F3378" s="2" t="s">
        <v>102</v>
      </c>
      <c r="G3378" s="2" t="s">
        <v>356</v>
      </c>
      <c r="H3378" s="2" t="s">
        <v>35</v>
      </c>
    </row>
    <row r="3379" spans="1:8" ht="13" hidden="1">
      <c r="A3379" s="15">
        <v>45973.483418703705</v>
      </c>
      <c r="B3379" s="16">
        <v>45967</v>
      </c>
      <c r="C3379" s="2" t="s">
        <v>106</v>
      </c>
      <c r="D3379" s="2" t="s">
        <v>38</v>
      </c>
      <c r="E3379" s="2">
        <v>1400</v>
      </c>
      <c r="F3379" s="2" t="s">
        <v>102</v>
      </c>
      <c r="G3379" s="2" t="s">
        <v>1288</v>
      </c>
      <c r="H3379" s="2" t="s">
        <v>35</v>
      </c>
    </row>
    <row r="3380" spans="1:8" ht="13" hidden="1">
      <c r="A3380" s="15">
        <v>45973.487714479168</v>
      </c>
      <c r="B3380" s="16">
        <v>45967</v>
      </c>
      <c r="C3380" s="2" t="s">
        <v>1290</v>
      </c>
      <c r="D3380" s="2" t="s">
        <v>45</v>
      </c>
      <c r="E3380" s="2">
        <v>220</v>
      </c>
      <c r="F3380" s="2" t="s">
        <v>102</v>
      </c>
      <c r="G3380" s="2" t="s">
        <v>136</v>
      </c>
      <c r="H3380" s="2" t="s">
        <v>35</v>
      </c>
    </row>
    <row r="3381" spans="1:8" ht="13" hidden="1">
      <c r="A3381" s="15">
        <v>45973.489804212964</v>
      </c>
      <c r="B3381" s="16">
        <v>45967</v>
      </c>
      <c r="C3381" s="2" t="s">
        <v>258</v>
      </c>
      <c r="E3381" s="2">
        <v>8040</v>
      </c>
      <c r="H3381" s="2" t="s">
        <v>34</v>
      </c>
    </row>
    <row r="3382" spans="1:8" ht="13" hidden="1">
      <c r="A3382" s="15">
        <v>45973.483661319449</v>
      </c>
      <c r="B3382" s="16">
        <v>45968</v>
      </c>
      <c r="C3382" s="2" t="s">
        <v>106</v>
      </c>
      <c r="D3382" s="2" t="s">
        <v>38</v>
      </c>
      <c r="E3382" s="2">
        <v>870</v>
      </c>
      <c r="F3382" s="2" t="s">
        <v>102</v>
      </c>
      <c r="G3382" s="2" t="s">
        <v>113</v>
      </c>
      <c r="H3382" s="2" t="s">
        <v>35</v>
      </c>
    </row>
    <row r="3383" spans="1:8" ht="13" hidden="1">
      <c r="A3383" s="15">
        <v>45973.484000023149</v>
      </c>
      <c r="B3383" s="16">
        <v>45968</v>
      </c>
      <c r="C3383" s="2" t="s">
        <v>1291</v>
      </c>
      <c r="D3383" s="2" t="s">
        <v>38</v>
      </c>
      <c r="E3383" s="2">
        <v>323</v>
      </c>
      <c r="F3383" s="2" t="s">
        <v>102</v>
      </c>
      <c r="G3383" s="2" t="s">
        <v>356</v>
      </c>
      <c r="H3383" s="2" t="s">
        <v>35</v>
      </c>
    </row>
    <row r="3384" spans="1:8" ht="13" hidden="1">
      <c r="A3384" s="15">
        <v>45973.484579791664</v>
      </c>
      <c r="B3384" s="16">
        <v>45968</v>
      </c>
      <c r="C3384" s="2" t="s">
        <v>311</v>
      </c>
      <c r="D3384" s="2" t="s">
        <v>39</v>
      </c>
      <c r="E3384" s="2">
        <v>6000</v>
      </c>
      <c r="F3384" s="2" t="s">
        <v>102</v>
      </c>
      <c r="H3384" s="2" t="s">
        <v>35</v>
      </c>
    </row>
    <row r="3385" spans="1:8" ht="13" hidden="1">
      <c r="A3385" s="15">
        <v>45973.484864756945</v>
      </c>
      <c r="B3385" s="16">
        <v>45969</v>
      </c>
      <c r="C3385" s="2" t="s">
        <v>1292</v>
      </c>
      <c r="D3385" s="2" t="s">
        <v>38</v>
      </c>
      <c r="E3385" s="2">
        <v>336</v>
      </c>
      <c r="F3385" s="2" t="s">
        <v>102</v>
      </c>
      <c r="G3385" s="2" t="s">
        <v>103</v>
      </c>
      <c r="H3385" s="2" t="s">
        <v>35</v>
      </c>
    </row>
    <row r="3386" spans="1:8" ht="13" hidden="1">
      <c r="A3386" s="15">
        <v>45973.488004861108</v>
      </c>
      <c r="B3386" s="16">
        <v>45969</v>
      </c>
      <c r="C3386" s="2" t="s">
        <v>987</v>
      </c>
      <c r="D3386" s="2" t="s">
        <v>38</v>
      </c>
      <c r="E3386" s="2">
        <v>578</v>
      </c>
      <c r="F3386" s="2" t="s">
        <v>102</v>
      </c>
      <c r="G3386" s="2" t="s">
        <v>356</v>
      </c>
      <c r="H3386" s="2" t="s">
        <v>35</v>
      </c>
    </row>
    <row r="3387" spans="1:8" ht="13" hidden="1">
      <c r="A3387" s="15">
        <v>45973.485165868056</v>
      </c>
      <c r="B3387" s="16">
        <v>45970</v>
      </c>
      <c r="C3387" s="2" t="s">
        <v>204</v>
      </c>
      <c r="D3387" s="2" t="s">
        <v>45</v>
      </c>
      <c r="E3387" s="2">
        <v>4180</v>
      </c>
      <c r="F3387" s="2" t="s">
        <v>102</v>
      </c>
      <c r="H3387" s="2" t="s">
        <v>35</v>
      </c>
    </row>
    <row r="3388" spans="1:8" ht="13" hidden="1">
      <c r="A3388" s="15">
        <v>45973.485579074069</v>
      </c>
      <c r="B3388" s="16">
        <v>45970</v>
      </c>
      <c r="C3388" s="2" t="s">
        <v>1293</v>
      </c>
      <c r="D3388" s="2" t="s">
        <v>38</v>
      </c>
      <c r="E3388" s="2">
        <v>318</v>
      </c>
      <c r="F3388" s="2" t="s">
        <v>102</v>
      </c>
      <c r="G3388" s="2" t="s">
        <v>356</v>
      </c>
      <c r="H3388" s="2" t="s">
        <v>35</v>
      </c>
    </row>
    <row r="3389" spans="1:8" ht="13" hidden="1">
      <c r="A3389" s="15">
        <v>45973.485882280089</v>
      </c>
      <c r="B3389" s="16">
        <v>45971</v>
      </c>
      <c r="C3389" s="2" t="s">
        <v>106</v>
      </c>
      <c r="D3389" s="2" t="s">
        <v>38</v>
      </c>
      <c r="E3389" s="2">
        <v>1200</v>
      </c>
      <c r="F3389" s="2" t="s">
        <v>102</v>
      </c>
      <c r="G3389" s="2" t="s">
        <v>1294</v>
      </c>
      <c r="H3389" s="2" t="s">
        <v>35</v>
      </c>
    </row>
    <row r="3390" spans="1:8" ht="13" hidden="1">
      <c r="A3390" s="15">
        <v>45973.48616403935</v>
      </c>
      <c r="B3390" s="16">
        <v>45972</v>
      </c>
      <c r="C3390" s="2" t="s">
        <v>1295</v>
      </c>
      <c r="D3390" s="2" t="s">
        <v>45</v>
      </c>
      <c r="E3390" s="2">
        <v>330</v>
      </c>
      <c r="F3390" s="2" t="s">
        <v>102</v>
      </c>
      <c r="G3390" s="2" t="s">
        <v>136</v>
      </c>
      <c r="H3390" s="2" t="s">
        <v>35</v>
      </c>
    </row>
    <row r="3391" spans="1:8" ht="13" hidden="1">
      <c r="A3391" s="15">
        <v>45984.674936342592</v>
      </c>
      <c r="B3391" s="16">
        <v>45973</v>
      </c>
      <c r="C3391" s="2" t="s">
        <v>163</v>
      </c>
      <c r="D3391" s="2" t="s">
        <v>38</v>
      </c>
      <c r="E3391" s="2">
        <v>1880</v>
      </c>
      <c r="F3391" s="2" t="s">
        <v>102</v>
      </c>
      <c r="G3391" s="2" t="s">
        <v>164</v>
      </c>
      <c r="H3391" s="2" t="s">
        <v>35</v>
      </c>
    </row>
    <row r="3392" spans="1:8" ht="13" hidden="1">
      <c r="A3392" s="15">
        <v>45986.409095358795</v>
      </c>
      <c r="B3392" s="16">
        <v>45973</v>
      </c>
      <c r="C3392" s="2" t="s">
        <v>87</v>
      </c>
      <c r="E3392" s="2">
        <v>50000</v>
      </c>
      <c r="H3392" s="2" t="s">
        <v>34</v>
      </c>
    </row>
    <row r="3393" spans="1:8" ht="13" hidden="1">
      <c r="A3393" s="15">
        <v>45984.675395798607</v>
      </c>
      <c r="B3393" s="16">
        <v>45974</v>
      </c>
      <c r="C3393" s="2" t="s">
        <v>106</v>
      </c>
      <c r="D3393" s="2" t="s">
        <v>38</v>
      </c>
      <c r="E3393" s="2">
        <v>1200</v>
      </c>
      <c r="F3393" s="2" t="s">
        <v>102</v>
      </c>
      <c r="G3393" s="2" t="s">
        <v>1294</v>
      </c>
      <c r="H3393" s="2" t="s">
        <v>35</v>
      </c>
    </row>
    <row r="3394" spans="1:8" ht="13" hidden="1">
      <c r="A3394" s="15">
        <v>45984.675908958336</v>
      </c>
      <c r="B3394" s="16">
        <v>45974</v>
      </c>
      <c r="C3394" s="2" t="s">
        <v>233</v>
      </c>
      <c r="D3394" s="2" t="s">
        <v>39</v>
      </c>
      <c r="E3394" s="2">
        <v>4000</v>
      </c>
      <c r="F3394" s="2" t="s">
        <v>102</v>
      </c>
      <c r="H3394" s="2" t="s">
        <v>35</v>
      </c>
    </row>
    <row r="3395" spans="1:8" ht="13" hidden="1">
      <c r="A3395" s="15">
        <v>45984.676224131945</v>
      </c>
      <c r="B3395" s="16">
        <v>45974</v>
      </c>
      <c r="C3395" s="2" t="s">
        <v>294</v>
      </c>
      <c r="D3395" s="2" t="s">
        <v>39</v>
      </c>
      <c r="E3395" s="2">
        <v>1250</v>
      </c>
      <c r="F3395" s="2" t="s">
        <v>102</v>
      </c>
      <c r="G3395" s="2" t="s">
        <v>1296</v>
      </c>
      <c r="H3395" s="2" t="s">
        <v>35</v>
      </c>
    </row>
    <row r="3396" spans="1:8" ht="13" hidden="1">
      <c r="A3396" s="15">
        <v>45984.676531087964</v>
      </c>
      <c r="B3396" s="16">
        <v>45975</v>
      </c>
      <c r="C3396" s="2" t="s">
        <v>106</v>
      </c>
      <c r="D3396" s="2" t="s">
        <v>38</v>
      </c>
      <c r="E3396" s="2">
        <v>999</v>
      </c>
      <c r="F3396" s="2" t="s">
        <v>102</v>
      </c>
      <c r="G3396" s="2" t="s">
        <v>1155</v>
      </c>
      <c r="H3396" s="2" t="s">
        <v>35</v>
      </c>
    </row>
    <row r="3397" spans="1:8" ht="13" hidden="1">
      <c r="A3397" s="15">
        <v>45984.676774918982</v>
      </c>
      <c r="B3397" s="16">
        <v>45975</v>
      </c>
      <c r="C3397" s="2" t="s">
        <v>398</v>
      </c>
      <c r="D3397" s="2" t="s">
        <v>38</v>
      </c>
      <c r="E3397" s="2">
        <v>118</v>
      </c>
      <c r="F3397" s="2" t="s">
        <v>102</v>
      </c>
      <c r="G3397" s="2" t="s">
        <v>356</v>
      </c>
      <c r="H3397" s="2" t="s">
        <v>35</v>
      </c>
    </row>
    <row r="3398" spans="1:8" ht="13" hidden="1">
      <c r="A3398" s="15">
        <v>45984.677047847217</v>
      </c>
      <c r="B3398" s="16">
        <v>45975</v>
      </c>
      <c r="C3398" s="2" t="s">
        <v>1297</v>
      </c>
      <c r="D3398" s="2" t="s">
        <v>38</v>
      </c>
      <c r="E3398" s="2">
        <v>150</v>
      </c>
      <c r="F3398" s="2" t="s">
        <v>102</v>
      </c>
      <c r="G3398" s="2" t="s">
        <v>356</v>
      </c>
      <c r="H3398" s="2" t="s">
        <v>35</v>
      </c>
    </row>
    <row r="3399" spans="1:8" ht="13" hidden="1">
      <c r="A3399" s="15">
        <v>45984.67741704861</v>
      </c>
      <c r="B3399" s="16">
        <v>45976</v>
      </c>
      <c r="C3399" s="2" t="s">
        <v>1298</v>
      </c>
      <c r="D3399" s="2" t="s">
        <v>38</v>
      </c>
      <c r="E3399" s="2">
        <v>849</v>
      </c>
      <c r="F3399" s="2" t="s">
        <v>102</v>
      </c>
      <c r="G3399" s="2" t="s">
        <v>107</v>
      </c>
      <c r="H3399" s="2" t="s">
        <v>35</v>
      </c>
    </row>
    <row r="3400" spans="1:8" ht="13" hidden="1">
      <c r="A3400" s="15">
        <v>45984.677801076388</v>
      </c>
      <c r="B3400" s="16">
        <v>45976</v>
      </c>
      <c r="C3400" s="2" t="s">
        <v>1299</v>
      </c>
      <c r="D3400" s="2" t="s">
        <v>39</v>
      </c>
      <c r="E3400" s="2">
        <v>10340</v>
      </c>
      <c r="F3400" s="2" t="s">
        <v>102</v>
      </c>
      <c r="H3400" s="2" t="s">
        <v>35</v>
      </c>
    </row>
    <row r="3401" spans="1:8" ht="13" hidden="1">
      <c r="A3401" s="15">
        <v>45984.678054398144</v>
      </c>
      <c r="B3401" s="16">
        <v>45977</v>
      </c>
      <c r="C3401" s="2" t="s">
        <v>1300</v>
      </c>
      <c r="E3401" s="2">
        <v>1500</v>
      </c>
      <c r="H3401" s="2" t="s">
        <v>34</v>
      </c>
    </row>
    <row r="3402" spans="1:8" ht="13" hidden="1">
      <c r="A3402" s="15">
        <v>45984.678408807871</v>
      </c>
      <c r="B3402" s="16">
        <v>45977</v>
      </c>
      <c r="C3402" s="2" t="s">
        <v>280</v>
      </c>
      <c r="D3402" s="2" t="s">
        <v>46</v>
      </c>
      <c r="E3402" s="2">
        <v>1265</v>
      </c>
      <c r="F3402" s="2" t="s">
        <v>102</v>
      </c>
      <c r="G3402" s="2" t="s">
        <v>306</v>
      </c>
      <c r="H3402" s="2" t="s">
        <v>35</v>
      </c>
    </row>
    <row r="3403" spans="1:8" ht="13" hidden="1">
      <c r="A3403" s="15">
        <v>45984.678769409722</v>
      </c>
      <c r="B3403" s="16">
        <v>45978</v>
      </c>
      <c r="C3403" s="2" t="s">
        <v>1301</v>
      </c>
      <c r="D3403" s="2" t="s">
        <v>39</v>
      </c>
      <c r="E3403" s="2">
        <v>3000</v>
      </c>
      <c r="F3403" s="2" t="s">
        <v>102</v>
      </c>
      <c r="H3403" s="2" t="s">
        <v>35</v>
      </c>
    </row>
    <row r="3404" spans="1:8" ht="13" hidden="1">
      <c r="A3404" s="15">
        <v>45984.679087986107</v>
      </c>
      <c r="B3404" s="16">
        <v>45978</v>
      </c>
      <c r="C3404" s="2" t="s">
        <v>280</v>
      </c>
      <c r="D3404" s="2" t="s">
        <v>46</v>
      </c>
      <c r="E3404" s="2">
        <v>935</v>
      </c>
      <c r="F3404" s="2" t="s">
        <v>102</v>
      </c>
      <c r="G3404" s="2" t="s">
        <v>306</v>
      </c>
      <c r="H3404" s="2" t="s">
        <v>35</v>
      </c>
    </row>
    <row r="3405" spans="1:8" ht="13" hidden="1">
      <c r="A3405" s="15">
        <v>45984.679504768515</v>
      </c>
      <c r="B3405" s="16">
        <v>45978</v>
      </c>
      <c r="C3405" s="2" t="s">
        <v>1302</v>
      </c>
      <c r="D3405" s="2" t="s">
        <v>38</v>
      </c>
      <c r="E3405" s="2">
        <v>490</v>
      </c>
      <c r="F3405" s="2" t="s">
        <v>102</v>
      </c>
      <c r="G3405" s="2" t="s">
        <v>593</v>
      </c>
      <c r="H3405" s="2" t="s">
        <v>35</v>
      </c>
    </row>
    <row r="3406" spans="1:8" ht="13" hidden="1">
      <c r="A3406" s="15">
        <v>45984.680150983797</v>
      </c>
      <c r="B3406" s="16">
        <v>45979</v>
      </c>
      <c r="C3406" s="2" t="s">
        <v>1303</v>
      </c>
      <c r="D3406" s="2" t="s">
        <v>38</v>
      </c>
      <c r="E3406" s="2">
        <v>810</v>
      </c>
      <c r="F3406" s="2" t="s">
        <v>102</v>
      </c>
      <c r="G3406" s="2" t="s">
        <v>285</v>
      </c>
      <c r="H3406" s="2" t="s">
        <v>35</v>
      </c>
    </row>
    <row r="3407" spans="1:8" ht="13" hidden="1">
      <c r="A3407" s="15">
        <v>45984.680455335649</v>
      </c>
      <c r="B3407" s="16">
        <v>45980</v>
      </c>
      <c r="C3407" s="2" t="s">
        <v>1304</v>
      </c>
      <c r="D3407" s="2" t="s">
        <v>38</v>
      </c>
      <c r="E3407" s="2">
        <v>890</v>
      </c>
      <c r="F3407" s="2" t="s">
        <v>102</v>
      </c>
      <c r="G3407" s="2" t="s">
        <v>199</v>
      </c>
      <c r="H3407" s="2" t="s">
        <v>35</v>
      </c>
    </row>
    <row r="3408" spans="1:8" ht="13" hidden="1">
      <c r="A3408" s="15">
        <v>45984.680732650464</v>
      </c>
      <c r="B3408" s="16">
        <v>45980</v>
      </c>
      <c r="C3408" s="2" t="s">
        <v>245</v>
      </c>
      <c r="D3408" s="2" t="s">
        <v>38</v>
      </c>
      <c r="E3408" s="2">
        <v>380</v>
      </c>
      <c r="F3408" s="2" t="s">
        <v>102</v>
      </c>
      <c r="G3408" s="2" t="s">
        <v>113</v>
      </c>
      <c r="H3408" s="2" t="s">
        <v>35</v>
      </c>
    </row>
    <row r="3409" spans="1:8" ht="13" hidden="1">
      <c r="A3409" s="15">
        <v>45984.681046736107</v>
      </c>
      <c r="B3409" s="16">
        <v>45980</v>
      </c>
      <c r="C3409" s="2" t="s">
        <v>674</v>
      </c>
      <c r="D3409" s="2" t="s">
        <v>39</v>
      </c>
      <c r="E3409" s="2">
        <v>1650</v>
      </c>
      <c r="F3409" s="2" t="s">
        <v>102</v>
      </c>
      <c r="H3409" s="2" t="s">
        <v>35</v>
      </c>
    </row>
    <row r="3410" spans="1:8" ht="13" hidden="1">
      <c r="A3410" s="15">
        <v>45984.681391597223</v>
      </c>
      <c r="B3410" s="16">
        <v>45981</v>
      </c>
      <c r="C3410" s="2" t="s">
        <v>675</v>
      </c>
      <c r="D3410" s="2" t="s">
        <v>38</v>
      </c>
      <c r="E3410" s="2">
        <v>344</v>
      </c>
      <c r="F3410" s="2" t="s">
        <v>102</v>
      </c>
      <c r="G3410" s="2" t="s">
        <v>356</v>
      </c>
      <c r="H3410" s="2" t="s">
        <v>35</v>
      </c>
    </row>
    <row r="3411" spans="1:8" ht="13" hidden="1">
      <c r="A3411" s="15">
        <v>45984.681661076393</v>
      </c>
      <c r="B3411" s="16">
        <v>45981</v>
      </c>
      <c r="C3411" s="2" t="s">
        <v>1305</v>
      </c>
      <c r="D3411" s="2" t="s">
        <v>39</v>
      </c>
      <c r="E3411" s="2">
        <v>720</v>
      </c>
      <c r="F3411" s="2" t="s">
        <v>102</v>
      </c>
      <c r="H3411" s="2" t="s">
        <v>35</v>
      </c>
    </row>
    <row r="3412" spans="1:8" ht="13" hidden="1">
      <c r="A3412" s="15">
        <v>45984.681959780093</v>
      </c>
      <c r="B3412" s="16">
        <v>45981</v>
      </c>
      <c r="C3412" s="2" t="s">
        <v>1197</v>
      </c>
      <c r="D3412" s="2" t="s">
        <v>39</v>
      </c>
      <c r="E3412" s="2">
        <v>4100</v>
      </c>
      <c r="F3412" s="2" t="s">
        <v>102</v>
      </c>
      <c r="H3412" s="2" t="s">
        <v>35</v>
      </c>
    </row>
    <row r="3413" spans="1:8" ht="13" hidden="1">
      <c r="A3413" s="15">
        <v>45984.682217916663</v>
      </c>
      <c r="B3413" s="16">
        <v>45982</v>
      </c>
      <c r="C3413" s="2" t="s">
        <v>1304</v>
      </c>
      <c r="D3413" s="2" t="s">
        <v>38</v>
      </c>
      <c r="E3413" s="2">
        <v>890</v>
      </c>
      <c r="F3413" s="2" t="s">
        <v>102</v>
      </c>
      <c r="G3413" s="2" t="s">
        <v>199</v>
      </c>
      <c r="H3413" s="2" t="s">
        <v>35</v>
      </c>
    </row>
    <row r="3414" spans="1:8" ht="13" hidden="1">
      <c r="A3414" s="15">
        <v>45984.682527337965</v>
      </c>
      <c r="B3414" s="16">
        <v>45982</v>
      </c>
      <c r="C3414" s="2" t="s">
        <v>114</v>
      </c>
      <c r="D3414" s="2" t="s">
        <v>38</v>
      </c>
      <c r="E3414" s="2">
        <v>128</v>
      </c>
      <c r="F3414" s="2" t="s">
        <v>102</v>
      </c>
      <c r="G3414" s="2" t="s">
        <v>1306</v>
      </c>
      <c r="H3414" s="2" t="s">
        <v>35</v>
      </c>
    </row>
    <row r="3415" spans="1:8" ht="13" hidden="1">
      <c r="A3415" s="15">
        <v>45984.68282519676</v>
      </c>
      <c r="B3415" s="16">
        <v>45982</v>
      </c>
      <c r="C3415" s="2" t="s">
        <v>1197</v>
      </c>
      <c r="D3415" s="2" t="s">
        <v>39</v>
      </c>
      <c r="E3415" s="2">
        <v>4400</v>
      </c>
      <c r="F3415" s="2" t="s">
        <v>102</v>
      </c>
      <c r="H3415" s="2" t="s">
        <v>35</v>
      </c>
    </row>
    <row r="3416" spans="1:8" ht="13" hidden="1">
      <c r="A3416" s="15">
        <v>45990.713746793983</v>
      </c>
      <c r="B3416" s="16">
        <v>45982</v>
      </c>
      <c r="C3416" s="2" t="s">
        <v>350</v>
      </c>
      <c r="D3416" s="2" t="s">
        <v>40</v>
      </c>
      <c r="E3416" s="2">
        <v>1000</v>
      </c>
      <c r="F3416" s="2" t="s">
        <v>100</v>
      </c>
      <c r="H3416" s="2" t="s">
        <v>35</v>
      </c>
    </row>
    <row r="3417" spans="1:8" ht="13" hidden="1">
      <c r="A3417" s="15">
        <v>45990.713991724537</v>
      </c>
      <c r="B3417" s="16">
        <v>45982</v>
      </c>
      <c r="C3417" s="2" t="s">
        <v>240</v>
      </c>
      <c r="D3417" s="2" t="s">
        <v>42</v>
      </c>
      <c r="E3417" s="2">
        <v>180</v>
      </c>
      <c r="F3417" s="2" t="s">
        <v>100</v>
      </c>
      <c r="H3417" s="2" t="s">
        <v>35</v>
      </c>
    </row>
    <row r="3418" spans="1:8" ht="13" hidden="1">
      <c r="A3418" s="15">
        <v>45984.683029004635</v>
      </c>
      <c r="B3418" s="16">
        <v>45983</v>
      </c>
      <c r="C3418" s="2" t="s">
        <v>556</v>
      </c>
      <c r="D3418" s="2" t="s">
        <v>39</v>
      </c>
      <c r="E3418" s="2">
        <v>6666</v>
      </c>
      <c r="F3418" s="2" t="s">
        <v>102</v>
      </c>
      <c r="H3418" s="2" t="s">
        <v>35</v>
      </c>
    </row>
    <row r="3419" spans="1:8" ht="13" hidden="1">
      <c r="A3419" s="15">
        <v>45984.683359027782</v>
      </c>
      <c r="B3419" s="16">
        <v>45983</v>
      </c>
      <c r="C3419" s="2" t="s">
        <v>601</v>
      </c>
      <c r="D3419" s="2" t="s">
        <v>38</v>
      </c>
      <c r="E3419" s="2">
        <v>162</v>
      </c>
      <c r="F3419" s="2" t="s">
        <v>102</v>
      </c>
      <c r="G3419" s="2" t="s">
        <v>356</v>
      </c>
      <c r="H3419" s="2" t="s">
        <v>35</v>
      </c>
    </row>
    <row r="3420" spans="1:8" ht="13" hidden="1">
      <c r="A3420" s="15">
        <v>45984.683644791672</v>
      </c>
      <c r="B3420" s="16">
        <v>45983</v>
      </c>
      <c r="C3420" s="2" t="s">
        <v>1307</v>
      </c>
      <c r="D3420" s="2" t="s">
        <v>38</v>
      </c>
      <c r="E3420" s="2">
        <v>139</v>
      </c>
      <c r="F3420" s="2" t="s">
        <v>102</v>
      </c>
      <c r="G3420" s="2" t="s">
        <v>356</v>
      </c>
      <c r="H3420" s="2" t="s">
        <v>35</v>
      </c>
    </row>
    <row r="3421" spans="1:8" ht="13" hidden="1">
      <c r="A3421" s="15">
        <v>45984.683912256944</v>
      </c>
      <c r="B3421" s="16">
        <v>45983</v>
      </c>
      <c r="C3421" s="2" t="s">
        <v>1308</v>
      </c>
      <c r="D3421" s="2" t="s">
        <v>39</v>
      </c>
      <c r="E3421" s="2">
        <v>2400</v>
      </c>
      <c r="F3421" s="2" t="s">
        <v>102</v>
      </c>
      <c r="H3421" s="2" t="s">
        <v>35</v>
      </c>
    </row>
    <row r="3422" spans="1:8" ht="13" hidden="1">
      <c r="A3422" s="15">
        <v>45984.684231736115</v>
      </c>
      <c r="B3422" s="16">
        <v>45983</v>
      </c>
      <c r="C3422" s="2" t="s">
        <v>898</v>
      </c>
      <c r="D3422" s="2" t="s">
        <v>38</v>
      </c>
      <c r="E3422" s="2">
        <v>819</v>
      </c>
      <c r="F3422" s="2" t="s">
        <v>102</v>
      </c>
      <c r="G3422" s="2" t="s">
        <v>103</v>
      </c>
      <c r="H3422" s="2" t="s">
        <v>35</v>
      </c>
    </row>
    <row r="3423" spans="1:8" ht="13" hidden="1">
      <c r="A3423" s="15">
        <v>45990.714270439814</v>
      </c>
      <c r="B3423" s="16">
        <v>45983</v>
      </c>
      <c r="C3423" s="2" t="s">
        <v>1309</v>
      </c>
      <c r="D3423" s="2" t="s">
        <v>39</v>
      </c>
      <c r="E3423" s="2">
        <v>2916</v>
      </c>
      <c r="F3423" s="2" t="s">
        <v>100</v>
      </c>
      <c r="G3423" s="2" t="s">
        <v>332</v>
      </c>
      <c r="H3423" s="2" t="s">
        <v>35</v>
      </c>
    </row>
    <row r="3424" spans="1:8" ht="13" hidden="1">
      <c r="A3424" s="15">
        <v>45990.714521261572</v>
      </c>
      <c r="B3424" s="16">
        <v>45983</v>
      </c>
      <c r="C3424" s="2" t="s">
        <v>105</v>
      </c>
      <c r="D3424" s="2" t="s">
        <v>40</v>
      </c>
      <c r="E3424" s="2">
        <v>5400</v>
      </c>
      <c r="F3424" s="2" t="s">
        <v>100</v>
      </c>
      <c r="H3424" s="2" t="s">
        <v>35</v>
      </c>
    </row>
    <row r="3425" spans="1:8" ht="13" hidden="1">
      <c r="A3425" s="15">
        <v>45984.684605381946</v>
      </c>
      <c r="B3425" s="16">
        <v>45984</v>
      </c>
      <c r="C3425" s="2" t="s">
        <v>114</v>
      </c>
      <c r="D3425" s="2" t="s">
        <v>38</v>
      </c>
      <c r="E3425" s="2">
        <v>558</v>
      </c>
      <c r="F3425" s="2" t="s">
        <v>102</v>
      </c>
      <c r="G3425" s="2" t="s">
        <v>269</v>
      </c>
      <c r="H3425" s="2" t="s">
        <v>35</v>
      </c>
    </row>
    <row r="3426" spans="1:8" ht="13" hidden="1">
      <c r="A3426" s="15">
        <v>45985.841217708337</v>
      </c>
      <c r="B3426" s="16">
        <v>45984</v>
      </c>
      <c r="C3426" s="2" t="s">
        <v>280</v>
      </c>
      <c r="D3426" s="2" t="s">
        <v>46</v>
      </c>
      <c r="E3426" s="2">
        <v>1265</v>
      </c>
      <c r="F3426" s="2" t="s">
        <v>102</v>
      </c>
      <c r="G3426" s="2" t="s">
        <v>306</v>
      </c>
      <c r="H3426" s="2" t="s">
        <v>35</v>
      </c>
    </row>
    <row r="3427" spans="1:8" ht="13" hidden="1">
      <c r="A3427" s="15">
        <v>45985.841553692131</v>
      </c>
      <c r="B3427" s="16">
        <v>45984</v>
      </c>
      <c r="C3427" s="2" t="s">
        <v>398</v>
      </c>
      <c r="D3427" s="2" t="s">
        <v>38</v>
      </c>
      <c r="E3427" s="2">
        <v>118</v>
      </c>
      <c r="F3427" s="2" t="s">
        <v>102</v>
      </c>
      <c r="G3427" s="2" t="s">
        <v>356</v>
      </c>
      <c r="H3427" s="2" t="s">
        <v>35</v>
      </c>
    </row>
    <row r="3428" spans="1:8" ht="13" hidden="1">
      <c r="A3428" s="15">
        <v>45985.84195829861</v>
      </c>
      <c r="B3428" s="16">
        <v>45984</v>
      </c>
      <c r="C3428" s="2" t="s">
        <v>1310</v>
      </c>
      <c r="D3428" s="2" t="s">
        <v>38</v>
      </c>
      <c r="E3428" s="2">
        <v>296</v>
      </c>
      <c r="F3428" s="2" t="s">
        <v>102</v>
      </c>
      <c r="G3428" s="2" t="s">
        <v>356</v>
      </c>
      <c r="H3428" s="2" t="s">
        <v>35</v>
      </c>
    </row>
    <row r="3429" spans="1:8" ht="13" hidden="1">
      <c r="A3429" s="15">
        <v>45990.714878009254</v>
      </c>
      <c r="B3429" s="16">
        <v>45984</v>
      </c>
      <c r="C3429" s="2" t="s">
        <v>240</v>
      </c>
      <c r="D3429" s="2" t="s">
        <v>42</v>
      </c>
      <c r="E3429" s="2">
        <v>180</v>
      </c>
      <c r="F3429" s="2" t="s">
        <v>100</v>
      </c>
      <c r="H3429" s="2" t="s">
        <v>35</v>
      </c>
    </row>
    <row r="3430" spans="1:8" ht="13" hidden="1">
      <c r="A3430" s="15">
        <v>45990.715132210651</v>
      </c>
      <c r="B3430" s="16">
        <v>45984</v>
      </c>
      <c r="C3430" s="2" t="s">
        <v>116</v>
      </c>
      <c r="D3430" s="2" t="s">
        <v>38</v>
      </c>
      <c r="E3430" s="2">
        <v>2018</v>
      </c>
      <c r="F3430" s="2" t="s">
        <v>100</v>
      </c>
      <c r="G3430" s="2" t="s">
        <v>652</v>
      </c>
      <c r="H3430" s="2" t="s">
        <v>35</v>
      </c>
    </row>
    <row r="3431" spans="1:8" ht="13" hidden="1">
      <c r="A3431" s="15">
        <v>45990.715427442134</v>
      </c>
      <c r="B3431" s="16">
        <v>45984</v>
      </c>
      <c r="C3431" s="2" t="s">
        <v>308</v>
      </c>
      <c r="D3431" s="2" t="s">
        <v>40</v>
      </c>
      <c r="E3431" s="2">
        <v>13690</v>
      </c>
      <c r="F3431" s="2" t="s">
        <v>100</v>
      </c>
      <c r="H3431" s="2" t="s">
        <v>35</v>
      </c>
    </row>
    <row r="3432" spans="1:8" ht="13" hidden="1">
      <c r="A3432" s="15">
        <v>45990.715722546302</v>
      </c>
      <c r="B3432" s="16">
        <v>45984</v>
      </c>
      <c r="C3432" s="2" t="s">
        <v>350</v>
      </c>
      <c r="D3432" s="2" t="s">
        <v>40</v>
      </c>
      <c r="E3432" s="2">
        <v>2000</v>
      </c>
      <c r="F3432" s="2" t="s">
        <v>100</v>
      </c>
      <c r="H3432" s="2" t="s">
        <v>35</v>
      </c>
    </row>
    <row r="3433" spans="1:8" ht="13" hidden="1">
      <c r="A3433" s="15">
        <v>45990.715945891207</v>
      </c>
      <c r="B3433" s="16">
        <v>45985</v>
      </c>
      <c r="C3433" s="2" t="s">
        <v>44</v>
      </c>
      <c r="D3433" s="2" t="s">
        <v>44</v>
      </c>
      <c r="E3433" s="2">
        <v>9270</v>
      </c>
      <c r="F3433" s="2" t="s">
        <v>100</v>
      </c>
      <c r="G3433" s="2" t="s">
        <v>132</v>
      </c>
      <c r="H3433" s="2" t="s">
        <v>35</v>
      </c>
    </row>
    <row r="3434" spans="1:8" ht="13" hidden="1">
      <c r="A3434" s="15">
        <v>45990.716280717592</v>
      </c>
      <c r="B3434" s="16">
        <v>45985</v>
      </c>
      <c r="C3434" s="2" t="s">
        <v>116</v>
      </c>
      <c r="D3434" s="2" t="s">
        <v>38</v>
      </c>
      <c r="E3434" s="2">
        <v>2517</v>
      </c>
      <c r="F3434" s="2" t="s">
        <v>100</v>
      </c>
      <c r="G3434" s="2" t="s">
        <v>652</v>
      </c>
      <c r="H3434" s="2" t="s">
        <v>35</v>
      </c>
    </row>
    <row r="3435" spans="1:8" ht="13" hidden="1">
      <c r="A3435" s="15">
        <v>45990.716514178246</v>
      </c>
      <c r="B3435" s="16">
        <v>45985</v>
      </c>
      <c r="C3435" s="2" t="s">
        <v>1311</v>
      </c>
      <c r="D3435" s="2" t="s">
        <v>39</v>
      </c>
      <c r="E3435" s="2">
        <v>3500</v>
      </c>
      <c r="F3435" s="2" t="s">
        <v>100</v>
      </c>
      <c r="H3435" s="2" t="s">
        <v>35</v>
      </c>
    </row>
    <row r="3436" spans="1:8" ht="13" hidden="1">
      <c r="A3436" s="15">
        <v>45990.716711932866</v>
      </c>
      <c r="B3436" s="16">
        <v>45985</v>
      </c>
      <c r="C3436" s="2" t="s">
        <v>240</v>
      </c>
      <c r="D3436" s="2" t="s">
        <v>42</v>
      </c>
      <c r="E3436" s="2">
        <v>990</v>
      </c>
      <c r="F3436" s="2" t="s">
        <v>100</v>
      </c>
      <c r="H3436" s="2" t="s">
        <v>35</v>
      </c>
    </row>
    <row r="3437" spans="1:8" ht="13" hidden="1">
      <c r="A3437" s="15">
        <v>45985.834687870374</v>
      </c>
      <c r="B3437" s="16">
        <v>45986</v>
      </c>
      <c r="C3437" s="2" t="s">
        <v>831</v>
      </c>
      <c r="E3437" s="2">
        <v>375775</v>
      </c>
      <c r="H3437" s="2" t="s">
        <v>34</v>
      </c>
    </row>
    <row r="3438" spans="1:8" ht="13" hidden="1">
      <c r="A3438" s="15">
        <v>45989.995351342593</v>
      </c>
      <c r="B3438" s="16">
        <v>45986</v>
      </c>
      <c r="C3438" s="2" t="s">
        <v>668</v>
      </c>
      <c r="D3438" s="2" t="s">
        <v>38</v>
      </c>
      <c r="E3438" s="2">
        <v>470</v>
      </c>
      <c r="F3438" s="2" t="s">
        <v>102</v>
      </c>
      <c r="G3438" s="2" t="s">
        <v>285</v>
      </c>
      <c r="H3438" s="2" t="s">
        <v>35</v>
      </c>
    </row>
    <row r="3439" spans="1:8" ht="13" hidden="1">
      <c r="A3439" s="15">
        <v>45985.835001967593</v>
      </c>
      <c r="B3439" s="16">
        <v>45987</v>
      </c>
      <c r="C3439" s="2" t="s">
        <v>11</v>
      </c>
      <c r="D3439" s="2" t="s">
        <v>47</v>
      </c>
      <c r="E3439" s="2">
        <v>40000</v>
      </c>
      <c r="F3439" s="2" t="s">
        <v>102</v>
      </c>
      <c r="H3439" s="2" t="s">
        <v>35</v>
      </c>
    </row>
    <row r="3440" spans="1:8" ht="13" hidden="1">
      <c r="A3440" s="15">
        <v>45989.99889293981</v>
      </c>
      <c r="B3440" s="16">
        <v>45958</v>
      </c>
      <c r="C3440" s="2" t="s">
        <v>158</v>
      </c>
      <c r="D3440" s="2" t="s">
        <v>49</v>
      </c>
      <c r="E3440" s="2">
        <v>4980</v>
      </c>
      <c r="F3440" s="2" t="s">
        <v>100</v>
      </c>
      <c r="H3440" s="2" t="s">
        <v>35</v>
      </c>
    </row>
    <row r="3441" spans="1:8" ht="13" hidden="1">
      <c r="A3441" s="15">
        <v>45989.999191898147</v>
      </c>
      <c r="B3441" s="16">
        <v>45959</v>
      </c>
      <c r="C3441" s="2" t="s">
        <v>350</v>
      </c>
      <c r="D3441" s="2" t="s">
        <v>40</v>
      </c>
      <c r="E3441" s="2">
        <v>1000</v>
      </c>
      <c r="F3441" s="2" t="s">
        <v>100</v>
      </c>
      <c r="H3441" s="2" t="s">
        <v>35</v>
      </c>
    </row>
    <row r="3442" spans="1:8" ht="13" hidden="1">
      <c r="A3442" s="15">
        <v>45989.999474479162</v>
      </c>
      <c r="B3442" s="16">
        <v>45959</v>
      </c>
      <c r="C3442" s="2" t="s">
        <v>240</v>
      </c>
      <c r="D3442" s="2" t="s">
        <v>42</v>
      </c>
      <c r="E3442" s="2">
        <v>110</v>
      </c>
      <c r="F3442" s="2" t="s">
        <v>100</v>
      </c>
      <c r="H3442" s="2" t="s">
        <v>35</v>
      </c>
    </row>
    <row r="3443" spans="1:8" ht="13" hidden="1">
      <c r="A3443" s="15">
        <v>45990.001096087959</v>
      </c>
      <c r="B3443" s="16">
        <v>45960</v>
      </c>
      <c r="C3443" s="2" t="s">
        <v>240</v>
      </c>
      <c r="D3443" s="2" t="s">
        <v>42</v>
      </c>
      <c r="E3443" s="2">
        <v>990</v>
      </c>
      <c r="F3443" s="2" t="s">
        <v>100</v>
      </c>
      <c r="H3443" s="2" t="s">
        <v>35</v>
      </c>
    </row>
    <row r="3444" spans="1:8" ht="13" hidden="1">
      <c r="A3444" s="15">
        <v>45990.700891388886</v>
      </c>
      <c r="B3444" s="16">
        <v>45962</v>
      </c>
      <c r="C3444" s="2" t="s">
        <v>105</v>
      </c>
      <c r="D3444" s="2" t="s">
        <v>40</v>
      </c>
      <c r="E3444" s="2">
        <v>1200</v>
      </c>
      <c r="F3444" s="2" t="s">
        <v>100</v>
      </c>
      <c r="H3444" s="2" t="s">
        <v>35</v>
      </c>
    </row>
    <row r="3445" spans="1:8" ht="13" hidden="1">
      <c r="A3445" s="15">
        <v>45990.701147997686</v>
      </c>
      <c r="B3445" s="16">
        <v>45962</v>
      </c>
      <c r="C3445" s="2" t="s">
        <v>10</v>
      </c>
      <c r="D3445" s="2" t="s">
        <v>45</v>
      </c>
      <c r="E3445" s="2">
        <v>360</v>
      </c>
      <c r="F3445" s="2" t="s">
        <v>100</v>
      </c>
      <c r="H3445" s="2" t="s">
        <v>35</v>
      </c>
    </row>
    <row r="3446" spans="1:8" ht="13" hidden="1">
      <c r="A3446" s="15">
        <v>45990.701746967592</v>
      </c>
      <c r="B3446" s="16">
        <v>45962</v>
      </c>
      <c r="C3446" s="2" t="s">
        <v>105</v>
      </c>
      <c r="D3446" s="2" t="s">
        <v>40</v>
      </c>
      <c r="E3446" s="2">
        <v>4000</v>
      </c>
      <c r="F3446" s="2" t="s">
        <v>100</v>
      </c>
      <c r="H3446" s="2" t="s">
        <v>35</v>
      </c>
    </row>
    <row r="3447" spans="1:8" ht="13" hidden="1">
      <c r="A3447" s="15">
        <v>45990.702057939816</v>
      </c>
      <c r="B3447" s="16">
        <v>45962</v>
      </c>
      <c r="C3447" s="2" t="s">
        <v>350</v>
      </c>
      <c r="D3447" s="2" t="s">
        <v>40</v>
      </c>
      <c r="E3447" s="2">
        <v>1000</v>
      </c>
      <c r="F3447" s="2" t="s">
        <v>100</v>
      </c>
      <c r="H3447" s="2" t="s">
        <v>35</v>
      </c>
    </row>
    <row r="3448" spans="1:8" ht="13" hidden="1">
      <c r="A3448" s="15">
        <v>45990.702324652782</v>
      </c>
      <c r="B3448" s="16">
        <v>45962</v>
      </c>
      <c r="C3448" s="2" t="s">
        <v>179</v>
      </c>
      <c r="D3448" s="2" t="s">
        <v>49</v>
      </c>
      <c r="E3448" s="2">
        <v>1200</v>
      </c>
      <c r="F3448" s="2" t="s">
        <v>100</v>
      </c>
      <c r="H3448" s="2" t="s">
        <v>35</v>
      </c>
    </row>
    <row r="3449" spans="1:8" ht="13" hidden="1">
      <c r="A3449" s="15">
        <v>45990.702581469908</v>
      </c>
      <c r="B3449" s="16">
        <v>45962</v>
      </c>
      <c r="C3449" s="2" t="s">
        <v>240</v>
      </c>
      <c r="D3449" s="2" t="s">
        <v>42</v>
      </c>
      <c r="E3449" s="2">
        <v>330</v>
      </c>
      <c r="F3449" s="2" t="s">
        <v>100</v>
      </c>
      <c r="H3449" s="2" t="s">
        <v>35</v>
      </c>
    </row>
    <row r="3450" spans="1:8" ht="13" hidden="1">
      <c r="A3450" s="15">
        <v>45990.702930995365</v>
      </c>
      <c r="B3450" s="16">
        <v>45962</v>
      </c>
      <c r="C3450" s="2" t="s">
        <v>1312</v>
      </c>
      <c r="D3450" s="2" t="s">
        <v>39</v>
      </c>
      <c r="E3450" s="2">
        <v>15664</v>
      </c>
      <c r="F3450" s="2" t="s">
        <v>100</v>
      </c>
      <c r="H3450" s="2" t="s">
        <v>35</v>
      </c>
    </row>
    <row r="3451" spans="1:8" ht="13" hidden="1">
      <c r="A3451" s="15">
        <v>45990.703234444445</v>
      </c>
      <c r="B3451" s="16">
        <v>45963</v>
      </c>
      <c r="C3451" s="2" t="s">
        <v>116</v>
      </c>
      <c r="D3451" s="2" t="s">
        <v>38</v>
      </c>
      <c r="E3451" s="2">
        <v>3530</v>
      </c>
      <c r="F3451" s="2" t="s">
        <v>100</v>
      </c>
      <c r="G3451" s="2" t="s">
        <v>652</v>
      </c>
      <c r="H3451" s="2" t="s">
        <v>35</v>
      </c>
    </row>
    <row r="3452" spans="1:8" ht="13" hidden="1">
      <c r="A3452" s="15">
        <v>45990.703504641206</v>
      </c>
      <c r="B3452" s="16">
        <v>45964</v>
      </c>
      <c r="C3452" s="2" t="s">
        <v>26</v>
      </c>
      <c r="D3452" s="2" t="s">
        <v>41</v>
      </c>
      <c r="E3452" s="2">
        <v>4214</v>
      </c>
      <c r="F3452" s="2" t="s">
        <v>100</v>
      </c>
      <c r="H3452" s="2" t="s">
        <v>35</v>
      </c>
    </row>
    <row r="3453" spans="1:8" ht="13" hidden="1">
      <c r="A3453" s="15">
        <v>45990.703955775462</v>
      </c>
      <c r="B3453" s="16">
        <v>45965</v>
      </c>
      <c r="C3453" s="2" t="s">
        <v>1313</v>
      </c>
      <c r="D3453" s="2" t="s">
        <v>45</v>
      </c>
      <c r="E3453" s="2">
        <v>790</v>
      </c>
      <c r="F3453" s="2" t="s">
        <v>100</v>
      </c>
      <c r="G3453" s="2" t="s">
        <v>129</v>
      </c>
      <c r="H3453" s="2" t="s">
        <v>35</v>
      </c>
    </row>
    <row r="3454" spans="1:8" ht="13" hidden="1">
      <c r="A3454" s="15">
        <v>45990.70420876157</v>
      </c>
      <c r="B3454" s="16">
        <v>45965</v>
      </c>
      <c r="C3454" s="2" t="s">
        <v>240</v>
      </c>
      <c r="D3454" s="2" t="s">
        <v>42</v>
      </c>
      <c r="E3454" s="2">
        <v>990</v>
      </c>
      <c r="F3454" s="2" t="s">
        <v>100</v>
      </c>
      <c r="H3454" s="2" t="s">
        <v>35</v>
      </c>
    </row>
    <row r="3455" spans="1:8" ht="13" hidden="1">
      <c r="A3455" s="15">
        <v>45990.704392384258</v>
      </c>
      <c r="B3455" s="16">
        <v>45967</v>
      </c>
      <c r="C3455" s="2" t="s">
        <v>240</v>
      </c>
      <c r="D3455" s="2" t="s">
        <v>42</v>
      </c>
      <c r="E3455" s="2">
        <v>990</v>
      </c>
      <c r="F3455" s="2" t="s">
        <v>100</v>
      </c>
      <c r="H3455" s="2" t="s">
        <v>35</v>
      </c>
    </row>
    <row r="3456" spans="1:8" ht="13" hidden="1">
      <c r="A3456" s="15">
        <v>45990.704729490739</v>
      </c>
      <c r="B3456" s="16">
        <v>45968</v>
      </c>
      <c r="C3456" s="2" t="s">
        <v>350</v>
      </c>
      <c r="D3456" s="2" t="s">
        <v>40</v>
      </c>
      <c r="E3456" s="2">
        <v>1000</v>
      </c>
      <c r="F3456" s="2" t="s">
        <v>100</v>
      </c>
      <c r="H3456" s="2" t="s">
        <v>35</v>
      </c>
    </row>
    <row r="3457" spans="1:8" ht="13" hidden="1">
      <c r="A3457" s="15">
        <v>45990.705090891206</v>
      </c>
      <c r="B3457" s="16">
        <v>45969</v>
      </c>
      <c r="C3457" s="2" t="s">
        <v>654</v>
      </c>
      <c r="D3457" s="2" t="s">
        <v>48</v>
      </c>
      <c r="E3457" s="2">
        <v>150</v>
      </c>
      <c r="F3457" s="2" t="s">
        <v>100</v>
      </c>
      <c r="H3457" s="2" t="s">
        <v>35</v>
      </c>
    </row>
    <row r="3458" spans="1:8" ht="13" hidden="1">
      <c r="A3458" s="15">
        <v>45990.705321342597</v>
      </c>
      <c r="B3458" s="16">
        <v>45969</v>
      </c>
      <c r="C3458" s="2" t="s">
        <v>12</v>
      </c>
      <c r="D3458" s="2" t="s">
        <v>39</v>
      </c>
      <c r="E3458" s="2">
        <v>1520</v>
      </c>
      <c r="F3458" s="2" t="s">
        <v>100</v>
      </c>
      <c r="H3458" s="2" t="s">
        <v>35</v>
      </c>
    </row>
    <row r="3459" spans="1:8" ht="13" hidden="1">
      <c r="A3459" s="15">
        <v>45990.705551840278</v>
      </c>
      <c r="B3459" s="16">
        <v>45969</v>
      </c>
      <c r="C3459" s="2" t="s">
        <v>240</v>
      </c>
      <c r="D3459" s="2" t="s">
        <v>42</v>
      </c>
      <c r="E3459" s="2">
        <v>330</v>
      </c>
      <c r="F3459" s="2" t="s">
        <v>100</v>
      </c>
      <c r="H3459" s="2" t="s">
        <v>35</v>
      </c>
    </row>
    <row r="3460" spans="1:8" ht="13" hidden="1">
      <c r="A3460" s="15">
        <v>45990.705929884258</v>
      </c>
      <c r="B3460" s="16">
        <v>45969</v>
      </c>
      <c r="C3460" s="2" t="s">
        <v>350</v>
      </c>
      <c r="D3460" s="2" t="s">
        <v>40</v>
      </c>
      <c r="E3460" s="2">
        <v>1000</v>
      </c>
      <c r="F3460" s="2" t="s">
        <v>100</v>
      </c>
      <c r="H3460" s="2" t="s">
        <v>35</v>
      </c>
    </row>
    <row r="3461" spans="1:8" ht="13" hidden="1">
      <c r="A3461" s="15">
        <v>45990.70622393518</v>
      </c>
      <c r="B3461" s="16">
        <v>45969</v>
      </c>
      <c r="C3461" s="2" t="s">
        <v>923</v>
      </c>
      <c r="D3461" s="2" t="s">
        <v>39</v>
      </c>
      <c r="E3461" s="2">
        <v>4480</v>
      </c>
      <c r="F3461" s="2" t="s">
        <v>100</v>
      </c>
      <c r="G3461" s="2" t="s">
        <v>1314</v>
      </c>
      <c r="H3461" s="2" t="s">
        <v>35</v>
      </c>
    </row>
    <row r="3462" spans="1:8" ht="13" hidden="1">
      <c r="A3462" s="15">
        <v>45990.706532800927</v>
      </c>
      <c r="B3462" s="16">
        <v>45970</v>
      </c>
      <c r="C3462" s="2" t="s">
        <v>116</v>
      </c>
      <c r="D3462" s="2" t="s">
        <v>38</v>
      </c>
      <c r="E3462" s="2">
        <v>2426</v>
      </c>
      <c r="F3462" s="2" t="s">
        <v>100</v>
      </c>
      <c r="G3462" s="2" t="s">
        <v>652</v>
      </c>
      <c r="H3462" s="2" t="s">
        <v>35</v>
      </c>
    </row>
    <row r="3463" spans="1:8" ht="13" hidden="1">
      <c r="A3463" s="15">
        <v>45990.706882638886</v>
      </c>
      <c r="B3463" s="16">
        <v>45970</v>
      </c>
      <c r="C3463" s="2" t="s">
        <v>15</v>
      </c>
      <c r="D3463" s="2" t="s">
        <v>48</v>
      </c>
      <c r="E3463" s="2">
        <v>880</v>
      </c>
      <c r="F3463" s="2" t="s">
        <v>100</v>
      </c>
      <c r="H3463" s="2" t="s">
        <v>35</v>
      </c>
    </row>
    <row r="3464" spans="1:8" ht="13" hidden="1">
      <c r="A3464" s="15">
        <v>45990.707146296292</v>
      </c>
      <c r="B3464" s="16">
        <v>45970</v>
      </c>
      <c r="C3464" s="2" t="s">
        <v>365</v>
      </c>
      <c r="D3464" s="2" t="s">
        <v>45</v>
      </c>
      <c r="E3464" s="2">
        <v>6490</v>
      </c>
      <c r="F3464" s="2" t="s">
        <v>100</v>
      </c>
      <c r="G3464" s="2" t="s">
        <v>150</v>
      </c>
      <c r="H3464" s="2" t="s">
        <v>35</v>
      </c>
    </row>
    <row r="3465" spans="1:8" ht="13" hidden="1">
      <c r="A3465" s="15">
        <v>45990.707373645833</v>
      </c>
      <c r="B3465" s="16">
        <v>45971</v>
      </c>
      <c r="C3465" s="2" t="s">
        <v>240</v>
      </c>
      <c r="D3465" s="2" t="s">
        <v>42</v>
      </c>
      <c r="E3465" s="2">
        <v>264</v>
      </c>
      <c r="F3465" s="2" t="s">
        <v>100</v>
      </c>
      <c r="H3465" s="2" t="s">
        <v>35</v>
      </c>
    </row>
    <row r="3466" spans="1:8" ht="13" hidden="1">
      <c r="A3466" s="15">
        <v>45990.707671064811</v>
      </c>
      <c r="B3466" s="16">
        <v>45971</v>
      </c>
      <c r="C3466" s="2" t="s">
        <v>45</v>
      </c>
      <c r="D3466" s="2" t="s">
        <v>45</v>
      </c>
      <c r="E3466" s="2">
        <v>1799</v>
      </c>
      <c r="F3466" s="2" t="s">
        <v>100</v>
      </c>
      <c r="G3466" s="2" t="s">
        <v>285</v>
      </c>
      <c r="H3466" s="2" t="s">
        <v>35</v>
      </c>
    </row>
    <row r="3467" spans="1:8" ht="13" hidden="1">
      <c r="A3467" s="15">
        <v>45990.707943668982</v>
      </c>
      <c r="B3467" s="16">
        <v>45972</v>
      </c>
      <c r="C3467" s="2" t="s">
        <v>736</v>
      </c>
      <c r="D3467" s="2" t="s">
        <v>39</v>
      </c>
      <c r="E3467" s="2">
        <v>2530</v>
      </c>
      <c r="F3467" s="2" t="s">
        <v>100</v>
      </c>
      <c r="H3467" s="2" t="s">
        <v>35</v>
      </c>
    </row>
    <row r="3468" spans="1:8" ht="13" hidden="1">
      <c r="A3468" s="15">
        <v>45990.708198356486</v>
      </c>
      <c r="B3468" s="16">
        <v>45972</v>
      </c>
      <c r="C3468" s="2" t="s">
        <v>18</v>
      </c>
      <c r="D3468" s="2" t="s">
        <v>41</v>
      </c>
      <c r="E3468" s="2">
        <v>5868</v>
      </c>
      <c r="F3468" s="2" t="s">
        <v>100</v>
      </c>
      <c r="H3468" s="2" t="s">
        <v>35</v>
      </c>
    </row>
    <row r="3469" spans="1:8" ht="13" hidden="1">
      <c r="A3469" s="15">
        <v>45990.70847967593</v>
      </c>
      <c r="B3469" s="16">
        <v>45974</v>
      </c>
      <c r="C3469" s="2" t="s">
        <v>350</v>
      </c>
      <c r="D3469" s="2" t="s">
        <v>42</v>
      </c>
      <c r="E3469" s="2">
        <v>990</v>
      </c>
      <c r="F3469" s="2" t="s">
        <v>100</v>
      </c>
      <c r="H3469" s="2" t="s">
        <v>35</v>
      </c>
    </row>
    <row r="3470" spans="1:8" ht="13" hidden="1">
      <c r="A3470" s="15">
        <v>45990.708712708336</v>
      </c>
      <c r="B3470" s="16">
        <v>45975</v>
      </c>
      <c r="C3470" s="2" t="s">
        <v>662</v>
      </c>
      <c r="D3470" s="2" t="s">
        <v>48</v>
      </c>
      <c r="E3470" s="2">
        <v>3542</v>
      </c>
      <c r="F3470" s="2" t="s">
        <v>100</v>
      </c>
      <c r="H3470" s="2" t="s">
        <v>35</v>
      </c>
    </row>
    <row r="3471" spans="1:8" ht="13" hidden="1">
      <c r="A3471" s="15">
        <v>45990.709025717588</v>
      </c>
      <c r="B3471" s="16">
        <v>45975</v>
      </c>
      <c r="C3471" s="2" t="s">
        <v>240</v>
      </c>
      <c r="D3471" s="2" t="s">
        <v>42</v>
      </c>
      <c r="E3471" s="2">
        <v>180</v>
      </c>
      <c r="F3471" s="2" t="s">
        <v>100</v>
      </c>
      <c r="H3471" s="2" t="s">
        <v>35</v>
      </c>
    </row>
    <row r="3472" spans="1:8" ht="13" hidden="1">
      <c r="A3472" s="15">
        <v>45990.709291874999</v>
      </c>
      <c r="B3472" s="16">
        <v>45975</v>
      </c>
      <c r="C3472" s="2" t="s">
        <v>350</v>
      </c>
      <c r="D3472" s="2" t="s">
        <v>40</v>
      </c>
      <c r="E3472" s="2">
        <v>1000</v>
      </c>
      <c r="F3472" s="2" t="s">
        <v>100</v>
      </c>
      <c r="H3472" s="2" t="s">
        <v>35</v>
      </c>
    </row>
    <row r="3473" spans="1:8" ht="13" hidden="1">
      <c r="A3473" s="15">
        <v>45990.70955569444</v>
      </c>
      <c r="B3473" s="16">
        <v>45976</v>
      </c>
      <c r="C3473" s="2" t="s">
        <v>20</v>
      </c>
      <c r="D3473" s="2" t="s">
        <v>39</v>
      </c>
      <c r="E3473" s="2">
        <v>1590</v>
      </c>
      <c r="F3473" s="2" t="s">
        <v>100</v>
      </c>
      <c r="H3473" s="2" t="s">
        <v>35</v>
      </c>
    </row>
    <row r="3474" spans="1:8" ht="13" hidden="1">
      <c r="A3474" s="15">
        <v>45990.709957071755</v>
      </c>
      <c r="B3474" s="16">
        <v>45976</v>
      </c>
      <c r="C3474" s="2" t="s">
        <v>350</v>
      </c>
      <c r="D3474" s="2" t="s">
        <v>40</v>
      </c>
      <c r="E3474" s="2">
        <v>1000</v>
      </c>
      <c r="F3474" s="2" t="s">
        <v>100</v>
      </c>
      <c r="H3474" s="2" t="s">
        <v>35</v>
      </c>
    </row>
    <row r="3475" spans="1:8" ht="13" hidden="1">
      <c r="A3475" s="15">
        <v>45990.710566863425</v>
      </c>
      <c r="B3475" s="16">
        <v>45977</v>
      </c>
      <c r="C3475" s="2" t="s">
        <v>116</v>
      </c>
      <c r="D3475" s="2" t="s">
        <v>38</v>
      </c>
      <c r="E3475" s="2">
        <v>3078</v>
      </c>
      <c r="F3475" s="2" t="s">
        <v>100</v>
      </c>
      <c r="G3475" s="2" t="s">
        <v>145</v>
      </c>
      <c r="H3475" s="2" t="s">
        <v>35</v>
      </c>
    </row>
    <row r="3476" spans="1:8" ht="13" hidden="1">
      <c r="A3476" s="15">
        <v>45990.711095752311</v>
      </c>
      <c r="B3476" s="16">
        <v>45977</v>
      </c>
      <c r="C3476" s="2" t="s">
        <v>116</v>
      </c>
      <c r="D3476" s="2" t="s">
        <v>38</v>
      </c>
      <c r="E3476" s="2">
        <v>3317</v>
      </c>
      <c r="F3476" s="2" t="s">
        <v>100</v>
      </c>
      <c r="G3476" s="2" t="s">
        <v>652</v>
      </c>
      <c r="H3476" s="2" t="s">
        <v>35</v>
      </c>
    </row>
    <row r="3477" spans="1:8" ht="13" hidden="1">
      <c r="A3477" s="15">
        <v>45990.711463506945</v>
      </c>
      <c r="B3477" s="16">
        <v>45978</v>
      </c>
      <c r="C3477" s="2" t="s">
        <v>1315</v>
      </c>
      <c r="D3477" s="2" t="s">
        <v>39</v>
      </c>
      <c r="E3477" s="2">
        <v>1180</v>
      </c>
      <c r="F3477" s="2" t="s">
        <v>100</v>
      </c>
      <c r="H3477" s="2" t="s">
        <v>35</v>
      </c>
    </row>
    <row r="3478" spans="1:8" ht="13" hidden="1">
      <c r="A3478" s="15">
        <v>45990.711941851856</v>
      </c>
      <c r="B3478" s="16">
        <v>45979</v>
      </c>
      <c r="C3478" s="2" t="s">
        <v>1316</v>
      </c>
      <c r="D3478" s="2" t="s">
        <v>45</v>
      </c>
      <c r="E3478" s="2">
        <v>1217</v>
      </c>
      <c r="F3478" s="2" t="s">
        <v>100</v>
      </c>
      <c r="G3478" s="2" t="s">
        <v>129</v>
      </c>
      <c r="H3478" s="2" t="s">
        <v>35</v>
      </c>
    </row>
    <row r="3479" spans="1:8" ht="13" hidden="1">
      <c r="A3479" s="15">
        <v>45990.71224883102</v>
      </c>
      <c r="B3479" s="16">
        <v>45980</v>
      </c>
      <c r="C3479" s="2" t="s">
        <v>183</v>
      </c>
      <c r="D3479" s="2" t="s">
        <v>46</v>
      </c>
      <c r="E3479" s="2">
        <v>1980</v>
      </c>
      <c r="F3479" s="2" t="s">
        <v>100</v>
      </c>
      <c r="G3479" s="2" t="s">
        <v>129</v>
      </c>
      <c r="H3479" s="2" t="s">
        <v>35</v>
      </c>
    </row>
    <row r="3480" spans="1:8" ht="13" hidden="1">
      <c r="A3480" s="15">
        <v>45990.712473958338</v>
      </c>
      <c r="B3480" s="16">
        <v>45980</v>
      </c>
      <c r="C3480" s="2" t="s">
        <v>240</v>
      </c>
      <c r="D3480" s="2" t="s">
        <v>42</v>
      </c>
      <c r="E3480" s="2">
        <v>990</v>
      </c>
      <c r="F3480" s="2" t="s">
        <v>100</v>
      </c>
      <c r="H3480" s="2" t="s">
        <v>35</v>
      </c>
    </row>
    <row r="3481" spans="1:8" ht="13" hidden="1">
      <c r="A3481" s="15">
        <v>45990.712728946761</v>
      </c>
      <c r="B3481" s="16">
        <v>45980</v>
      </c>
      <c r="C3481" s="2" t="s">
        <v>350</v>
      </c>
      <c r="D3481" s="2" t="s">
        <v>40</v>
      </c>
      <c r="E3481" s="2">
        <v>1000</v>
      </c>
      <c r="F3481" s="2" t="s">
        <v>100</v>
      </c>
      <c r="H3481" s="2" t="s">
        <v>35</v>
      </c>
    </row>
    <row r="3482" spans="1:8" ht="13" hidden="1">
      <c r="A3482" s="15">
        <v>45990.713089895835</v>
      </c>
      <c r="B3482" s="16">
        <v>45981</v>
      </c>
      <c r="C3482" s="2" t="s">
        <v>24</v>
      </c>
      <c r="D3482" s="2" t="s">
        <v>49</v>
      </c>
      <c r="E3482" s="2">
        <v>1100</v>
      </c>
      <c r="F3482" s="2" t="s">
        <v>100</v>
      </c>
      <c r="H3482" s="2" t="s">
        <v>35</v>
      </c>
    </row>
    <row r="3483" spans="1:8" ht="13" hidden="1">
      <c r="A3483" s="15">
        <v>45990.713406238428</v>
      </c>
      <c r="B3483" s="16">
        <v>45981</v>
      </c>
      <c r="C3483" s="2" t="s">
        <v>17</v>
      </c>
      <c r="D3483" s="2" t="s">
        <v>45</v>
      </c>
      <c r="E3483" s="2">
        <v>8140</v>
      </c>
      <c r="F3483" s="2" t="s">
        <v>100</v>
      </c>
      <c r="H3483" s="2" t="s">
        <v>35</v>
      </c>
    </row>
    <row r="3484" spans="1:8" ht="13" hidden="1">
      <c r="A3484" s="15">
        <v>45985.835305706016</v>
      </c>
      <c r="B3484" s="16">
        <v>45987</v>
      </c>
      <c r="C3484" s="2" t="s">
        <v>146</v>
      </c>
      <c r="D3484" s="2" t="s">
        <v>47</v>
      </c>
      <c r="E3484" s="2">
        <v>3400</v>
      </c>
      <c r="F3484" s="2" t="s">
        <v>102</v>
      </c>
      <c r="H3484" s="2" t="s">
        <v>35</v>
      </c>
    </row>
    <row r="3485" spans="1:8" ht="13" hidden="1">
      <c r="A3485" s="15">
        <v>45989.995725289351</v>
      </c>
      <c r="B3485" s="16">
        <v>45987</v>
      </c>
      <c r="C3485" s="2" t="s">
        <v>114</v>
      </c>
      <c r="D3485" s="2" t="s">
        <v>38</v>
      </c>
      <c r="E3485" s="2">
        <v>125</v>
      </c>
      <c r="F3485" s="2" t="s">
        <v>102</v>
      </c>
      <c r="G3485" s="2" t="s">
        <v>356</v>
      </c>
      <c r="H3485" s="2" t="s">
        <v>35</v>
      </c>
    </row>
    <row r="3486" spans="1:8" ht="13" hidden="1">
      <c r="A3486" s="15">
        <v>45985.835548182869</v>
      </c>
      <c r="B3486" s="16">
        <v>45988</v>
      </c>
      <c r="C3486" s="2" t="s">
        <v>1317</v>
      </c>
      <c r="D3486" s="2" t="s">
        <v>5</v>
      </c>
      <c r="E3486" s="2">
        <v>93000</v>
      </c>
      <c r="F3486" s="2" t="s">
        <v>102</v>
      </c>
      <c r="H3486" s="2" t="s">
        <v>35</v>
      </c>
    </row>
    <row r="3487" spans="1:8" ht="13" hidden="1">
      <c r="A3487" s="15">
        <v>45985.835777592598</v>
      </c>
      <c r="B3487" s="16">
        <v>45988</v>
      </c>
      <c r="C3487" s="2" t="s">
        <v>408</v>
      </c>
      <c r="D3487" s="2" t="s">
        <v>152</v>
      </c>
      <c r="E3487" s="2">
        <v>15000</v>
      </c>
      <c r="F3487" s="2" t="s">
        <v>102</v>
      </c>
      <c r="H3487" s="2" t="s">
        <v>35</v>
      </c>
    </row>
    <row r="3488" spans="1:8" ht="13" hidden="1">
      <c r="A3488" s="15">
        <v>45985.836464224536</v>
      </c>
      <c r="B3488" s="16">
        <v>45988</v>
      </c>
      <c r="C3488" s="2" t="s">
        <v>133</v>
      </c>
      <c r="D3488" s="2" t="s">
        <v>47</v>
      </c>
      <c r="E3488" s="2">
        <v>26000</v>
      </c>
      <c r="F3488" s="2" t="s">
        <v>102</v>
      </c>
      <c r="H3488" s="2" t="s">
        <v>35</v>
      </c>
    </row>
    <row r="3489" spans="1:8" ht="13" hidden="1">
      <c r="A3489" s="15">
        <v>45985.836741446758</v>
      </c>
      <c r="B3489" s="16">
        <v>45988</v>
      </c>
      <c r="C3489" s="2" t="s">
        <v>9</v>
      </c>
      <c r="D3489" s="2" t="s">
        <v>47</v>
      </c>
      <c r="E3489" s="2">
        <v>13600</v>
      </c>
      <c r="F3489" s="2" t="s">
        <v>102</v>
      </c>
      <c r="H3489" s="2" t="s">
        <v>35</v>
      </c>
    </row>
    <row r="3490" spans="1:8" ht="13" hidden="1">
      <c r="A3490" s="15">
        <v>45989.994482476854</v>
      </c>
      <c r="B3490" s="16">
        <v>45988</v>
      </c>
      <c r="C3490" s="2" t="s">
        <v>87</v>
      </c>
      <c r="E3490" s="2">
        <v>150000</v>
      </c>
      <c r="H3490" s="2" t="s">
        <v>34</v>
      </c>
    </row>
    <row r="3491" spans="1:8" ht="13" hidden="1">
      <c r="A3491" s="15">
        <v>45989.996016944446</v>
      </c>
      <c r="B3491" s="16">
        <v>45988</v>
      </c>
      <c r="C3491" s="2" t="s">
        <v>1318</v>
      </c>
      <c r="D3491" s="2" t="s">
        <v>39</v>
      </c>
      <c r="E3491" s="2">
        <v>260</v>
      </c>
      <c r="F3491" s="2" t="s">
        <v>102</v>
      </c>
      <c r="H3491" s="2" t="s">
        <v>35</v>
      </c>
    </row>
    <row r="3492" spans="1:8" ht="13" hidden="1">
      <c r="A3492" s="15">
        <v>45998.86582204861</v>
      </c>
      <c r="B3492" s="16">
        <v>45988</v>
      </c>
      <c r="C3492" s="2" t="s">
        <v>1319</v>
      </c>
      <c r="D3492" s="2" t="s">
        <v>49</v>
      </c>
      <c r="E3492" s="2">
        <v>1650</v>
      </c>
      <c r="F3492" s="2" t="s">
        <v>100</v>
      </c>
      <c r="H3492" s="2" t="s">
        <v>35</v>
      </c>
    </row>
    <row r="3493" spans="1:8" ht="13" hidden="1">
      <c r="A3493" s="15">
        <v>45989.996382916666</v>
      </c>
      <c r="B3493" s="16">
        <v>45989</v>
      </c>
      <c r="C3493" s="2" t="s">
        <v>106</v>
      </c>
      <c r="D3493" s="2" t="s">
        <v>38</v>
      </c>
      <c r="E3493" s="2">
        <v>1100</v>
      </c>
      <c r="F3493" s="2" t="s">
        <v>102</v>
      </c>
      <c r="G3493" s="2" t="s">
        <v>931</v>
      </c>
      <c r="H3493" s="2" t="s">
        <v>35</v>
      </c>
    </row>
    <row r="3494" spans="1:8" ht="13" hidden="1">
      <c r="A3494" s="15">
        <v>45989.996655497685</v>
      </c>
      <c r="B3494" s="16">
        <v>45989</v>
      </c>
      <c r="C3494" s="2" t="s">
        <v>112</v>
      </c>
      <c r="D3494" s="2" t="s">
        <v>38</v>
      </c>
      <c r="E3494" s="2">
        <v>280</v>
      </c>
      <c r="F3494" s="2" t="s">
        <v>102</v>
      </c>
      <c r="G3494" s="2" t="s">
        <v>113</v>
      </c>
      <c r="H3494" s="2" t="s">
        <v>35</v>
      </c>
    </row>
    <row r="3495" spans="1:8" ht="13" hidden="1">
      <c r="A3495" s="15">
        <v>45989.997011805557</v>
      </c>
      <c r="B3495" s="16">
        <v>45989</v>
      </c>
      <c r="C3495" s="2" t="s">
        <v>280</v>
      </c>
      <c r="D3495" s="2" t="s">
        <v>46</v>
      </c>
      <c r="E3495" s="2">
        <v>2915</v>
      </c>
      <c r="F3495" s="2" t="s">
        <v>102</v>
      </c>
      <c r="G3495" s="2" t="s">
        <v>306</v>
      </c>
      <c r="H3495" s="2" t="s">
        <v>35</v>
      </c>
    </row>
    <row r="3496" spans="1:8" ht="13" hidden="1">
      <c r="A3496" s="15">
        <v>45989.997257905095</v>
      </c>
      <c r="B3496" s="16">
        <v>45989</v>
      </c>
      <c r="C3496" s="2" t="s">
        <v>1320</v>
      </c>
      <c r="D3496" s="2" t="s">
        <v>38</v>
      </c>
      <c r="E3496" s="2">
        <v>890</v>
      </c>
      <c r="F3496" s="2" t="s">
        <v>102</v>
      </c>
      <c r="G3496" s="2" t="s">
        <v>199</v>
      </c>
      <c r="H3496" s="2" t="s">
        <v>35</v>
      </c>
    </row>
    <row r="3497" spans="1:8" ht="13" hidden="1">
      <c r="A3497" s="15">
        <v>45998.866186898143</v>
      </c>
      <c r="B3497" s="16">
        <v>45989</v>
      </c>
      <c r="C3497" s="2" t="s">
        <v>158</v>
      </c>
      <c r="D3497" s="2" t="s">
        <v>49</v>
      </c>
      <c r="E3497" s="2">
        <v>4980</v>
      </c>
      <c r="F3497" s="2" t="s">
        <v>100</v>
      </c>
      <c r="H3497" s="2" t="s">
        <v>35</v>
      </c>
    </row>
    <row r="3498" spans="1:8" ht="13" hidden="1">
      <c r="A3498" s="15">
        <v>45998.735602175926</v>
      </c>
      <c r="B3498" s="16">
        <v>45990</v>
      </c>
      <c r="C3498" s="2" t="s">
        <v>163</v>
      </c>
      <c r="D3498" s="2" t="s">
        <v>38</v>
      </c>
      <c r="E3498" s="2">
        <v>1980</v>
      </c>
      <c r="F3498" s="2" t="s">
        <v>102</v>
      </c>
      <c r="G3498" s="2" t="s">
        <v>164</v>
      </c>
      <c r="H3498" s="2" t="s">
        <v>35</v>
      </c>
    </row>
    <row r="3499" spans="1:8" ht="13" hidden="1">
      <c r="A3499" s="15">
        <v>45998.736186921291</v>
      </c>
      <c r="B3499" s="16">
        <v>45990</v>
      </c>
      <c r="C3499" s="2" t="s">
        <v>45</v>
      </c>
      <c r="D3499" s="2" t="s">
        <v>45</v>
      </c>
      <c r="E3499" s="2">
        <v>1854</v>
      </c>
      <c r="F3499" s="2" t="s">
        <v>102</v>
      </c>
      <c r="G3499" s="2" t="s">
        <v>285</v>
      </c>
      <c r="H3499" s="2" t="s">
        <v>35</v>
      </c>
    </row>
    <row r="3500" spans="1:8" ht="13" hidden="1">
      <c r="A3500" s="15">
        <v>45998.736876469906</v>
      </c>
      <c r="B3500" s="16">
        <v>45990</v>
      </c>
      <c r="C3500" s="2" t="s">
        <v>912</v>
      </c>
      <c r="D3500" s="2" t="s">
        <v>38</v>
      </c>
      <c r="E3500" s="2">
        <v>501</v>
      </c>
      <c r="F3500" s="2" t="s">
        <v>102</v>
      </c>
      <c r="G3500" s="2" t="s">
        <v>356</v>
      </c>
      <c r="H3500" s="2" t="s">
        <v>35</v>
      </c>
    </row>
    <row r="3501" spans="1:8" ht="13" hidden="1">
      <c r="A3501" s="15">
        <v>45998.866475763891</v>
      </c>
      <c r="B3501" s="16">
        <v>45990</v>
      </c>
      <c r="C3501" s="2" t="s">
        <v>116</v>
      </c>
      <c r="D3501" s="2" t="s">
        <v>38</v>
      </c>
      <c r="E3501" s="2">
        <v>2016</v>
      </c>
      <c r="F3501" s="2" t="s">
        <v>100</v>
      </c>
      <c r="G3501" s="2" t="s">
        <v>652</v>
      </c>
      <c r="H3501" s="2" t="s">
        <v>35</v>
      </c>
    </row>
    <row r="3502" spans="1:8" ht="13" hidden="1">
      <c r="A3502" s="15">
        <v>45998.866726631946</v>
      </c>
      <c r="B3502" s="16">
        <v>45990</v>
      </c>
      <c r="C3502" s="2" t="s">
        <v>240</v>
      </c>
      <c r="D3502" s="2" t="s">
        <v>42</v>
      </c>
      <c r="E3502" s="2">
        <v>180</v>
      </c>
      <c r="F3502" s="2" t="s">
        <v>100</v>
      </c>
      <c r="H3502" s="2" t="s">
        <v>35</v>
      </c>
    </row>
    <row r="3503" spans="1:8" ht="13" hidden="1">
      <c r="A3503" s="15">
        <v>45998.867060428238</v>
      </c>
      <c r="B3503" s="16">
        <v>45990</v>
      </c>
      <c r="C3503" s="2" t="s">
        <v>183</v>
      </c>
      <c r="D3503" s="2" t="s">
        <v>46</v>
      </c>
      <c r="E3503" s="2">
        <v>4763</v>
      </c>
      <c r="F3503" s="2" t="s">
        <v>100</v>
      </c>
      <c r="G3503" s="2" t="s">
        <v>1321</v>
      </c>
      <c r="H3503" s="2" t="s">
        <v>35</v>
      </c>
    </row>
    <row r="3504" spans="1:8" ht="13" hidden="1">
      <c r="A3504" s="15">
        <v>45998.737277743057</v>
      </c>
      <c r="B3504" s="16">
        <v>45991</v>
      </c>
      <c r="C3504" s="2" t="s">
        <v>1322</v>
      </c>
      <c r="D3504" s="2" t="s">
        <v>45</v>
      </c>
      <c r="E3504" s="2">
        <v>383</v>
      </c>
      <c r="F3504" s="2" t="s">
        <v>102</v>
      </c>
      <c r="G3504" s="2" t="s">
        <v>969</v>
      </c>
      <c r="H3504" s="2" t="s">
        <v>35</v>
      </c>
    </row>
    <row r="3505" spans="1:8" ht="13" hidden="1">
      <c r="A3505" s="15">
        <v>45998.737633541663</v>
      </c>
      <c r="B3505" s="16">
        <v>45991</v>
      </c>
      <c r="C3505" s="2" t="s">
        <v>1323</v>
      </c>
      <c r="D3505" s="2" t="s">
        <v>38</v>
      </c>
      <c r="E3505" s="2">
        <v>249</v>
      </c>
      <c r="F3505" s="2" t="s">
        <v>102</v>
      </c>
      <c r="G3505" s="2" t="s">
        <v>969</v>
      </c>
      <c r="H3505" s="2" t="s">
        <v>35</v>
      </c>
    </row>
    <row r="3506" spans="1:8" ht="13" hidden="1">
      <c r="A3506" s="15">
        <v>45998.738167152776</v>
      </c>
      <c r="B3506" s="16">
        <v>45991</v>
      </c>
      <c r="C3506" s="2" t="s">
        <v>114</v>
      </c>
      <c r="D3506" s="2" t="s">
        <v>38</v>
      </c>
      <c r="E3506" s="2">
        <v>167</v>
      </c>
      <c r="F3506" s="2" t="s">
        <v>102</v>
      </c>
      <c r="G3506" s="2" t="s">
        <v>356</v>
      </c>
      <c r="H3506" s="2" t="s">
        <v>35</v>
      </c>
    </row>
    <row r="3507" spans="1:8" ht="13" hidden="1">
      <c r="A3507" s="15">
        <v>45998.867309884256</v>
      </c>
      <c r="B3507" s="16">
        <v>45991</v>
      </c>
      <c r="C3507" s="2" t="s">
        <v>240</v>
      </c>
      <c r="D3507" s="2" t="s">
        <v>42</v>
      </c>
      <c r="E3507" s="2">
        <v>990</v>
      </c>
      <c r="F3507" s="2" t="s">
        <v>100</v>
      </c>
      <c r="H3507" s="2" t="s">
        <v>35</v>
      </c>
    </row>
    <row r="3508" spans="1:8" ht="13" hidden="1">
      <c r="A3508" s="15">
        <v>45998.867512777782</v>
      </c>
      <c r="B3508" s="16">
        <v>45991</v>
      </c>
      <c r="C3508" s="2" t="s">
        <v>350</v>
      </c>
      <c r="D3508" s="2" t="s">
        <v>40</v>
      </c>
      <c r="E3508" s="2">
        <v>2000</v>
      </c>
      <c r="F3508" s="2" t="s">
        <v>100</v>
      </c>
      <c r="H3508" s="2" t="s">
        <v>35</v>
      </c>
    </row>
    <row r="3509" spans="1:8" ht="13" hidden="1">
      <c r="A3509" s="15">
        <v>45998.738609618056</v>
      </c>
      <c r="B3509" s="16">
        <v>45992</v>
      </c>
      <c r="C3509" s="2" t="s">
        <v>1161</v>
      </c>
      <c r="D3509" s="2" t="s">
        <v>45</v>
      </c>
      <c r="E3509" s="2">
        <v>555</v>
      </c>
      <c r="F3509" s="2" t="s">
        <v>102</v>
      </c>
      <c r="G3509" s="2" t="s">
        <v>285</v>
      </c>
      <c r="H3509" s="2" t="s">
        <v>35</v>
      </c>
    </row>
    <row r="3510" spans="1:8" ht="13" hidden="1">
      <c r="A3510" s="15">
        <v>45998.738882071761</v>
      </c>
      <c r="B3510" s="16">
        <v>45992</v>
      </c>
      <c r="C3510" s="2" t="s">
        <v>1286</v>
      </c>
      <c r="E3510" s="2">
        <v>2641</v>
      </c>
      <c r="H3510" s="2" t="s">
        <v>34</v>
      </c>
    </row>
    <row r="3511" spans="1:8" ht="13" hidden="1">
      <c r="A3511" s="15">
        <v>45998.867741273149</v>
      </c>
      <c r="B3511" s="16">
        <v>45992</v>
      </c>
      <c r="C3511" s="2" t="s">
        <v>179</v>
      </c>
      <c r="D3511" s="2" t="s">
        <v>49</v>
      </c>
      <c r="E3511" s="2">
        <v>1200</v>
      </c>
      <c r="F3511" s="2" t="s">
        <v>100</v>
      </c>
      <c r="H3511" s="2" t="s">
        <v>35</v>
      </c>
    </row>
    <row r="3512" spans="1:8" ht="13" hidden="1">
      <c r="A3512" s="15">
        <v>45998.86807887732</v>
      </c>
      <c r="B3512" s="16">
        <v>45992</v>
      </c>
      <c r="C3512" s="2" t="s">
        <v>26</v>
      </c>
      <c r="D3512" s="2" t="s">
        <v>41</v>
      </c>
      <c r="E3512" s="2">
        <v>5128</v>
      </c>
      <c r="F3512" s="2" t="s">
        <v>100</v>
      </c>
      <c r="H3512" s="2" t="s">
        <v>35</v>
      </c>
    </row>
    <row r="3513" spans="1:8" ht="13" hidden="1">
      <c r="A3513" s="15">
        <v>45998.743150706017</v>
      </c>
      <c r="B3513" s="16">
        <v>45993</v>
      </c>
      <c r="C3513" s="2" t="s">
        <v>106</v>
      </c>
      <c r="D3513" s="2" t="s">
        <v>38</v>
      </c>
      <c r="E3513" s="2">
        <v>1100</v>
      </c>
      <c r="F3513" s="2" t="s">
        <v>102</v>
      </c>
      <c r="H3513" s="2" t="s">
        <v>35</v>
      </c>
    </row>
    <row r="3514" spans="1:8" ht="13" hidden="1">
      <c r="A3514" s="15">
        <v>45998.868355543978</v>
      </c>
      <c r="B3514" s="16">
        <v>45993</v>
      </c>
      <c r="C3514" s="2" t="s">
        <v>10</v>
      </c>
      <c r="D3514" s="2" t="s">
        <v>45</v>
      </c>
      <c r="E3514" s="2">
        <v>360</v>
      </c>
      <c r="F3514" s="2" t="s">
        <v>100</v>
      </c>
      <c r="H3514" s="2" t="s">
        <v>35</v>
      </c>
    </row>
    <row r="3515" spans="1:8" ht="13" hidden="1">
      <c r="A3515" s="15">
        <v>45998.739279398149</v>
      </c>
      <c r="B3515" s="16">
        <v>45994</v>
      </c>
      <c r="C3515" s="2" t="s">
        <v>1283</v>
      </c>
      <c r="D3515" s="2" t="s">
        <v>39</v>
      </c>
      <c r="E3515" s="2">
        <v>4430</v>
      </c>
      <c r="F3515" s="2" t="s">
        <v>102</v>
      </c>
      <c r="H3515" s="2" t="s">
        <v>35</v>
      </c>
    </row>
    <row r="3516" spans="1:8" ht="13" hidden="1">
      <c r="A3516" s="15">
        <v>45998.86867329861</v>
      </c>
      <c r="B3516" s="16">
        <v>45994</v>
      </c>
      <c r="C3516" s="2" t="s">
        <v>1324</v>
      </c>
      <c r="D3516" s="2" t="s">
        <v>39</v>
      </c>
      <c r="E3516" s="2">
        <v>1000</v>
      </c>
      <c r="F3516" s="2" t="s">
        <v>100</v>
      </c>
      <c r="H3516" s="2" t="s">
        <v>35</v>
      </c>
    </row>
    <row r="3517" spans="1:8" ht="13" hidden="1">
      <c r="A3517" s="15">
        <v>46024.747708310184</v>
      </c>
      <c r="B3517" s="16">
        <v>45995</v>
      </c>
      <c r="C3517" s="2" t="s">
        <v>350</v>
      </c>
      <c r="D3517" s="2" t="s">
        <v>40</v>
      </c>
      <c r="E3517" s="2">
        <v>2000</v>
      </c>
      <c r="F3517" s="2" t="s">
        <v>100</v>
      </c>
      <c r="H3517" s="2" t="s">
        <v>35</v>
      </c>
    </row>
    <row r="3518" spans="1:8" ht="13" hidden="1">
      <c r="A3518" s="15">
        <v>46024.748024432869</v>
      </c>
      <c r="B3518" s="16">
        <v>45995</v>
      </c>
      <c r="C3518" s="2" t="s">
        <v>176</v>
      </c>
      <c r="D3518" s="2" t="s">
        <v>41</v>
      </c>
      <c r="E3518" s="2">
        <v>3245</v>
      </c>
      <c r="F3518" s="2" t="s">
        <v>100</v>
      </c>
      <c r="H3518" s="2" t="s">
        <v>35</v>
      </c>
    </row>
    <row r="3519" spans="1:8" ht="13" hidden="1">
      <c r="A3519" s="15">
        <v>45998.739581979171</v>
      </c>
      <c r="B3519" s="16">
        <v>45996</v>
      </c>
      <c r="C3519" s="2" t="s">
        <v>112</v>
      </c>
      <c r="D3519" s="2" t="s">
        <v>38</v>
      </c>
      <c r="E3519" s="2">
        <v>280</v>
      </c>
      <c r="F3519" s="2" t="s">
        <v>102</v>
      </c>
      <c r="G3519" s="2" t="s">
        <v>113</v>
      </c>
      <c r="H3519" s="2" t="s">
        <v>35</v>
      </c>
    </row>
    <row r="3520" spans="1:8" ht="13" hidden="1">
      <c r="A3520" s="15">
        <v>45998.740068854167</v>
      </c>
      <c r="B3520" s="16">
        <v>45996</v>
      </c>
      <c r="C3520" s="2" t="s">
        <v>1325</v>
      </c>
      <c r="D3520" s="2" t="s">
        <v>39</v>
      </c>
      <c r="E3520" s="2">
        <v>4687</v>
      </c>
      <c r="F3520" s="2" t="s">
        <v>102</v>
      </c>
      <c r="H3520" s="2" t="s">
        <v>35</v>
      </c>
    </row>
    <row r="3521" spans="1:8" ht="13" hidden="1">
      <c r="A3521" s="15">
        <v>45998.740348749998</v>
      </c>
      <c r="B3521" s="16">
        <v>45996</v>
      </c>
      <c r="C3521" s="2" t="s">
        <v>1325</v>
      </c>
      <c r="D3521" s="2" t="s">
        <v>39</v>
      </c>
      <c r="E3521" s="2">
        <v>2000</v>
      </c>
      <c r="F3521" s="2" t="s">
        <v>102</v>
      </c>
      <c r="H3521" s="2" t="s">
        <v>35</v>
      </c>
    </row>
    <row r="3522" spans="1:8" ht="13" hidden="1">
      <c r="A3522" s="15">
        <v>46024.748900358798</v>
      </c>
      <c r="B3522" s="16">
        <v>45996</v>
      </c>
      <c r="C3522" s="2" t="s">
        <v>240</v>
      </c>
      <c r="D3522" s="2" t="s">
        <v>42</v>
      </c>
      <c r="E3522" s="2">
        <v>990</v>
      </c>
      <c r="F3522" s="2" t="s">
        <v>100</v>
      </c>
      <c r="H3522" s="2" t="s">
        <v>35</v>
      </c>
    </row>
    <row r="3523" spans="1:8" ht="13" hidden="1">
      <c r="A3523" s="15">
        <v>45998.74065521991</v>
      </c>
      <c r="B3523" s="16">
        <v>45997</v>
      </c>
      <c r="C3523" s="2" t="s">
        <v>650</v>
      </c>
      <c r="D3523" s="2" t="s">
        <v>38</v>
      </c>
      <c r="E3523" s="2">
        <v>1450</v>
      </c>
      <c r="F3523" s="2" t="s">
        <v>102</v>
      </c>
      <c r="G3523" s="2" t="s">
        <v>593</v>
      </c>
      <c r="H3523" s="2" t="s">
        <v>35</v>
      </c>
    </row>
    <row r="3524" spans="1:8" ht="13" hidden="1">
      <c r="A3524" s="15">
        <v>45998.741100208332</v>
      </c>
      <c r="B3524" s="16">
        <v>45997</v>
      </c>
      <c r="C3524" s="2" t="s">
        <v>280</v>
      </c>
      <c r="D3524" s="2" t="s">
        <v>46</v>
      </c>
      <c r="E3524" s="2">
        <v>1320</v>
      </c>
      <c r="F3524" s="2" t="s">
        <v>102</v>
      </c>
      <c r="G3524" s="2" t="s">
        <v>306</v>
      </c>
      <c r="H3524" s="2" t="s">
        <v>35</v>
      </c>
    </row>
    <row r="3525" spans="1:8" ht="13" hidden="1">
      <c r="A3525" s="15">
        <v>45998.741340763889</v>
      </c>
      <c r="B3525" s="16">
        <v>45997</v>
      </c>
      <c r="C3525" s="2" t="s">
        <v>331</v>
      </c>
      <c r="D3525" s="2" t="s">
        <v>38</v>
      </c>
      <c r="E3525" s="2">
        <v>1518</v>
      </c>
      <c r="F3525" s="2" t="s">
        <v>102</v>
      </c>
      <c r="G3525" s="2" t="s">
        <v>332</v>
      </c>
      <c r="H3525" s="2" t="s">
        <v>35</v>
      </c>
    </row>
    <row r="3526" spans="1:8" ht="13" hidden="1">
      <c r="A3526" s="15">
        <v>45998.741620358793</v>
      </c>
      <c r="B3526" s="16">
        <v>45997</v>
      </c>
      <c r="C3526" s="2" t="s">
        <v>116</v>
      </c>
      <c r="D3526" s="2" t="s">
        <v>38</v>
      </c>
      <c r="E3526" s="2">
        <v>2276</v>
      </c>
      <c r="F3526" s="2" t="s">
        <v>102</v>
      </c>
      <c r="G3526" s="2" t="s">
        <v>145</v>
      </c>
      <c r="H3526" s="2" t="s">
        <v>35</v>
      </c>
    </row>
    <row r="3527" spans="1:8" ht="13" hidden="1">
      <c r="A3527" s="15">
        <v>45998.74196175926</v>
      </c>
      <c r="B3527" s="16">
        <v>45997</v>
      </c>
      <c r="C3527" s="2" t="s">
        <v>518</v>
      </c>
      <c r="D3527" s="2" t="s">
        <v>38</v>
      </c>
      <c r="E3527" s="2">
        <v>150</v>
      </c>
      <c r="F3527" s="2" t="s">
        <v>102</v>
      </c>
      <c r="G3527" s="2" t="s">
        <v>356</v>
      </c>
      <c r="H3527" s="2" t="s">
        <v>35</v>
      </c>
    </row>
    <row r="3528" spans="1:8" ht="13" hidden="1">
      <c r="A3528" s="15">
        <v>46024.749206956018</v>
      </c>
      <c r="B3528" s="16">
        <v>45997</v>
      </c>
      <c r="C3528" s="2" t="s">
        <v>105</v>
      </c>
      <c r="D3528" s="2" t="s">
        <v>40</v>
      </c>
      <c r="E3528" s="2">
        <v>1800</v>
      </c>
      <c r="F3528" s="2" t="s">
        <v>100</v>
      </c>
      <c r="H3528" s="2" t="s">
        <v>35</v>
      </c>
    </row>
    <row r="3529" spans="1:8" ht="13" hidden="1">
      <c r="A3529" s="15">
        <v>45998.742344074075</v>
      </c>
      <c r="B3529" s="16">
        <v>45998</v>
      </c>
      <c r="C3529" s="2" t="s">
        <v>1326</v>
      </c>
      <c r="D3529" s="2" t="s">
        <v>38</v>
      </c>
      <c r="E3529" s="2">
        <v>300</v>
      </c>
      <c r="F3529" s="2" t="s">
        <v>102</v>
      </c>
      <c r="G3529" s="2" t="s">
        <v>661</v>
      </c>
      <c r="H3529" s="2" t="s">
        <v>35</v>
      </c>
    </row>
    <row r="3530" spans="1:8" ht="13" hidden="1">
      <c r="A3530" s="15">
        <v>45998.743722025465</v>
      </c>
      <c r="B3530" s="16">
        <v>45998</v>
      </c>
      <c r="C3530" s="2" t="s">
        <v>154</v>
      </c>
      <c r="D3530" s="2" t="s">
        <v>38</v>
      </c>
      <c r="E3530" s="2">
        <v>500</v>
      </c>
      <c r="F3530" s="2" t="s">
        <v>102</v>
      </c>
      <c r="H3530" s="2" t="s">
        <v>35</v>
      </c>
    </row>
    <row r="3531" spans="1:8" ht="13" hidden="1">
      <c r="A3531" s="15">
        <v>46024.749522465281</v>
      </c>
      <c r="B3531" s="16">
        <v>45998</v>
      </c>
      <c r="C3531" s="2" t="s">
        <v>1327</v>
      </c>
      <c r="D3531" s="2" t="s">
        <v>49</v>
      </c>
      <c r="E3531" s="2">
        <v>6000</v>
      </c>
      <c r="F3531" s="2" t="s">
        <v>100</v>
      </c>
      <c r="H3531" s="2" t="s">
        <v>35</v>
      </c>
    </row>
    <row r="3532" spans="1:8" ht="13" hidden="1">
      <c r="A3532" s="15">
        <v>46024.749834085647</v>
      </c>
      <c r="B3532" s="16">
        <v>45998</v>
      </c>
      <c r="C3532" s="2" t="s">
        <v>469</v>
      </c>
      <c r="D3532" s="2" t="s">
        <v>40</v>
      </c>
      <c r="E3532" s="2">
        <v>11820</v>
      </c>
      <c r="F3532" s="2" t="s">
        <v>100</v>
      </c>
      <c r="H3532" s="2" t="s">
        <v>35</v>
      </c>
    </row>
    <row r="3533" spans="1:8" ht="13" hidden="1">
      <c r="A3533" s="15">
        <v>46020.766906319448</v>
      </c>
      <c r="B3533" s="16">
        <v>45999</v>
      </c>
      <c r="C3533" s="2" t="s">
        <v>106</v>
      </c>
      <c r="D3533" s="2" t="s">
        <v>38</v>
      </c>
      <c r="E3533" s="2">
        <v>1200</v>
      </c>
      <c r="F3533" s="2" t="s">
        <v>102</v>
      </c>
      <c r="G3533" s="2" t="s">
        <v>952</v>
      </c>
      <c r="H3533" s="2" t="s">
        <v>35</v>
      </c>
    </row>
    <row r="3534" spans="1:8" ht="13" hidden="1">
      <c r="A3534" s="15">
        <v>46024.750102384263</v>
      </c>
      <c r="B3534" s="16">
        <v>45999</v>
      </c>
      <c r="C3534" s="2" t="s">
        <v>654</v>
      </c>
      <c r="D3534" s="2" t="s">
        <v>48</v>
      </c>
      <c r="E3534" s="2">
        <v>150</v>
      </c>
      <c r="F3534" s="2" t="s">
        <v>100</v>
      </c>
      <c r="H3534" s="2" t="s">
        <v>35</v>
      </c>
    </row>
    <row r="3535" spans="1:8" ht="13" hidden="1">
      <c r="A3535" s="15">
        <v>46024.750383206017</v>
      </c>
      <c r="B3535" s="16">
        <v>45999</v>
      </c>
      <c r="C3535" s="2" t="s">
        <v>12</v>
      </c>
      <c r="D3535" s="2" t="s">
        <v>39</v>
      </c>
      <c r="E3535" s="2">
        <v>1520</v>
      </c>
      <c r="F3535" s="2" t="s">
        <v>100</v>
      </c>
      <c r="H3535" s="2" t="s">
        <v>35</v>
      </c>
    </row>
    <row r="3536" spans="1:8" ht="13" hidden="1">
      <c r="A3536" s="15">
        <v>46020.750235601852</v>
      </c>
      <c r="B3536" s="16">
        <v>46000</v>
      </c>
      <c r="C3536" s="2" t="s">
        <v>106</v>
      </c>
      <c r="D3536" s="2" t="s">
        <v>38</v>
      </c>
      <c r="E3536" s="2">
        <v>1000</v>
      </c>
      <c r="F3536" s="2" t="s">
        <v>102</v>
      </c>
      <c r="H3536" s="2" t="s">
        <v>35</v>
      </c>
    </row>
    <row r="3537" spans="1:8" ht="13" hidden="1">
      <c r="A3537" s="15">
        <v>46024.75067642361</v>
      </c>
      <c r="B3537" s="16">
        <v>46000</v>
      </c>
      <c r="C3537" s="2" t="s">
        <v>15</v>
      </c>
      <c r="D3537" s="2" t="s">
        <v>48</v>
      </c>
      <c r="E3537" s="2">
        <v>880</v>
      </c>
      <c r="F3537" s="2" t="s">
        <v>100</v>
      </c>
      <c r="H3537" s="2" t="s">
        <v>35</v>
      </c>
    </row>
    <row r="3538" spans="1:8" ht="13" hidden="1">
      <c r="A3538" s="15">
        <v>46020.750575752318</v>
      </c>
      <c r="B3538" s="16">
        <v>46001</v>
      </c>
      <c r="C3538" s="2" t="s">
        <v>106</v>
      </c>
      <c r="D3538" s="2" t="s">
        <v>38</v>
      </c>
      <c r="E3538" s="2">
        <v>678</v>
      </c>
      <c r="F3538" s="2" t="s">
        <v>102</v>
      </c>
      <c r="G3538" s="2" t="s">
        <v>356</v>
      </c>
      <c r="H3538" s="2" t="s">
        <v>35</v>
      </c>
    </row>
    <row r="3539" spans="1:8" ht="13" hidden="1">
      <c r="A3539" s="15">
        <v>46020.751021932869</v>
      </c>
      <c r="B3539" s="16">
        <v>46001</v>
      </c>
      <c r="C3539" s="2" t="s">
        <v>45</v>
      </c>
      <c r="D3539" s="2" t="s">
        <v>45</v>
      </c>
      <c r="E3539" s="2">
        <v>618</v>
      </c>
      <c r="F3539" s="2" t="s">
        <v>102</v>
      </c>
      <c r="G3539" s="2" t="s">
        <v>285</v>
      </c>
      <c r="H3539" s="2" t="s">
        <v>35</v>
      </c>
    </row>
    <row r="3540" spans="1:8" ht="13" hidden="1">
      <c r="A3540" s="15">
        <v>46024.750931550923</v>
      </c>
      <c r="B3540" s="16">
        <v>46001</v>
      </c>
      <c r="C3540" s="2" t="s">
        <v>240</v>
      </c>
      <c r="D3540" s="2" t="s">
        <v>42</v>
      </c>
      <c r="E3540" s="2">
        <v>220</v>
      </c>
      <c r="F3540" s="2" t="s">
        <v>100</v>
      </c>
      <c r="H3540" s="2" t="s">
        <v>35</v>
      </c>
    </row>
    <row r="3541" spans="1:8" ht="13" hidden="1">
      <c r="A3541" s="15">
        <v>46020.751320937503</v>
      </c>
      <c r="B3541" s="16">
        <v>46002</v>
      </c>
      <c r="C3541" s="2" t="s">
        <v>1328</v>
      </c>
      <c r="D3541" s="2" t="s">
        <v>39</v>
      </c>
      <c r="E3541" s="2">
        <v>1864</v>
      </c>
      <c r="F3541" s="2" t="s">
        <v>102</v>
      </c>
      <c r="H3541" s="2" t="s">
        <v>35</v>
      </c>
    </row>
    <row r="3542" spans="1:8" ht="13" hidden="1">
      <c r="A3542" s="15">
        <v>46020.751684525458</v>
      </c>
      <c r="B3542" s="16">
        <v>46002</v>
      </c>
      <c r="C3542" s="2" t="s">
        <v>1329</v>
      </c>
      <c r="D3542" s="2" t="s">
        <v>39</v>
      </c>
      <c r="E3542" s="2">
        <v>2588</v>
      </c>
      <c r="F3542" s="2" t="s">
        <v>102</v>
      </c>
      <c r="H3542" s="2" t="s">
        <v>35</v>
      </c>
    </row>
    <row r="3543" spans="1:8" ht="13" hidden="1">
      <c r="A3543" s="15">
        <v>46020.752051006944</v>
      </c>
      <c r="B3543" s="16">
        <v>46002</v>
      </c>
      <c r="C3543" s="2" t="s">
        <v>1056</v>
      </c>
      <c r="D3543" s="2" t="s">
        <v>38</v>
      </c>
      <c r="E3543" s="2">
        <v>484</v>
      </c>
      <c r="F3543" s="2" t="s">
        <v>102</v>
      </c>
      <c r="G3543" s="2" t="s">
        <v>103</v>
      </c>
      <c r="H3543" s="2" t="s">
        <v>35</v>
      </c>
    </row>
    <row r="3544" spans="1:8" ht="13" hidden="1">
      <c r="A3544" s="15">
        <v>46024.751289907406</v>
      </c>
      <c r="B3544" s="16">
        <v>46002</v>
      </c>
      <c r="C3544" s="2" t="s">
        <v>350</v>
      </c>
      <c r="D3544" s="2" t="s">
        <v>40</v>
      </c>
      <c r="E3544" s="2">
        <v>2000</v>
      </c>
      <c r="F3544" s="2" t="s">
        <v>100</v>
      </c>
      <c r="H3544" s="2" t="s">
        <v>35</v>
      </c>
    </row>
    <row r="3545" spans="1:8" ht="13" hidden="1">
      <c r="A3545" s="15">
        <v>46024.751585844904</v>
      </c>
      <c r="B3545" s="16">
        <v>46002</v>
      </c>
      <c r="C3545" s="2" t="s">
        <v>240</v>
      </c>
      <c r="D3545" s="2" t="s">
        <v>42</v>
      </c>
      <c r="E3545" s="2">
        <v>990</v>
      </c>
      <c r="F3545" s="2" t="s">
        <v>100</v>
      </c>
      <c r="H3545" s="2" t="s">
        <v>35</v>
      </c>
    </row>
    <row r="3546" spans="1:8" ht="13" hidden="1">
      <c r="A3546" s="15">
        <v>46024.751952037041</v>
      </c>
      <c r="B3546" s="16">
        <v>46002</v>
      </c>
      <c r="C3546" s="2" t="s">
        <v>18</v>
      </c>
      <c r="D3546" s="2" t="s">
        <v>41</v>
      </c>
      <c r="E3546" s="2">
        <v>5868</v>
      </c>
      <c r="F3546" s="2" t="s">
        <v>100</v>
      </c>
      <c r="H3546" s="2" t="s">
        <v>35</v>
      </c>
    </row>
    <row r="3547" spans="1:8" ht="13" hidden="1">
      <c r="A3547" s="15">
        <v>46020.752276342595</v>
      </c>
      <c r="B3547" s="16">
        <v>46003</v>
      </c>
      <c r="C3547" s="2" t="s">
        <v>110</v>
      </c>
      <c r="D3547" s="2" t="s">
        <v>38</v>
      </c>
      <c r="E3547" s="2">
        <v>500</v>
      </c>
      <c r="F3547" s="2" t="s">
        <v>102</v>
      </c>
      <c r="H3547" s="2" t="s">
        <v>35</v>
      </c>
    </row>
    <row r="3548" spans="1:8" ht="13" hidden="1">
      <c r="A3548" s="15">
        <v>46020.752622418979</v>
      </c>
      <c r="B3548" s="16">
        <v>46003</v>
      </c>
      <c r="C3548" s="2" t="s">
        <v>106</v>
      </c>
      <c r="D3548" s="2" t="s">
        <v>38</v>
      </c>
      <c r="E3548" s="2">
        <v>1000</v>
      </c>
      <c r="F3548" s="2" t="s">
        <v>102</v>
      </c>
      <c r="H3548" s="2" t="s">
        <v>35</v>
      </c>
    </row>
    <row r="3549" spans="1:8" ht="13" hidden="1">
      <c r="A3549" s="15">
        <v>46020.752918287035</v>
      </c>
      <c r="B3549" s="16">
        <v>46003</v>
      </c>
      <c r="C3549" s="2" t="s">
        <v>675</v>
      </c>
      <c r="D3549" s="2" t="s">
        <v>38</v>
      </c>
      <c r="E3549" s="2">
        <v>280</v>
      </c>
      <c r="F3549" s="2" t="s">
        <v>102</v>
      </c>
      <c r="G3549" s="2" t="s">
        <v>103</v>
      </c>
      <c r="H3549" s="2" t="s">
        <v>35</v>
      </c>
    </row>
    <row r="3550" spans="1:8" ht="13" hidden="1">
      <c r="A3550" s="15">
        <v>46020.753448298608</v>
      </c>
      <c r="B3550" s="16">
        <v>46003</v>
      </c>
      <c r="C3550" s="2" t="s">
        <v>651</v>
      </c>
      <c r="D3550" s="2" t="s">
        <v>39</v>
      </c>
      <c r="E3550" s="2">
        <v>5000</v>
      </c>
      <c r="F3550" s="2" t="s">
        <v>102</v>
      </c>
      <c r="H3550" s="2" t="s">
        <v>35</v>
      </c>
    </row>
    <row r="3551" spans="1:8" ht="13" hidden="1">
      <c r="A3551" s="15">
        <v>46024.752209652783</v>
      </c>
      <c r="B3551" s="16">
        <v>46003</v>
      </c>
      <c r="C3551" s="2" t="s">
        <v>22</v>
      </c>
      <c r="D3551" s="2" t="s">
        <v>39</v>
      </c>
      <c r="E3551" s="2">
        <v>2530</v>
      </c>
      <c r="F3551" s="2" t="s">
        <v>100</v>
      </c>
      <c r="H3551" s="2" t="s">
        <v>35</v>
      </c>
    </row>
    <row r="3552" spans="1:8" ht="13" hidden="1">
      <c r="A3552" s="15">
        <v>46020.753127303236</v>
      </c>
      <c r="B3552" s="16">
        <v>46004</v>
      </c>
      <c r="C3552" s="2" t="s">
        <v>110</v>
      </c>
      <c r="D3552" s="2" t="s">
        <v>38</v>
      </c>
      <c r="E3552" s="2">
        <v>1000</v>
      </c>
      <c r="F3552" s="2" t="s">
        <v>102</v>
      </c>
      <c r="H3552" s="2" t="s">
        <v>35</v>
      </c>
    </row>
    <row r="3553" spans="1:8" ht="13" hidden="1">
      <c r="A3553" s="15">
        <v>46020.753787094909</v>
      </c>
      <c r="B3553" s="16">
        <v>46004</v>
      </c>
      <c r="C3553" s="2" t="s">
        <v>1330</v>
      </c>
      <c r="D3553" s="2" t="s">
        <v>39</v>
      </c>
      <c r="E3553" s="2">
        <v>2480</v>
      </c>
      <c r="F3553" s="2" t="s">
        <v>102</v>
      </c>
      <c r="H3553" s="2" t="s">
        <v>35</v>
      </c>
    </row>
    <row r="3554" spans="1:8" ht="13" hidden="1">
      <c r="A3554" s="15">
        <v>46020.754111504633</v>
      </c>
      <c r="B3554" s="16">
        <v>46004</v>
      </c>
      <c r="C3554" s="2" t="s">
        <v>1331</v>
      </c>
      <c r="D3554" s="2" t="s">
        <v>39</v>
      </c>
      <c r="E3554" s="2">
        <v>8000</v>
      </c>
      <c r="F3554" s="2" t="s">
        <v>102</v>
      </c>
      <c r="H3554" s="2" t="s">
        <v>35</v>
      </c>
    </row>
    <row r="3555" spans="1:8" ht="13" hidden="1">
      <c r="A3555" s="15">
        <v>46020.754419409721</v>
      </c>
      <c r="B3555" s="16">
        <v>46004</v>
      </c>
      <c r="C3555" s="2" t="s">
        <v>245</v>
      </c>
      <c r="D3555" s="2" t="s">
        <v>39</v>
      </c>
      <c r="E3555" s="2">
        <v>550</v>
      </c>
      <c r="F3555" s="2" t="s">
        <v>102</v>
      </c>
      <c r="H3555" s="2" t="s">
        <v>35</v>
      </c>
    </row>
    <row r="3556" spans="1:8" ht="13" hidden="1">
      <c r="A3556" s="15">
        <v>46020.754668344904</v>
      </c>
      <c r="B3556" s="16">
        <v>46004</v>
      </c>
      <c r="C3556" s="2" t="s">
        <v>1332</v>
      </c>
      <c r="D3556" s="2" t="s">
        <v>39</v>
      </c>
      <c r="E3556" s="2">
        <v>500</v>
      </c>
      <c r="F3556" s="2" t="s">
        <v>102</v>
      </c>
      <c r="H3556" s="2" t="s">
        <v>35</v>
      </c>
    </row>
    <row r="3557" spans="1:8" ht="13" hidden="1">
      <c r="A3557" s="15">
        <v>46024.752459247684</v>
      </c>
      <c r="B3557" s="16">
        <v>46004</v>
      </c>
      <c r="C3557" s="2" t="s">
        <v>240</v>
      </c>
      <c r="D3557" s="2" t="s">
        <v>42</v>
      </c>
      <c r="E3557" s="2">
        <v>990</v>
      </c>
      <c r="F3557" s="2" t="s">
        <v>100</v>
      </c>
      <c r="H3557" s="2" t="s">
        <v>35</v>
      </c>
    </row>
    <row r="3558" spans="1:8" ht="13" hidden="1">
      <c r="A3558" s="15">
        <v>46024.753089756945</v>
      </c>
      <c r="B3558" s="16">
        <v>46004</v>
      </c>
      <c r="C3558" s="2" t="s">
        <v>1333</v>
      </c>
      <c r="D3558" s="2" t="s">
        <v>39</v>
      </c>
      <c r="E3558" s="2">
        <v>2750</v>
      </c>
      <c r="F3558" s="2" t="s">
        <v>100</v>
      </c>
      <c r="H3558" s="2" t="s">
        <v>35</v>
      </c>
    </row>
    <row r="3559" spans="1:8" ht="13" hidden="1">
      <c r="A3559" s="15">
        <v>46020.754994641204</v>
      </c>
      <c r="B3559" s="16">
        <v>46005</v>
      </c>
      <c r="C3559" s="2" t="s">
        <v>110</v>
      </c>
      <c r="D3559" s="2" t="s">
        <v>38</v>
      </c>
      <c r="E3559" s="2">
        <v>630</v>
      </c>
      <c r="F3559" s="2" t="s">
        <v>102</v>
      </c>
      <c r="G3559" s="2" t="s">
        <v>593</v>
      </c>
      <c r="H3559" s="2" t="s">
        <v>35</v>
      </c>
    </row>
    <row r="3560" spans="1:8" ht="13" hidden="1">
      <c r="A3560" s="15">
        <v>46020.755280775462</v>
      </c>
      <c r="B3560" s="16">
        <v>46005</v>
      </c>
      <c r="C3560" s="2" t="s">
        <v>1334</v>
      </c>
      <c r="D3560" s="2" t="s">
        <v>39</v>
      </c>
      <c r="E3560" s="2">
        <v>5500</v>
      </c>
      <c r="F3560" s="2" t="s">
        <v>102</v>
      </c>
      <c r="H3560" s="2" t="s">
        <v>35</v>
      </c>
    </row>
    <row r="3561" spans="1:8" ht="13" hidden="1">
      <c r="A3561" s="15">
        <v>46020.75566894676</v>
      </c>
      <c r="B3561" s="16">
        <v>46005</v>
      </c>
      <c r="C3561" s="2" t="s">
        <v>1335</v>
      </c>
      <c r="D3561" s="2" t="s">
        <v>39</v>
      </c>
      <c r="E3561" s="2">
        <v>540</v>
      </c>
      <c r="F3561" s="2" t="s">
        <v>102</v>
      </c>
      <c r="H3561" s="2" t="s">
        <v>35</v>
      </c>
    </row>
    <row r="3562" spans="1:8" ht="13" hidden="1">
      <c r="A3562" s="15">
        <v>46024.753403032402</v>
      </c>
      <c r="B3562" s="16">
        <v>46005</v>
      </c>
      <c r="C3562" s="2" t="s">
        <v>662</v>
      </c>
      <c r="D3562" s="2" t="s">
        <v>48</v>
      </c>
      <c r="E3562" s="2">
        <v>3567</v>
      </c>
      <c r="F3562" s="2" t="s">
        <v>100</v>
      </c>
      <c r="H3562" s="2" t="s">
        <v>35</v>
      </c>
    </row>
    <row r="3563" spans="1:8" ht="13" hidden="1">
      <c r="A3563" s="15">
        <v>46024.753671550927</v>
      </c>
      <c r="B3563" s="16">
        <v>46005</v>
      </c>
      <c r="C3563" s="2" t="s">
        <v>418</v>
      </c>
      <c r="D3563" s="2" t="s">
        <v>39</v>
      </c>
      <c r="E3563" s="2">
        <v>7290</v>
      </c>
      <c r="F3563" s="2" t="s">
        <v>100</v>
      </c>
      <c r="H3563" s="2" t="s">
        <v>35</v>
      </c>
    </row>
    <row r="3564" spans="1:8" ht="13" hidden="1">
      <c r="A3564" s="15">
        <v>46020.76774221065</v>
      </c>
      <c r="B3564" s="16">
        <v>46006</v>
      </c>
      <c r="C3564" s="2" t="s">
        <v>154</v>
      </c>
      <c r="D3564" s="2" t="s">
        <v>38</v>
      </c>
      <c r="E3564" s="2">
        <v>500</v>
      </c>
      <c r="F3564" s="2" t="s">
        <v>102</v>
      </c>
      <c r="H3564" s="2" t="s">
        <v>35</v>
      </c>
    </row>
    <row r="3565" spans="1:8" ht="13" hidden="1">
      <c r="A3565" s="15">
        <v>46024.753942152776</v>
      </c>
      <c r="B3565" s="16">
        <v>46006</v>
      </c>
      <c r="C3565" s="2" t="s">
        <v>20</v>
      </c>
      <c r="D3565" s="2" t="s">
        <v>39</v>
      </c>
      <c r="E3565" s="2">
        <v>1590</v>
      </c>
      <c r="F3565" s="2" t="s">
        <v>100</v>
      </c>
      <c r="H3565" s="2" t="s">
        <v>35</v>
      </c>
    </row>
    <row r="3566" spans="1:8" ht="13" hidden="1">
      <c r="A3566" s="15">
        <v>46024.754256006941</v>
      </c>
      <c r="B3566" s="16">
        <v>46006</v>
      </c>
      <c r="C3566" s="2" t="s">
        <v>116</v>
      </c>
      <c r="D3566" s="2" t="s">
        <v>38</v>
      </c>
      <c r="E3566" s="2">
        <v>1561</v>
      </c>
      <c r="F3566" s="2" t="s">
        <v>100</v>
      </c>
      <c r="G3566" s="2" t="s">
        <v>652</v>
      </c>
      <c r="H3566" s="2" t="s">
        <v>35</v>
      </c>
    </row>
    <row r="3567" spans="1:8" ht="13" hidden="1">
      <c r="A3567" s="15">
        <v>46024.754703541665</v>
      </c>
      <c r="B3567" s="16">
        <v>46006</v>
      </c>
      <c r="C3567" s="2" t="s">
        <v>1336</v>
      </c>
      <c r="D3567" s="2" t="s">
        <v>45</v>
      </c>
      <c r="E3567" s="2">
        <v>330</v>
      </c>
      <c r="F3567" s="2" t="s">
        <v>100</v>
      </c>
      <c r="H3567" s="2" t="s">
        <v>35</v>
      </c>
    </row>
    <row r="3568" spans="1:8" ht="13" hidden="1">
      <c r="A3568" s="15">
        <v>46020.75610712963</v>
      </c>
      <c r="B3568" s="16">
        <v>46007</v>
      </c>
      <c r="C3568" s="2" t="s">
        <v>1337</v>
      </c>
      <c r="D3568" s="2" t="s">
        <v>45</v>
      </c>
      <c r="E3568" s="2">
        <v>2307</v>
      </c>
      <c r="F3568" s="2" t="s">
        <v>102</v>
      </c>
      <c r="G3568" s="2" t="s">
        <v>1338</v>
      </c>
      <c r="H3568" s="2" t="s">
        <v>35</v>
      </c>
    </row>
    <row r="3569" spans="1:8" ht="13" hidden="1">
      <c r="A3569" s="15">
        <v>46020.756420474536</v>
      </c>
      <c r="B3569" s="16">
        <v>46007</v>
      </c>
      <c r="C3569" s="2" t="s">
        <v>713</v>
      </c>
      <c r="D3569" s="2" t="s">
        <v>38</v>
      </c>
      <c r="E3569" s="2">
        <v>429</v>
      </c>
      <c r="F3569" s="2" t="s">
        <v>102</v>
      </c>
      <c r="G3569" s="2" t="s">
        <v>356</v>
      </c>
      <c r="H3569" s="2" t="s">
        <v>35</v>
      </c>
    </row>
    <row r="3570" spans="1:8" ht="13" hidden="1">
      <c r="A3570" s="15">
        <v>46020.768309317129</v>
      </c>
      <c r="B3570" s="16">
        <v>46007</v>
      </c>
      <c r="C3570" s="2" t="s">
        <v>323</v>
      </c>
      <c r="D3570" s="2" t="s">
        <v>38</v>
      </c>
      <c r="E3570" s="2">
        <v>1400</v>
      </c>
      <c r="F3570" s="2" t="s">
        <v>102</v>
      </c>
      <c r="G3570" s="2" t="s">
        <v>965</v>
      </c>
      <c r="H3570" s="2" t="s">
        <v>35</v>
      </c>
    </row>
    <row r="3571" spans="1:8" ht="13" hidden="1">
      <c r="A3571" s="15">
        <v>46024.755473229168</v>
      </c>
      <c r="B3571" s="16">
        <v>46007</v>
      </c>
      <c r="C3571" s="2" t="s">
        <v>1339</v>
      </c>
      <c r="D3571" s="2" t="s">
        <v>39</v>
      </c>
      <c r="E3571" s="2">
        <v>23980</v>
      </c>
      <c r="F3571" s="2" t="s">
        <v>100</v>
      </c>
      <c r="H3571" s="2" t="s">
        <v>35</v>
      </c>
    </row>
    <row r="3572" spans="1:8" ht="13" hidden="1">
      <c r="A3572" s="15">
        <v>46020.75669631944</v>
      </c>
      <c r="B3572" s="16">
        <v>46008</v>
      </c>
      <c r="C3572" s="2" t="s">
        <v>1146</v>
      </c>
      <c r="D3572" s="2" t="s">
        <v>38</v>
      </c>
      <c r="E3572" s="2">
        <v>581</v>
      </c>
      <c r="F3572" s="2" t="s">
        <v>102</v>
      </c>
      <c r="G3572" s="2" t="s">
        <v>103</v>
      </c>
      <c r="H3572" s="2" t="s">
        <v>35</v>
      </c>
    </row>
    <row r="3573" spans="1:8" ht="13" hidden="1">
      <c r="A3573" s="15">
        <v>46020.756981956016</v>
      </c>
      <c r="B3573" s="16">
        <v>46008</v>
      </c>
      <c r="C3573" s="2" t="s">
        <v>912</v>
      </c>
      <c r="D3573" s="2" t="s">
        <v>38</v>
      </c>
      <c r="E3573" s="2">
        <v>248</v>
      </c>
      <c r="F3573" s="2" t="s">
        <v>102</v>
      </c>
      <c r="G3573" s="2" t="s">
        <v>356</v>
      </c>
      <c r="H3573" s="2" t="s">
        <v>35</v>
      </c>
    </row>
    <row r="3574" spans="1:8" ht="13" hidden="1">
      <c r="A3574" s="15">
        <v>46020.757307442131</v>
      </c>
      <c r="B3574" s="16">
        <v>46008</v>
      </c>
      <c r="C3574" s="2" t="s">
        <v>45</v>
      </c>
      <c r="D3574" s="2" t="s">
        <v>45</v>
      </c>
      <c r="E3574" s="2">
        <v>1119</v>
      </c>
      <c r="F3574" s="2" t="s">
        <v>102</v>
      </c>
      <c r="G3574" s="2" t="s">
        <v>285</v>
      </c>
      <c r="H3574" s="2" t="s">
        <v>35</v>
      </c>
    </row>
    <row r="3575" spans="1:8" ht="13" hidden="1">
      <c r="A3575" s="15">
        <v>46024.755871145833</v>
      </c>
      <c r="B3575" s="16">
        <v>46008</v>
      </c>
      <c r="C3575" s="2" t="s">
        <v>350</v>
      </c>
      <c r="D3575" s="2" t="s">
        <v>40</v>
      </c>
      <c r="E3575" s="2">
        <v>2000</v>
      </c>
      <c r="F3575" s="2" t="s">
        <v>100</v>
      </c>
      <c r="H3575" s="2" t="s">
        <v>35</v>
      </c>
    </row>
    <row r="3576" spans="1:8" ht="13" hidden="1">
      <c r="A3576" s="15">
        <v>46024.756128252317</v>
      </c>
      <c r="B3576" s="16">
        <v>46008</v>
      </c>
      <c r="C3576" s="2" t="s">
        <v>240</v>
      </c>
      <c r="D3576" s="2" t="s">
        <v>42</v>
      </c>
      <c r="E3576" s="2">
        <v>990</v>
      </c>
      <c r="F3576" s="2" t="s">
        <v>100</v>
      </c>
      <c r="H3576" s="2" t="s">
        <v>35</v>
      </c>
    </row>
    <row r="3577" spans="1:8" ht="13" hidden="1">
      <c r="A3577" s="15">
        <v>46020.757656863425</v>
      </c>
      <c r="B3577" s="16">
        <v>46009</v>
      </c>
      <c r="C3577" s="2" t="s">
        <v>1340</v>
      </c>
      <c r="D3577" s="2" t="s">
        <v>38</v>
      </c>
      <c r="E3577" s="2">
        <v>440</v>
      </c>
      <c r="F3577" s="2" t="s">
        <v>102</v>
      </c>
      <c r="G3577" s="2" t="s">
        <v>356</v>
      </c>
      <c r="H3577" s="2" t="s">
        <v>35</v>
      </c>
    </row>
    <row r="3578" spans="1:8" ht="13" hidden="1">
      <c r="A3578" s="15">
        <v>46024.756427372689</v>
      </c>
      <c r="B3578" s="16">
        <v>46010</v>
      </c>
      <c r="C3578" s="2" t="s">
        <v>105</v>
      </c>
      <c r="D3578" s="2" t="s">
        <v>40</v>
      </c>
      <c r="E3578" s="2">
        <v>3100</v>
      </c>
      <c r="F3578" s="2" t="s">
        <v>100</v>
      </c>
      <c r="H3578" s="2" t="s">
        <v>35</v>
      </c>
    </row>
    <row r="3579" spans="1:8" ht="13" hidden="1">
      <c r="A3579" s="15">
        <v>46024.756716724536</v>
      </c>
      <c r="B3579" s="16">
        <v>46010</v>
      </c>
      <c r="C3579" s="2" t="s">
        <v>105</v>
      </c>
      <c r="D3579" s="2" t="s">
        <v>40</v>
      </c>
      <c r="E3579" s="2">
        <v>3600</v>
      </c>
      <c r="F3579" s="2" t="s">
        <v>100</v>
      </c>
      <c r="H3579" s="2" t="s">
        <v>35</v>
      </c>
    </row>
    <row r="3580" spans="1:8" ht="13" hidden="1">
      <c r="A3580" s="15">
        <v>46020.757881817131</v>
      </c>
      <c r="B3580" s="16">
        <v>46011</v>
      </c>
      <c r="C3580" s="2" t="s">
        <v>1341</v>
      </c>
      <c r="E3580" s="2">
        <v>3900</v>
      </c>
      <c r="H3580" s="2" t="s">
        <v>34</v>
      </c>
    </row>
    <row r="3581" spans="1:8" ht="13" hidden="1">
      <c r="A3581" s="15">
        <v>46020.758283252319</v>
      </c>
      <c r="B3581" s="16">
        <v>46011</v>
      </c>
      <c r="C3581" s="2" t="s">
        <v>139</v>
      </c>
      <c r="D3581" s="2" t="s">
        <v>38</v>
      </c>
      <c r="E3581" s="2">
        <v>300</v>
      </c>
      <c r="F3581" s="2" t="s">
        <v>102</v>
      </c>
      <c r="G3581" s="2" t="s">
        <v>356</v>
      </c>
      <c r="H3581" s="2" t="s">
        <v>35</v>
      </c>
    </row>
    <row r="3582" spans="1:8" ht="13" hidden="1">
      <c r="A3582" s="15">
        <v>46020.758589780089</v>
      </c>
      <c r="B3582" s="16">
        <v>46011</v>
      </c>
      <c r="C3582" s="2" t="s">
        <v>1342</v>
      </c>
      <c r="D3582" s="2" t="s">
        <v>39</v>
      </c>
      <c r="E3582" s="2">
        <v>1650</v>
      </c>
      <c r="F3582" s="2" t="s">
        <v>102</v>
      </c>
      <c r="H3582" s="2" t="s">
        <v>35</v>
      </c>
    </row>
    <row r="3583" spans="1:8" ht="13" hidden="1">
      <c r="A3583" s="15">
        <v>46024.756981064813</v>
      </c>
      <c r="B3583" s="16">
        <v>46011</v>
      </c>
      <c r="C3583" s="2" t="s">
        <v>142</v>
      </c>
      <c r="D3583" s="2" t="s">
        <v>45</v>
      </c>
      <c r="E3583" s="2">
        <v>8140</v>
      </c>
      <c r="F3583" s="2" t="s">
        <v>100</v>
      </c>
      <c r="H3583" s="2" t="s">
        <v>35</v>
      </c>
    </row>
    <row r="3584" spans="1:8" ht="13" hidden="1">
      <c r="A3584" s="15">
        <v>46024.757285439817</v>
      </c>
      <c r="B3584" s="16">
        <v>46011</v>
      </c>
      <c r="C3584" s="2" t="s">
        <v>105</v>
      </c>
      <c r="D3584" s="2" t="s">
        <v>40</v>
      </c>
      <c r="E3584" s="2">
        <v>800</v>
      </c>
      <c r="F3584" s="2" t="s">
        <v>100</v>
      </c>
      <c r="H3584" s="2" t="s">
        <v>35</v>
      </c>
    </row>
    <row r="3585" spans="1:8" ht="13" hidden="1">
      <c r="A3585" s="15">
        <v>46024.757742118054</v>
      </c>
      <c r="B3585" s="16">
        <v>46011</v>
      </c>
      <c r="C3585" s="2" t="s">
        <v>24</v>
      </c>
      <c r="D3585" s="2" t="s">
        <v>49</v>
      </c>
      <c r="E3585" s="2">
        <v>1100</v>
      </c>
      <c r="F3585" s="2" t="s">
        <v>100</v>
      </c>
      <c r="H3585" s="2" t="s">
        <v>35</v>
      </c>
    </row>
    <row r="3586" spans="1:8" ht="13" hidden="1">
      <c r="A3586" s="15">
        <v>46024.759337511576</v>
      </c>
      <c r="B3586" s="16">
        <v>46011</v>
      </c>
      <c r="C3586" s="2" t="s">
        <v>105</v>
      </c>
      <c r="D3586" s="2" t="s">
        <v>40</v>
      </c>
      <c r="E3586" s="2">
        <v>3900</v>
      </c>
      <c r="F3586" s="2" t="s">
        <v>100</v>
      </c>
      <c r="H3586" s="2" t="s">
        <v>35</v>
      </c>
    </row>
    <row r="3587" spans="1:8" ht="13" hidden="1">
      <c r="A3587" s="15">
        <v>46024.766574050926</v>
      </c>
      <c r="B3587" s="16">
        <v>46011</v>
      </c>
      <c r="C3587" s="2" t="s">
        <v>1341</v>
      </c>
      <c r="E3587" s="2">
        <v>3900</v>
      </c>
      <c r="H3587" s="2" t="s">
        <v>34</v>
      </c>
    </row>
    <row r="3588" spans="1:8" ht="13" hidden="1">
      <c r="A3588" s="15">
        <v>46024.761017638884</v>
      </c>
      <c r="B3588" s="16">
        <v>46011</v>
      </c>
      <c r="C3588" s="2" t="s">
        <v>350</v>
      </c>
      <c r="D3588" s="2" t="s">
        <v>40</v>
      </c>
      <c r="E3588" s="2">
        <v>2000</v>
      </c>
      <c r="F3588" s="2" t="s">
        <v>100</v>
      </c>
      <c r="H3588" s="2" t="s">
        <v>35</v>
      </c>
    </row>
    <row r="3589" spans="1:8" ht="13" hidden="1">
      <c r="A3589" s="15">
        <v>46020.75894944444</v>
      </c>
      <c r="B3589" s="16">
        <v>46012</v>
      </c>
      <c r="C3589" s="2" t="s">
        <v>45</v>
      </c>
      <c r="D3589" s="2" t="s">
        <v>45</v>
      </c>
      <c r="E3589" s="2">
        <v>715</v>
      </c>
      <c r="F3589" s="2" t="s">
        <v>102</v>
      </c>
      <c r="G3589" s="2" t="s">
        <v>285</v>
      </c>
      <c r="H3589" s="2" t="s">
        <v>35</v>
      </c>
    </row>
    <row r="3590" spans="1:8" ht="13" hidden="1">
      <c r="A3590" s="15">
        <v>46024.761406087964</v>
      </c>
      <c r="B3590" s="16">
        <v>46012</v>
      </c>
      <c r="C3590" s="2" t="s">
        <v>240</v>
      </c>
      <c r="D3590" s="2" t="s">
        <v>42</v>
      </c>
      <c r="E3590" s="2">
        <v>990</v>
      </c>
      <c r="F3590" s="2" t="s">
        <v>100</v>
      </c>
      <c r="H3590" s="2" t="s">
        <v>35</v>
      </c>
    </row>
    <row r="3591" spans="1:8" ht="13" hidden="1">
      <c r="A3591" s="15">
        <v>46024.761787280091</v>
      </c>
      <c r="B3591" s="16">
        <v>46012</v>
      </c>
      <c r="C3591" s="2" t="s">
        <v>1343</v>
      </c>
      <c r="D3591" s="2" t="s">
        <v>45</v>
      </c>
      <c r="E3591" s="2">
        <v>8500</v>
      </c>
      <c r="F3591" s="2" t="s">
        <v>100</v>
      </c>
      <c r="G3591" s="2" t="s">
        <v>1344</v>
      </c>
      <c r="H3591" s="2" t="s">
        <v>35</v>
      </c>
    </row>
    <row r="3592" spans="1:8" ht="13" hidden="1">
      <c r="A3592" s="15">
        <v>46024.762298981484</v>
      </c>
      <c r="B3592" s="16">
        <v>46012</v>
      </c>
      <c r="C3592" s="2" t="s">
        <v>985</v>
      </c>
      <c r="D3592" s="2" t="s">
        <v>45</v>
      </c>
      <c r="E3592" s="2">
        <v>1490</v>
      </c>
      <c r="F3592" s="2" t="s">
        <v>100</v>
      </c>
      <c r="G3592" s="2" t="s">
        <v>129</v>
      </c>
      <c r="H3592" s="2" t="s">
        <v>35</v>
      </c>
    </row>
    <row r="3593" spans="1:8" ht="13" hidden="1">
      <c r="A3593" s="15">
        <v>46024.762798171301</v>
      </c>
      <c r="B3593" s="16">
        <v>46012</v>
      </c>
      <c r="C3593" s="2" t="s">
        <v>116</v>
      </c>
      <c r="D3593" s="2" t="s">
        <v>38</v>
      </c>
      <c r="E3593" s="2">
        <v>2368</v>
      </c>
      <c r="F3593" s="2" t="s">
        <v>100</v>
      </c>
      <c r="G3593" s="2" t="s">
        <v>652</v>
      </c>
      <c r="H3593" s="2" t="s">
        <v>35</v>
      </c>
    </row>
    <row r="3594" spans="1:8" ht="13" hidden="1">
      <c r="A3594" s="15">
        <v>46020.759248159724</v>
      </c>
      <c r="B3594" s="16">
        <v>46013</v>
      </c>
      <c r="C3594" s="2" t="s">
        <v>45</v>
      </c>
      <c r="D3594" s="2" t="s">
        <v>45</v>
      </c>
      <c r="E3594" s="2">
        <v>1347</v>
      </c>
      <c r="F3594" s="2" t="s">
        <v>102</v>
      </c>
      <c r="G3594" s="2" t="s">
        <v>285</v>
      </c>
      <c r="H3594" s="2" t="s">
        <v>35</v>
      </c>
    </row>
    <row r="3595" spans="1:8" ht="13" hidden="1">
      <c r="A3595" s="15">
        <v>46020.759593009258</v>
      </c>
      <c r="B3595" s="16">
        <v>46014</v>
      </c>
      <c r="C3595" s="2" t="s">
        <v>1345</v>
      </c>
      <c r="D3595" s="2" t="s">
        <v>45</v>
      </c>
      <c r="E3595" s="2">
        <v>1818</v>
      </c>
      <c r="F3595" s="2" t="s">
        <v>102</v>
      </c>
      <c r="G3595" s="2" t="s">
        <v>285</v>
      </c>
      <c r="H3595" s="2" t="s">
        <v>35</v>
      </c>
    </row>
    <row r="3596" spans="1:8" ht="13" hidden="1">
      <c r="A3596" s="15">
        <v>46020.759884398147</v>
      </c>
      <c r="B3596" s="16">
        <v>46015</v>
      </c>
      <c r="C3596" s="2" t="s">
        <v>1346</v>
      </c>
      <c r="D3596" s="2" t="s">
        <v>43</v>
      </c>
      <c r="E3596" s="2">
        <v>880</v>
      </c>
      <c r="F3596" s="2" t="s">
        <v>102</v>
      </c>
      <c r="H3596" s="2" t="s">
        <v>35</v>
      </c>
    </row>
    <row r="3597" spans="1:8" ht="13" hidden="1">
      <c r="A3597" s="15">
        <v>46020.760235590278</v>
      </c>
      <c r="B3597" s="16">
        <v>46015</v>
      </c>
      <c r="C3597" s="2" t="s">
        <v>601</v>
      </c>
      <c r="D3597" s="2" t="s">
        <v>38</v>
      </c>
      <c r="E3597" s="2">
        <v>179</v>
      </c>
      <c r="F3597" s="2" t="s">
        <v>102</v>
      </c>
      <c r="G3597" s="2" t="s">
        <v>356</v>
      </c>
      <c r="H3597" s="2" t="s">
        <v>35</v>
      </c>
    </row>
    <row r="3598" spans="1:8" ht="13" hidden="1">
      <c r="A3598" s="15">
        <v>46020.769576365739</v>
      </c>
      <c r="B3598" s="16">
        <v>46015</v>
      </c>
      <c r="C3598" s="2" t="s">
        <v>1347</v>
      </c>
      <c r="D3598" s="2" t="s">
        <v>43</v>
      </c>
      <c r="E3598" s="2">
        <v>2510</v>
      </c>
      <c r="F3598" s="2" t="s">
        <v>102</v>
      </c>
      <c r="H3598" s="2" t="s">
        <v>35</v>
      </c>
    </row>
    <row r="3599" spans="1:8" ht="13" hidden="1">
      <c r="A3599" s="15">
        <v>46020.760693055556</v>
      </c>
      <c r="B3599" s="16">
        <v>46016</v>
      </c>
      <c r="C3599" s="2" t="s">
        <v>1037</v>
      </c>
      <c r="D3599" s="2" t="s">
        <v>38</v>
      </c>
      <c r="E3599" s="2">
        <v>567</v>
      </c>
      <c r="F3599" s="2" t="s">
        <v>102</v>
      </c>
      <c r="G3599" s="2" t="s">
        <v>356</v>
      </c>
      <c r="H3599" s="2" t="s">
        <v>35</v>
      </c>
    </row>
    <row r="3600" spans="1:8" ht="13" hidden="1">
      <c r="A3600" s="15">
        <v>46020.761059490746</v>
      </c>
      <c r="B3600" s="16">
        <v>46016</v>
      </c>
      <c r="C3600" s="2" t="s">
        <v>204</v>
      </c>
      <c r="D3600" s="2" t="s">
        <v>45</v>
      </c>
      <c r="E3600" s="2">
        <v>4400</v>
      </c>
      <c r="F3600" s="2" t="s">
        <v>102</v>
      </c>
      <c r="H3600" s="2" t="s">
        <v>35</v>
      </c>
    </row>
    <row r="3601" spans="1:8" ht="13" hidden="1">
      <c r="A3601" s="15">
        <v>46020.761331412039</v>
      </c>
      <c r="B3601" s="16">
        <v>46016</v>
      </c>
      <c r="C3601" s="2" t="s">
        <v>1348</v>
      </c>
      <c r="D3601" s="2" t="s">
        <v>38</v>
      </c>
      <c r="E3601" s="2">
        <v>1247</v>
      </c>
      <c r="F3601" s="2" t="s">
        <v>102</v>
      </c>
      <c r="G3601" s="2" t="s">
        <v>103</v>
      </c>
      <c r="H3601" s="2" t="s">
        <v>35</v>
      </c>
    </row>
    <row r="3602" spans="1:8" ht="13" hidden="1">
      <c r="A3602" s="15">
        <v>46020.761551550924</v>
      </c>
      <c r="B3602" s="16">
        <v>46016</v>
      </c>
      <c r="C3602" s="2" t="s">
        <v>1014</v>
      </c>
      <c r="D3602" s="2" t="s">
        <v>38</v>
      </c>
      <c r="E3602" s="2">
        <v>700</v>
      </c>
      <c r="F3602" s="2" t="s">
        <v>102</v>
      </c>
      <c r="H3602" s="2" t="s">
        <v>35</v>
      </c>
    </row>
    <row r="3603" spans="1:8" ht="13" hidden="1">
      <c r="A3603" s="15">
        <v>46024.74631206019</v>
      </c>
      <c r="B3603" s="16">
        <v>46016</v>
      </c>
      <c r="C3603" s="2" t="s">
        <v>403</v>
      </c>
      <c r="E3603" s="2">
        <v>412385</v>
      </c>
      <c r="H3603" s="2" t="s">
        <v>34</v>
      </c>
    </row>
    <row r="3604" spans="1:8" ht="13" hidden="1">
      <c r="A3604" s="15">
        <v>46020.761818032406</v>
      </c>
      <c r="B3604" s="16">
        <v>46017</v>
      </c>
      <c r="C3604" s="2" t="s">
        <v>1056</v>
      </c>
      <c r="D3604" s="2" t="s">
        <v>38</v>
      </c>
      <c r="E3604" s="2">
        <v>296</v>
      </c>
      <c r="F3604" s="2" t="s">
        <v>102</v>
      </c>
      <c r="G3604" s="2" t="s">
        <v>356</v>
      </c>
      <c r="H3604" s="2" t="s">
        <v>35</v>
      </c>
    </row>
    <row r="3605" spans="1:8" ht="13" hidden="1">
      <c r="A3605" s="15">
        <v>46020.762039629626</v>
      </c>
      <c r="B3605" s="16">
        <v>46017</v>
      </c>
      <c r="C3605" s="2" t="s">
        <v>106</v>
      </c>
      <c r="D3605" s="2" t="s">
        <v>38</v>
      </c>
      <c r="E3605" s="2">
        <v>900</v>
      </c>
      <c r="F3605" s="2" t="s">
        <v>102</v>
      </c>
      <c r="G3605" s="2" t="s">
        <v>1095</v>
      </c>
      <c r="H3605" s="2" t="s">
        <v>35</v>
      </c>
    </row>
    <row r="3606" spans="1:8" ht="13" hidden="1">
      <c r="A3606" s="15">
        <v>46020.762271238425</v>
      </c>
      <c r="B3606" s="16">
        <v>46017</v>
      </c>
      <c r="C3606" s="2" t="s">
        <v>112</v>
      </c>
      <c r="D3606" s="2" t="s">
        <v>38</v>
      </c>
      <c r="E3606" s="2">
        <v>280</v>
      </c>
      <c r="F3606" s="2" t="s">
        <v>102</v>
      </c>
      <c r="G3606" s="2" t="s">
        <v>113</v>
      </c>
      <c r="H3606" s="2" t="s">
        <v>35</v>
      </c>
    </row>
    <row r="3607" spans="1:8" ht="13" hidden="1">
      <c r="A3607" s="15">
        <v>46020.762607291668</v>
      </c>
      <c r="B3607" s="16">
        <v>46017</v>
      </c>
      <c r="C3607" s="2" t="s">
        <v>1349</v>
      </c>
      <c r="D3607" s="2" t="s">
        <v>38</v>
      </c>
      <c r="E3607" s="2">
        <v>2950</v>
      </c>
      <c r="F3607" s="2" t="s">
        <v>102</v>
      </c>
      <c r="H3607" s="2" t="s">
        <v>35</v>
      </c>
    </row>
    <row r="3608" spans="1:8" ht="13" hidden="1">
      <c r="A3608" s="15">
        <v>46020.762879050926</v>
      </c>
      <c r="B3608" s="16">
        <v>46017</v>
      </c>
      <c r="C3608" s="2" t="s">
        <v>556</v>
      </c>
      <c r="D3608" s="2" t="s">
        <v>39</v>
      </c>
      <c r="E3608" s="2">
        <v>5610</v>
      </c>
      <c r="F3608" s="2" t="s">
        <v>102</v>
      </c>
      <c r="H3608" s="2" t="s">
        <v>35</v>
      </c>
    </row>
    <row r="3609" spans="1:8" ht="13" hidden="1">
      <c r="A3609" s="15">
        <v>46024.763545717593</v>
      </c>
      <c r="B3609" s="16">
        <v>46017</v>
      </c>
      <c r="C3609" s="2" t="s">
        <v>1350</v>
      </c>
      <c r="D3609" s="2" t="s">
        <v>48</v>
      </c>
      <c r="E3609" s="2">
        <v>495</v>
      </c>
      <c r="F3609" s="2" t="s">
        <v>100</v>
      </c>
      <c r="H3609" s="2" t="s">
        <v>35</v>
      </c>
    </row>
    <row r="3610" spans="1:8" ht="13" hidden="1">
      <c r="A3610" s="15">
        <v>46024.767898518519</v>
      </c>
      <c r="B3610" s="16">
        <v>46017</v>
      </c>
      <c r="C3610" s="2" t="s">
        <v>11</v>
      </c>
      <c r="D3610" s="2" t="s">
        <v>47</v>
      </c>
      <c r="E3610" s="2">
        <v>40000</v>
      </c>
      <c r="F3610" s="2" t="s">
        <v>102</v>
      </c>
      <c r="H3610" s="2" t="s">
        <v>35</v>
      </c>
    </row>
    <row r="3611" spans="1:8" ht="13" hidden="1">
      <c r="A3611" s="15">
        <v>46024.763842916669</v>
      </c>
      <c r="B3611" s="16">
        <v>46017</v>
      </c>
      <c r="C3611" s="2" t="s">
        <v>308</v>
      </c>
      <c r="D3611" s="2" t="s">
        <v>40</v>
      </c>
      <c r="E3611" s="2">
        <v>13690</v>
      </c>
      <c r="F3611" s="2" t="s">
        <v>100</v>
      </c>
      <c r="H3611" s="2" t="s">
        <v>35</v>
      </c>
    </row>
    <row r="3612" spans="1:8" ht="13" hidden="1">
      <c r="A3612" s="15">
        <v>46024.768140590277</v>
      </c>
      <c r="B3612" s="16">
        <v>46017</v>
      </c>
      <c r="C3612" s="2" t="s">
        <v>146</v>
      </c>
      <c r="D3612" s="2" t="s">
        <v>47</v>
      </c>
      <c r="E3612" s="2">
        <v>3400</v>
      </c>
      <c r="F3612" s="2" t="s">
        <v>100</v>
      </c>
      <c r="H3612" s="2" t="s">
        <v>35</v>
      </c>
    </row>
    <row r="3613" spans="1:8" ht="13" hidden="1">
      <c r="A3613" s="15">
        <v>46020.7633871875</v>
      </c>
      <c r="B3613" s="16">
        <v>46018</v>
      </c>
      <c r="C3613" s="2" t="s">
        <v>139</v>
      </c>
      <c r="D3613" s="2" t="s">
        <v>38</v>
      </c>
      <c r="E3613" s="2">
        <v>170</v>
      </c>
      <c r="F3613" s="2" t="s">
        <v>102</v>
      </c>
      <c r="G3613" s="2" t="s">
        <v>356</v>
      </c>
      <c r="H3613" s="2" t="s">
        <v>35</v>
      </c>
    </row>
    <row r="3614" spans="1:8" ht="13" hidden="1">
      <c r="A3614" s="15">
        <v>46020.763686747683</v>
      </c>
      <c r="B3614" s="16">
        <v>46018</v>
      </c>
      <c r="C3614" s="2" t="s">
        <v>1351</v>
      </c>
      <c r="D3614" s="2" t="s">
        <v>38</v>
      </c>
      <c r="E3614" s="2">
        <v>2660</v>
      </c>
      <c r="F3614" s="2" t="s">
        <v>102</v>
      </c>
      <c r="H3614" s="2" t="s">
        <v>35</v>
      </c>
    </row>
    <row r="3615" spans="1:8" ht="13" hidden="1">
      <c r="A3615" s="15">
        <v>46024.764658692133</v>
      </c>
      <c r="B3615" s="16">
        <v>46018</v>
      </c>
      <c r="C3615" s="2" t="s">
        <v>368</v>
      </c>
      <c r="D3615" s="2" t="s">
        <v>48</v>
      </c>
      <c r="E3615" s="2">
        <v>1180</v>
      </c>
      <c r="F3615" s="2" t="s">
        <v>100</v>
      </c>
      <c r="H3615" s="2" t="s">
        <v>35</v>
      </c>
    </row>
    <row r="3616" spans="1:8" ht="13" hidden="1">
      <c r="A3616" s="15">
        <v>46024.765203935181</v>
      </c>
      <c r="B3616" s="16">
        <v>46018</v>
      </c>
      <c r="C3616" s="2" t="s">
        <v>350</v>
      </c>
      <c r="D3616" s="2" t="s">
        <v>40</v>
      </c>
      <c r="E3616" s="2">
        <v>2000</v>
      </c>
      <c r="F3616" s="2" t="s">
        <v>100</v>
      </c>
      <c r="H3616" s="2" t="s">
        <v>35</v>
      </c>
    </row>
    <row r="3617" spans="1:8" ht="13" hidden="1">
      <c r="A3617" s="15">
        <v>46024.765618333331</v>
      </c>
      <c r="B3617" s="16">
        <v>46018</v>
      </c>
      <c r="C3617" s="2" t="s">
        <v>240</v>
      </c>
      <c r="D3617" s="2" t="s">
        <v>42</v>
      </c>
      <c r="E3617" s="2">
        <v>990</v>
      </c>
      <c r="F3617" s="2" t="s">
        <v>100</v>
      </c>
      <c r="H3617" s="2" t="s">
        <v>35</v>
      </c>
    </row>
    <row r="3618" spans="1:8" ht="13" hidden="1">
      <c r="A3618" s="15">
        <v>46024.765931747686</v>
      </c>
      <c r="B3618" s="16">
        <v>46018</v>
      </c>
      <c r="C3618" s="2" t="s">
        <v>1352</v>
      </c>
      <c r="D3618" s="2" t="s">
        <v>39</v>
      </c>
      <c r="E3618" s="2">
        <v>16390</v>
      </c>
      <c r="F3618" s="2" t="s">
        <v>100</v>
      </c>
      <c r="H3618" s="2" t="s">
        <v>35</v>
      </c>
    </row>
    <row r="3619" spans="1:8" ht="13" hidden="1">
      <c r="A3619" s="15">
        <v>46020.764343541668</v>
      </c>
      <c r="B3619" s="16">
        <v>46019</v>
      </c>
      <c r="C3619" s="2" t="s">
        <v>112</v>
      </c>
      <c r="D3619" s="2" t="s">
        <v>38</v>
      </c>
      <c r="E3619" s="2">
        <v>1140</v>
      </c>
      <c r="F3619" s="2" t="s">
        <v>102</v>
      </c>
      <c r="G3619" s="2" t="s">
        <v>185</v>
      </c>
      <c r="H3619" s="2" t="s">
        <v>35</v>
      </c>
    </row>
    <row r="3620" spans="1:8" ht="13" hidden="1">
      <c r="A3620" s="15">
        <v>46020.76462563657</v>
      </c>
      <c r="B3620" s="16">
        <v>46019</v>
      </c>
      <c r="C3620" s="2" t="s">
        <v>280</v>
      </c>
      <c r="D3620" s="2" t="s">
        <v>46</v>
      </c>
      <c r="E3620" s="2">
        <v>495</v>
      </c>
      <c r="F3620" s="2" t="s">
        <v>102</v>
      </c>
      <c r="G3620" s="2" t="s">
        <v>306</v>
      </c>
      <c r="H3620" s="2" t="s">
        <v>35</v>
      </c>
    </row>
    <row r="3621" spans="1:8" ht="13" hidden="1">
      <c r="A3621" s="15">
        <v>46020.765062164355</v>
      </c>
      <c r="B3621" s="16">
        <v>46019</v>
      </c>
      <c r="C3621" s="2" t="s">
        <v>1353</v>
      </c>
      <c r="D3621" s="2" t="s">
        <v>45</v>
      </c>
      <c r="E3621" s="2">
        <v>770</v>
      </c>
      <c r="F3621" s="2" t="s">
        <v>102</v>
      </c>
      <c r="G3621" s="2" t="s">
        <v>169</v>
      </c>
      <c r="H3621" s="2" t="s">
        <v>35</v>
      </c>
    </row>
    <row r="3622" spans="1:8" ht="13" hidden="1">
      <c r="A3622" s="15">
        <v>46020.765507615739</v>
      </c>
      <c r="B3622" s="16">
        <v>46019</v>
      </c>
      <c r="C3622" s="2" t="s">
        <v>116</v>
      </c>
      <c r="D3622" s="2" t="s">
        <v>38</v>
      </c>
      <c r="E3622" s="2">
        <v>1877</v>
      </c>
      <c r="F3622" s="2" t="s">
        <v>102</v>
      </c>
      <c r="G3622" s="2" t="s">
        <v>145</v>
      </c>
      <c r="H3622" s="2" t="s">
        <v>35</v>
      </c>
    </row>
    <row r="3623" spans="1:8" ht="13" hidden="1">
      <c r="A3623" s="15">
        <v>46034.913560081019</v>
      </c>
      <c r="B3623" s="16">
        <v>46019</v>
      </c>
      <c r="C3623" s="2" t="s">
        <v>158</v>
      </c>
      <c r="D3623" s="2" t="s">
        <v>49</v>
      </c>
      <c r="E3623" s="2">
        <v>4980</v>
      </c>
      <c r="F3623" s="2" t="s">
        <v>100</v>
      </c>
      <c r="H3623" s="2" t="s">
        <v>35</v>
      </c>
    </row>
    <row r="3624" spans="1:8" ht="13" hidden="1">
      <c r="A3624" s="15">
        <v>46020.765799745372</v>
      </c>
      <c r="B3624" s="16">
        <v>46020</v>
      </c>
      <c r="C3624" s="2" t="s">
        <v>556</v>
      </c>
      <c r="D3624" s="2" t="s">
        <v>39</v>
      </c>
      <c r="E3624" s="2">
        <v>1680</v>
      </c>
      <c r="F3624" s="2" t="s">
        <v>102</v>
      </c>
      <c r="G3624" s="2" t="s">
        <v>1354</v>
      </c>
      <c r="H3624" s="2" t="s">
        <v>35</v>
      </c>
    </row>
    <row r="3625" spans="1:8" ht="13" hidden="1">
      <c r="A3625" s="15">
        <v>46020.766181469909</v>
      </c>
      <c r="B3625" s="16">
        <v>46020</v>
      </c>
      <c r="C3625" s="2" t="s">
        <v>1355</v>
      </c>
      <c r="D3625" s="2" t="s">
        <v>45</v>
      </c>
      <c r="E3625" s="2">
        <v>1094</v>
      </c>
      <c r="F3625" s="2" t="s">
        <v>102</v>
      </c>
      <c r="G3625" s="2" t="s">
        <v>285</v>
      </c>
      <c r="H3625" s="2" t="s">
        <v>35</v>
      </c>
    </row>
    <row r="3626" spans="1:8" ht="13" hidden="1">
      <c r="A3626" s="15">
        <v>46024.743845798614</v>
      </c>
      <c r="B3626" s="16">
        <v>46020</v>
      </c>
      <c r="C3626" s="2" t="s">
        <v>287</v>
      </c>
      <c r="D3626" s="2" t="s">
        <v>38</v>
      </c>
      <c r="E3626" s="2">
        <v>460</v>
      </c>
      <c r="F3626" s="2" t="s">
        <v>102</v>
      </c>
      <c r="G3626" s="2" t="s">
        <v>199</v>
      </c>
      <c r="H3626" s="2" t="s">
        <v>35</v>
      </c>
    </row>
    <row r="3627" spans="1:8" ht="13" hidden="1">
      <c r="A3627" s="15">
        <v>46024.768431504628</v>
      </c>
      <c r="B3627" s="16">
        <v>46020</v>
      </c>
      <c r="C3627" s="2" t="s">
        <v>1356</v>
      </c>
      <c r="D3627" s="2" t="s">
        <v>5</v>
      </c>
      <c r="E3627" s="2">
        <v>93000</v>
      </c>
      <c r="F3627" s="2" t="s">
        <v>102</v>
      </c>
      <c r="H3627" s="2" t="s">
        <v>35</v>
      </c>
    </row>
    <row r="3628" spans="1:8" ht="13" hidden="1">
      <c r="A3628" s="15">
        <v>46024.768713252313</v>
      </c>
      <c r="B3628" s="16">
        <v>46020</v>
      </c>
      <c r="C3628" s="2" t="s">
        <v>408</v>
      </c>
      <c r="D3628" s="2" t="s">
        <v>152</v>
      </c>
      <c r="E3628" s="2">
        <v>15000</v>
      </c>
      <c r="F3628" s="2" t="s">
        <v>102</v>
      </c>
      <c r="H3628" s="2" t="s">
        <v>35</v>
      </c>
    </row>
    <row r="3629" spans="1:8" ht="13" hidden="1">
      <c r="A3629" s="15">
        <v>46024.768963750001</v>
      </c>
      <c r="B3629" s="16">
        <v>46020</v>
      </c>
      <c r="C3629" s="2" t="s">
        <v>133</v>
      </c>
      <c r="D3629" s="2" t="s">
        <v>47</v>
      </c>
      <c r="E3629" s="2">
        <v>26000</v>
      </c>
      <c r="F3629" s="2" t="s">
        <v>102</v>
      </c>
      <c r="H3629" s="2" t="s">
        <v>35</v>
      </c>
    </row>
    <row r="3630" spans="1:8" ht="13" hidden="1">
      <c r="A3630" s="15">
        <v>46024.769245902775</v>
      </c>
      <c r="B3630" s="16">
        <v>46020</v>
      </c>
      <c r="C3630" s="2" t="s">
        <v>9</v>
      </c>
      <c r="D3630" s="2" t="s">
        <v>47</v>
      </c>
      <c r="E3630" s="2">
        <v>13600</v>
      </c>
      <c r="F3630" s="2" t="s">
        <v>102</v>
      </c>
      <c r="H3630" s="2" t="s">
        <v>35</v>
      </c>
    </row>
    <row r="3631" spans="1:8" ht="13" hidden="1">
      <c r="A3631" s="15">
        <v>46034.913967430555</v>
      </c>
      <c r="B3631" s="16">
        <v>46020</v>
      </c>
      <c r="C3631" s="2" t="s">
        <v>1357</v>
      </c>
      <c r="D3631" s="2" t="s">
        <v>45</v>
      </c>
      <c r="E3631" s="2">
        <v>2990</v>
      </c>
      <c r="F3631" s="2" t="s">
        <v>100</v>
      </c>
      <c r="G3631" s="2" t="s">
        <v>129</v>
      </c>
      <c r="H3631" s="2" t="s">
        <v>35</v>
      </c>
    </row>
    <row r="3632" spans="1:8" ht="13" hidden="1">
      <c r="A3632" s="15">
        <v>46024.744123009259</v>
      </c>
      <c r="B3632" s="16">
        <v>46021</v>
      </c>
      <c r="C3632" s="2" t="s">
        <v>280</v>
      </c>
      <c r="D3632" s="2" t="s">
        <v>46</v>
      </c>
      <c r="E3632" s="2">
        <v>1985</v>
      </c>
      <c r="F3632" s="2" t="s">
        <v>102</v>
      </c>
      <c r="G3632" s="2" t="s">
        <v>306</v>
      </c>
      <c r="H3632" s="2" t="s">
        <v>35</v>
      </c>
    </row>
    <row r="3633" spans="1:8" ht="13" hidden="1">
      <c r="A3633" s="15">
        <v>46034.914322638884</v>
      </c>
      <c r="B3633" s="16">
        <v>46021</v>
      </c>
      <c r="C3633" s="2" t="s">
        <v>350</v>
      </c>
      <c r="D3633" s="2" t="s">
        <v>40</v>
      </c>
      <c r="E3633" s="2">
        <v>2000</v>
      </c>
      <c r="F3633" s="2" t="s">
        <v>100</v>
      </c>
      <c r="H3633" s="2" t="s">
        <v>35</v>
      </c>
    </row>
    <row r="3634" spans="1:8" ht="13" hidden="1">
      <c r="A3634" s="15">
        <v>46034.914586817133</v>
      </c>
      <c r="B3634" s="16">
        <v>46021</v>
      </c>
      <c r="C3634" s="2" t="s">
        <v>240</v>
      </c>
      <c r="D3634" s="2" t="s">
        <v>42</v>
      </c>
      <c r="E3634" s="2">
        <v>990</v>
      </c>
      <c r="F3634" s="2" t="s">
        <v>100</v>
      </c>
      <c r="H3634" s="2" t="s">
        <v>35</v>
      </c>
    </row>
    <row r="3635" spans="1:8" ht="13" hidden="1">
      <c r="A3635" s="15">
        <v>46024.744425590281</v>
      </c>
      <c r="B3635" s="16">
        <v>46022</v>
      </c>
      <c r="C3635" s="2" t="s">
        <v>207</v>
      </c>
      <c r="D3635" s="2" t="s">
        <v>39</v>
      </c>
      <c r="E3635" s="2">
        <v>1623</v>
      </c>
      <c r="F3635" s="2" t="s">
        <v>102</v>
      </c>
      <c r="H3635" s="2" t="s">
        <v>35</v>
      </c>
    </row>
    <row r="3636" spans="1:8" ht="13" hidden="1">
      <c r="A3636" s="15">
        <v>46024.744654444439</v>
      </c>
      <c r="B3636" s="16">
        <v>46022</v>
      </c>
      <c r="C3636" s="2" t="s">
        <v>109</v>
      </c>
      <c r="D3636" s="2" t="s">
        <v>38</v>
      </c>
      <c r="E3636" s="2">
        <v>1159</v>
      </c>
      <c r="F3636" s="2" t="s">
        <v>102</v>
      </c>
      <c r="H3636" s="2" t="s">
        <v>35</v>
      </c>
    </row>
    <row r="3637" spans="1:8" ht="13" hidden="1">
      <c r="A3637" s="15">
        <v>46034.914823854167</v>
      </c>
      <c r="B3637" s="16">
        <v>46022</v>
      </c>
      <c r="C3637" s="2" t="s">
        <v>1016</v>
      </c>
      <c r="D3637" s="2" t="s">
        <v>40</v>
      </c>
      <c r="E3637" s="2">
        <v>600</v>
      </c>
      <c r="F3637" s="2" t="s">
        <v>100</v>
      </c>
      <c r="H3637" s="2" t="s">
        <v>35</v>
      </c>
    </row>
    <row r="3638" spans="1:8" ht="13" hidden="1">
      <c r="A3638" s="15">
        <v>46060.695159039351</v>
      </c>
      <c r="B3638" s="16">
        <v>46022</v>
      </c>
      <c r="C3638" s="2" t="s">
        <v>105</v>
      </c>
      <c r="D3638" s="2" t="s">
        <v>40</v>
      </c>
      <c r="E3638" s="2">
        <v>2800</v>
      </c>
      <c r="F3638" s="2" t="s">
        <v>100</v>
      </c>
      <c r="H3638" s="2" t="s">
        <v>35</v>
      </c>
    </row>
    <row r="3639" spans="1:8" ht="13" hidden="1">
      <c r="A3639" s="15">
        <v>46024.74498743056</v>
      </c>
      <c r="B3639" s="16">
        <v>46023</v>
      </c>
      <c r="C3639" s="2" t="s">
        <v>400</v>
      </c>
      <c r="D3639" s="2" t="s">
        <v>38</v>
      </c>
      <c r="E3639" s="2">
        <v>2067</v>
      </c>
      <c r="F3639" s="2" t="s">
        <v>102</v>
      </c>
      <c r="G3639" s="2" t="s">
        <v>886</v>
      </c>
      <c r="H3639" s="2" t="s">
        <v>35</v>
      </c>
    </row>
    <row r="3640" spans="1:8" ht="13" hidden="1">
      <c r="A3640" s="15">
        <v>46034.916081388888</v>
      </c>
      <c r="B3640" s="16">
        <v>46023</v>
      </c>
      <c r="C3640" s="2" t="s">
        <v>1358</v>
      </c>
      <c r="D3640" s="2" t="s">
        <v>49</v>
      </c>
      <c r="E3640" s="2">
        <v>1200</v>
      </c>
      <c r="F3640" s="2" t="s">
        <v>100</v>
      </c>
      <c r="G3640" s="2" t="s">
        <v>179</v>
      </c>
      <c r="H3640" s="2" t="s">
        <v>35</v>
      </c>
    </row>
    <row r="3641" spans="1:8" ht="13" hidden="1">
      <c r="A3641" s="15">
        <v>46034.916357256945</v>
      </c>
      <c r="B3641" s="16">
        <v>46023</v>
      </c>
      <c r="C3641" s="2" t="s">
        <v>10</v>
      </c>
      <c r="D3641" s="2" t="s">
        <v>45</v>
      </c>
      <c r="E3641" s="2">
        <v>360</v>
      </c>
      <c r="F3641" s="2" t="s">
        <v>100</v>
      </c>
      <c r="H3641" s="2" t="s">
        <v>35</v>
      </c>
    </row>
    <row r="3642" spans="1:8" ht="13" hidden="1">
      <c r="A3642" s="15">
        <v>46024.745352465281</v>
      </c>
      <c r="B3642" s="16">
        <v>46024</v>
      </c>
      <c r="C3642" s="2" t="s">
        <v>1178</v>
      </c>
      <c r="D3642" s="2" t="s">
        <v>152</v>
      </c>
      <c r="E3642" s="2">
        <v>2556</v>
      </c>
      <c r="F3642" s="2" t="s">
        <v>102</v>
      </c>
      <c r="H3642" s="2" t="s">
        <v>35</v>
      </c>
    </row>
    <row r="3643" spans="1:8" ht="13" hidden="1">
      <c r="A3643" s="15">
        <v>46034.896590034725</v>
      </c>
      <c r="B3643" s="16">
        <v>46024</v>
      </c>
      <c r="C3643" s="2" t="s">
        <v>280</v>
      </c>
      <c r="D3643" s="2" t="s">
        <v>46</v>
      </c>
      <c r="E3643" s="2">
        <v>2816</v>
      </c>
      <c r="F3643" s="2" t="s">
        <v>102</v>
      </c>
      <c r="G3643" s="2" t="s">
        <v>306</v>
      </c>
      <c r="H3643" s="2" t="s">
        <v>35</v>
      </c>
    </row>
    <row r="3644" spans="1:8" ht="13" hidden="1">
      <c r="A3644" s="15">
        <v>46034.916743159723</v>
      </c>
      <c r="B3644" s="16">
        <v>46024</v>
      </c>
      <c r="C3644" s="2" t="s">
        <v>181</v>
      </c>
      <c r="D3644" s="2" t="s">
        <v>40</v>
      </c>
      <c r="E3644" s="2">
        <v>309</v>
      </c>
      <c r="F3644" s="2" t="s">
        <v>100</v>
      </c>
      <c r="H3644" s="2" t="s">
        <v>35</v>
      </c>
    </row>
    <row r="3645" spans="1:8" ht="13" hidden="1">
      <c r="A3645" s="15">
        <v>46034.89757105324</v>
      </c>
      <c r="B3645" s="16">
        <v>46025</v>
      </c>
      <c r="C3645" s="2" t="s">
        <v>518</v>
      </c>
      <c r="D3645" s="2" t="s">
        <v>38</v>
      </c>
      <c r="E3645" s="2">
        <v>1550</v>
      </c>
      <c r="F3645" s="2" t="s">
        <v>102</v>
      </c>
      <c r="G3645" s="2" t="s">
        <v>1359</v>
      </c>
      <c r="H3645" s="2" t="s">
        <v>35</v>
      </c>
    </row>
    <row r="3646" spans="1:8" ht="13" hidden="1">
      <c r="A3646" s="15">
        <v>46034.897827581022</v>
      </c>
      <c r="B3646" s="16">
        <v>46025</v>
      </c>
      <c r="C3646" s="2" t="s">
        <v>1360</v>
      </c>
      <c r="D3646" s="2" t="s">
        <v>52</v>
      </c>
      <c r="E3646" s="2">
        <v>1240</v>
      </c>
      <c r="F3646" s="2" t="s">
        <v>102</v>
      </c>
      <c r="H3646" s="2" t="s">
        <v>35</v>
      </c>
    </row>
    <row r="3647" spans="1:8" ht="13" hidden="1">
      <c r="A3647" s="15">
        <v>46034.917173321759</v>
      </c>
      <c r="B3647" s="16">
        <v>46025</v>
      </c>
      <c r="C3647" s="2" t="s">
        <v>1361</v>
      </c>
      <c r="D3647" s="2" t="s">
        <v>45</v>
      </c>
      <c r="E3647" s="2">
        <v>10987</v>
      </c>
      <c r="F3647" s="2" t="s">
        <v>100</v>
      </c>
      <c r="H3647" s="2" t="s">
        <v>35</v>
      </c>
    </row>
    <row r="3648" spans="1:8" ht="13" hidden="1">
      <c r="A3648" s="15">
        <v>46026.537782233798</v>
      </c>
      <c r="B3648" s="16">
        <v>46026</v>
      </c>
      <c r="C3648" s="2" t="s">
        <v>1362</v>
      </c>
      <c r="D3648" s="2" t="s">
        <v>152</v>
      </c>
      <c r="E3648" s="2">
        <v>2000</v>
      </c>
      <c r="F3648" s="2" t="s">
        <v>102</v>
      </c>
      <c r="H3648" s="2" t="s">
        <v>35</v>
      </c>
    </row>
    <row r="3649" spans="1:8" ht="13" hidden="1">
      <c r="A3649" s="15">
        <v>46034.89815094907</v>
      </c>
      <c r="B3649" s="16">
        <v>46026</v>
      </c>
      <c r="C3649" s="2" t="s">
        <v>207</v>
      </c>
      <c r="D3649" s="2" t="s">
        <v>39</v>
      </c>
      <c r="E3649" s="2">
        <v>1004</v>
      </c>
      <c r="F3649" s="2" t="s">
        <v>102</v>
      </c>
      <c r="H3649" s="2" t="s">
        <v>35</v>
      </c>
    </row>
    <row r="3650" spans="1:8" ht="13" hidden="1">
      <c r="A3650" s="15">
        <v>46034.898384652777</v>
      </c>
      <c r="B3650" s="16">
        <v>46026</v>
      </c>
      <c r="C3650" s="2" t="s">
        <v>207</v>
      </c>
      <c r="D3650" s="2" t="s">
        <v>39</v>
      </c>
      <c r="E3650" s="2">
        <v>486</v>
      </c>
      <c r="F3650" s="2" t="s">
        <v>102</v>
      </c>
      <c r="H3650" s="2" t="s">
        <v>35</v>
      </c>
    </row>
    <row r="3651" spans="1:8" ht="13" hidden="1">
      <c r="A3651" s="15">
        <v>46034.898688449073</v>
      </c>
      <c r="B3651" s="16">
        <v>46026</v>
      </c>
      <c r="C3651" s="2" t="s">
        <v>668</v>
      </c>
      <c r="D3651" s="2" t="s">
        <v>38</v>
      </c>
      <c r="E3651" s="2">
        <v>486</v>
      </c>
      <c r="F3651" s="2" t="s">
        <v>102</v>
      </c>
      <c r="G3651" s="2" t="s">
        <v>356</v>
      </c>
      <c r="H3651" s="2" t="s">
        <v>35</v>
      </c>
    </row>
    <row r="3652" spans="1:8" ht="13" hidden="1">
      <c r="A3652" s="15">
        <v>46034.899082129632</v>
      </c>
      <c r="B3652" s="16">
        <v>46026</v>
      </c>
      <c r="C3652" s="2" t="s">
        <v>430</v>
      </c>
      <c r="D3652" s="2" t="s">
        <v>45</v>
      </c>
      <c r="E3652" s="2">
        <v>200</v>
      </c>
      <c r="F3652" s="2" t="s">
        <v>102</v>
      </c>
      <c r="H3652" s="2" t="s">
        <v>35</v>
      </c>
    </row>
    <row r="3653" spans="1:8" ht="13" hidden="1">
      <c r="A3653" s="15">
        <v>46034.899355312504</v>
      </c>
      <c r="B3653" s="16">
        <v>46026</v>
      </c>
      <c r="C3653" s="2" t="s">
        <v>651</v>
      </c>
      <c r="D3653" s="2" t="s">
        <v>39</v>
      </c>
      <c r="E3653" s="2">
        <v>3000</v>
      </c>
      <c r="F3653" s="2" t="s">
        <v>102</v>
      </c>
      <c r="H3653" s="2" t="s">
        <v>35</v>
      </c>
    </row>
    <row r="3654" spans="1:8" ht="13" hidden="1">
      <c r="A3654" s="15">
        <v>46034.917467893523</v>
      </c>
      <c r="B3654" s="16">
        <v>46026</v>
      </c>
      <c r="C3654" s="2" t="s">
        <v>350</v>
      </c>
      <c r="D3654" s="2" t="s">
        <v>40</v>
      </c>
      <c r="E3654" s="2">
        <v>2000</v>
      </c>
      <c r="F3654" s="2" t="s">
        <v>100</v>
      </c>
      <c r="H3654" s="2" t="s">
        <v>35</v>
      </c>
    </row>
    <row r="3655" spans="1:8" ht="13" hidden="1">
      <c r="A3655" s="15">
        <v>46034.917914212958</v>
      </c>
      <c r="B3655" s="16">
        <v>46026</v>
      </c>
      <c r="C3655" s="2" t="s">
        <v>240</v>
      </c>
      <c r="D3655" s="2" t="s">
        <v>42</v>
      </c>
      <c r="E3655" s="2">
        <v>900</v>
      </c>
      <c r="F3655" s="2" t="s">
        <v>100</v>
      </c>
      <c r="H3655" s="2" t="s">
        <v>35</v>
      </c>
    </row>
    <row r="3656" spans="1:8" ht="13" hidden="1">
      <c r="A3656" s="15">
        <v>46034.91834877315</v>
      </c>
      <c r="B3656" s="16">
        <v>46026</v>
      </c>
      <c r="C3656" s="2" t="s">
        <v>1255</v>
      </c>
      <c r="D3656" s="2" t="s">
        <v>53</v>
      </c>
      <c r="E3656" s="2">
        <v>5495</v>
      </c>
      <c r="F3656" s="2" t="s">
        <v>100</v>
      </c>
      <c r="G3656" s="2" t="s">
        <v>1363</v>
      </c>
      <c r="H3656" s="2" t="s">
        <v>35</v>
      </c>
    </row>
    <row r="3657" spans="1:8" ht="13" hidden="1">
      <c r="A3657" s="15">
        <v>46034.899650694446</v>
      </c>
      <c r="B3657" s="16">
        <v>46026</v>
      </c>
      <c r="C3657" s="2" t="s">
        <v>987</v>
      </c>
      <c r="D3657" s="2" t="s">
        <v>38</v>
      </c>
      <c r="E3657" s="2">
        <v>316</v>
      </c>
      <c r="F3657" s="2" t="s">
        <v>102</v>
      </c>
      <c r="G3657" s="2" t="s">
        <v>103</v>
      </c>
      <c r="H3657" s="2" t="s">
        <v>35</v>
      </c>
    </row>
    <row r="3658" spans="1:8" ht="13" hidden="1">
      <c r="A3658" s="15">
        <v>46034.918620358796</v>
      </c>
      <c r="B3658" s="16">
        <v>46026</v>
      </c>
      <c r="C3658" s="2" t="s">
        <v>240</v>
      </c>
      <c r="D3658" s="2" t="s">
        <v>42</v>
      </c>
      <c r="E3658" s="2">
        <v>330</v>
      </c>
      <c r="F3658" s="2" t="s">
        <v>100</v>
      </c>
      <c r="H3658" s="2" t="s">
        <v>35</v>
      </c>
    </row>
    <row r="3659" spans="1:8" ht="13" hidden="1">
      <c r="A3659" s="15">
        <v>46034.899869143519</v>
      </c>
      <c r="B3659" s="16">
        <v>46027</v>
      </c>
      <c r="C3659" s="2" t="s">
        <v>110</v>
      </c>
      <c r="D3659" s="2" t="s">
        <v>38</v>
      </c>
      <c r="E3659" s="2">
        <v>149</v>
      </c>
      <c r="F3659" s="2" t="s">
        <v>102</v>
      </c>
      <c r="G3659" s="2" t="s">
        <v>103</v>
      </c>
      <c r="H3659" s="2" t="s">
        <v>35</v>
      </c>
    </row>
    <row r="3660" spans="1:8" ht="13" hidden="1">
      <c r="A3660" s="15">
        <v>46034.90015778935</v>
      </c>
      <c r="B3660" s="16">
        <v>46027</v>
      </c>
      <c r="C3660" s="2" t="s">
        <v>106</v>
      </c>
      <c r="D3660" s="2" t="s">
        <v>52</v>
      </c>
      <c r="E3660" s="2">
        <v>1300</v>
      </c>
      <c r="F3660" s="2" t="s">
        <v>102</v>
      </c>
      <c r="H3660" s="2" t="s">
        <v>35</v>
      </c>
    </row>
    <row r="3661" spans="1:8" ht="13" hidden="1">
      <c r="A3661" s="15">
        <v>46034.900453935188</v>
      </c>
      <c r="B3661" s="16">
        <v>46027</v>
      </c>
      <c r="C3661" s="2" t="s">
        <v>294</v>
      </c>
      <c r="D3661" s="2" t="s">
        <v>52</v>
      </c>
      <c r="E3661" s="2">
        <v>950</v>
      </c>
      <c r="F3661" s="2" t="s">
        <v>102</v>
      </c>
      <c r="G3661" s="2" t="s">
        <v>1364</v>
      </c>
      <c r="H3661" s="2" t="s">
        <v>35</v>
      </c>
    </row>
    <row r="3662" spans="1:8" ht="13" hidden="1">
      <c r="A3662" s="15">
        <v>46034.919104155095</v>
      </c>
      <c r="B3662" s="16">
        <v>46027</v>
      </c>
      <c r="C3662" s="2" t="s">
        <v>1365</v>
      </c>
      <c r="D3662" s="2" t="s">
        <v>38</v>
      </c>
      <c r="E3662" s="2">
        <v>638</v>
      </c>
      <c r="F3662" s="2" t="s">
        <v>100</v>
      </c>
      <c r="G3662" s="2" t="s">
        <v>129</v>
      </c>
      <c r="H3662" s="2" t="s">
        <v>35</v>
      </c>
    </row>
    <row r="3663" spans="1:8" ht="13" hidden="1">
      <c r="A3663" s="15">
        <v>46034.919332812497</v>
      </c>
      <c r="B3663" s="16">
        <v>46027</v>
      </c>
      <c r="C3663" s="2" t="s">
        <v>26</v>
      </c>
      <c r="D3663" s="2" t="s">
        <v>41</v>
      </c>
      <c r="E3663" s="2">
        <v>5484</v>
      </c>
      <c r="F3663" s="2" t="s">
        <v>100</v>
      </c>
      <c r="H3663" s="2" t="s">
        <v>35</v>
      </c>
    </row>
    <row r="3664" spans="1:8" ht="13" hidden="1">
      <c r="A3664" s="15">
        <v>46034.900718668985</v>
      </c>
      <c r="B3664" s="16">
        <v>46028</v>
      </c>
      <c r="C3664" s="2" t="s">
        <v>719</v>
      </c>
      <c r="D3664" s="2" t="s">
        <v>45</v>
      </c>
      <c r="E3664" s="2">
        <v>1233</v>
      </c>
      <c r="F3664" s="2" t="s">
        <v>102</v>
      </c>
      <c r="G3664" s="2" t="s">
        <v>285</v>
      </c>
      <c r="H3664" s="2" t="s">
        <v>35</v>
      </c>
    </row>
    <row r="3665" spans="1:8" ht="13" hidden="1">
      <c r="A3665" s="15">
        <v>46034.905172175924</v>
      </c>
      <c r="B3665" s="16">
        <v>46028</v>
      </c>
      <c r="C3665" s="2" t="s">
        <v>154</v>
      </c>
      <c r="D3665" s="2" t="s">
        <v>38</v>
      </c>
      <c r="E3665" s="2">
        <v>500</v>
      </c>
      <c r="F3665" s="2" t="s">
        <v>102</v>
      </c>
      <c r="H3665" s="2" t="s">
        <v>35</v>
      </c>
    </row>
    <row r="3666" spans="1:8" ht="13" hidden="1">
      <c r="A3666" s="15">
        <v>46034.919683587963</v>
      </c>
      <c r="B3666" s="16">
        <v>46028</v>
      </c>
      <c r="C3666" s="2" t="s">
        <v>116</v>
      </c>
      <c r="D3666" s="2" t="s">
        <v>38</v>
      </c>
      <c r="E3666" s="2">
        <v>1738</v>
      </c>
      <c r="F3666" s="2" t="s">
        <v>100</v>
      </c>
      <c r="G3666" s="2" t="s">
        <v>652</v>
      </c>
      <c r="H3666" s="2" t="s">
        <v>35</v>
      </c>
    </row>
    <row r="3667" spans="1:8" ht="13" hidden="1">
      <c r="A3667" s="15">
        <v>46034.920043726852</v>
      </c>
      <c r="B3667" s="16">
        <v>46028</v>
      </c>
      <c r="C3667" s="2" t="s">
        <v>1366</v>
      </c>
      <c r="D3667" s="2" t="s">
        <v>46</v>
      </c>
      <c r="E3667" s="2">
        <v>1300</v>
      </c>
      <c r="F3667" s="2" t="s">
        <v>100</v>
      </c>
      <c r="G3667" s="2" t="s">
        <v>129</v>
      </c>
      <c r="H3667" s="2" t="s">
        <v>35</v>
      </c>
    </row>
    <row r="3668" spans="1:8" ht="13" hidden="1">
      <c r="A3668" s="15">
        <v>46034.901005173611</v>
      </c>
      <c r="B3668" s="16">
        <v>46029</v>
      </c>
      <c r="C3668" s="2" t="s">
        <v>871</v>
      </c>
      <c r="D3668" s="2" t="s">
        <v>46</v>
      </c>
      <c r="E3668" s="2">
        <v>889</v>
      </c>
      <c r="F3668" s="2" t="s">
        <v>102</v>
      </c>
      <c r="G3668" s="2" t="s">
        <v>1321</v>
      </c>
      <c r="H3668" s="2" t="s">
        <v>35</v>
      </c>
    </row>
    <row r="3669" spans="1:8" ht="13" hidden="1">
      <c r="A3669" s="15">
        <v>46034.901875393523</v>
      </c>
      <c r="B3669" s="16">
        <v>46029</v>
      </c>
      <c r="C3669" s="2" t="s">
        <v>1367</v>
      </c>
      <c r="D3669" s="2" t="s">
        <v>39</v>
      </c>
      <c r="E3669" s="2">
        <v>5000</v>
      </c>
      <c r="F3669" s="2" t="s">
        <v>102</v>
      </c>
      <c r="H3669" s="2" t="s">
        <v>35</v>
      </c>
    </row>
    <row r="3670" spans="1:8" ht="13" hidden="1">
      <c r="A3670" s="15">
        <v>46034.921412662035</v>
      </c>
      <c r="B3670" s="16">
        <v>46029</v>
      </c>
      <c r="C3670" s="2" t="s">
        <v>258</v>
      </c>
      <c r="E3670" s="2">
        <v>11680</v>
      </c>
      <c r="H3670" s="2" t="s">
        <v>34</v>
      </c>
    </row>
    <row r="3671" spans="1:8" ht="13" hidden="1">
      <c r="A3671" s="15">
        <v>46034.905438599541</v>
      </c>
      <c r="B3671" s="16">
        <v>46029</v>
      </c>
      <c r="C3671" s="2" t="s">
        <v>106</v>
      </c>
      <c r="D3671" s="2" t="s">
        <v>52</v>
      </c>
      <c r="E3671" s="2">
        <v>1200</v>
      </c>
      <c r="F3671" s="2" t="s">
        <v>102</v>
      </c>
      <c r="G3671" s="2" t="s">
        <v>952</v>
      </c>
      <c r="H3671" s="2" t="s">
        <v>35</v>
      </c>
    </row>
    <row r="3672" spans="1:8" ht="13" hidden="1">
      <c r="A3672" s="15">
        <v>46034.901594212963</v>
      </c>
      <c r="B3672" s="16">
        <v>46030</v>
      </c>
      <c r="C3672" s="2" t="s">
        <v>682</v>
      </c>
      <c r="D3672" s="2" t="s">
        <v>45</v>
      </c>
      <c r="E3672" s="2">
        <v>1589</v>
      </c>
      <c r="F3672" s="2" t="s">
        <v>102</v>
      </c>
      <c r="G3672" s="2" t="s">
        <v>285</v>
      </c>
      <c r="H3672" s="2" t="s">
        <v>35</v>
      </c>
    </row>
    <row r="3673" spans="1:8" ht="13" hidden="1">
      <c r="A3673" s="15">
        <v>46034.920694710643</v>
      </c>
      <c r="B3673" s="16">
        <v>46030</v>
      </c>
      <c r="C3673" s="2" t="s">
        <v>654</v>
      </c>
      <c r="D3673" s="2" t="s">
        <v>48</v>
      </c>
      <c r="E3673" s="2">
        <v>150</v>
      </c>
      <c r="F3673" s="2" t="s">
        <v>100</v>
      </c>
      <c r="H3673" s="2" t="s">
        <v>35</v>
      </c>
    </row>
    <row r="3674" spans="1:8" ht="13" hidden="1">
      <c r="A3674" s="15">
        <v>46034.902103229164</v>
      </c>
      <c r="B3674" s="16">
        <v>46031</v>
      </c>
      <c r="C3674" s="2" t="s">
        <v>106</v>
      </c>
      <c r="D3674" s="2" t="s">
        <v>52</v>
      </c>
      <c r="E3674" s="2">
        <v>950</v>
      </c>
      <c r="F3674" s="2" t="s">
        <v>102</v>
      </c>
      <c r="H3674" s="2" t="s">
        <v>35</v>
      </c>
    </row>
    <row r="3675" spans="1:8" ht="13" hidden="1">
      <c r="A3675" s="15">
        <v>46034.902364421301</v>
      </c>
      <c r="B3675" s="16">
        <v>46031</v>
      </c>
      <c r="C3675" s="2" t="s">
        <v>1051</v>
      </c>
      <c r="D3675" s="2" t="s">
        <v>39</v>
      </c>
      <c r="E3675" s="2">
        <v>3700</v>
      </c>
      <c r="F3675" s="2" t="s">
        <v>102</v>
      </c>
      <c r="H3675" s="2" t="s">
        <v>35</v>
      </c>
    </row>
    <row r="3676" spans="1:8" ht="13" hidden="1">
      <c r="A3676" s="15">
        <v>46034.902893379629</v>
      </c>
      <c r="B3676" s="16">
        <v>46031</v>
      </c>
      <c r="C3676" s="2" t="s">
        <v>114</v>
      </c>
      <c r="D3676" s="2" t="s">
        <v>38</v>
      </c>
      <c r="E3676" s="2">
        <v>278</v>
      </c>
      <c r="F3676" s="2" t="s">
        <v>102</v>
      </c>
      <c r="G3676" s="2" t="s">
        <v>356</v>
      </c>
      <c r="H3676" s="2" t="s">
        <v>35</v>
      </c>
    </row>
    <row r="3677" spans="1:8" ht="13" hidden="1">
      <c r="A3677" s="15">
        <v>46034.920968993058</v>
      </c>
      <c r="B3677" s="16">
        <v>46031</v>
      </c>
      <c r="C3677" s="2" t="s">
        <v>15</v>
      </c>
      <c r="D3677" s="2" t="s">
        <v>48</v>
      </c>
      <c r="E3677" s="2">
        <v>880</v>
      </c>
      <c r="F3677" s="2" t="s">
        <v>100</v>
      </c>
      <c r="H3677" s="2" t="s">
        <v>35</v>
      </c>
    </row>
    <row r="3678" spans="1:8" ht="13" hidden="1">
      <c r="A3678" s="15">
        <v>46038.897911134263</v>
      </c>
      <c r="B3678" s="16">
        <v>46031</v>
      </c>
      <c r="C3678" s="2" t="s">
        <v>240</v>
      </c>
      <c r="D3678" s="2" t="s">
        <v>42</v>
      </c>
      <c r="E3678" s="2">
        <v>990</v>
      </c>
      <c r="F3678" s="2" t="s">
        <v>100</v>
      </c>
      <c r="H3678" s="2" t="s">
        <v>35</v>
      </c>
    </row>
    <row r="3679" spans="1:8" ht="13" hidden="1">
      <c r="A3679" s="15">
        <v>46034.903234016208</v>
      </c>
      <c r="B3679" s="16">
        <v>46032</v>
      </c>
      <c r="C3679" s="2" t="s">
        <v>1323</v>
      </c>
      <c r="D3679" s="2" t="s">
        <v>38</v>
      </c>
      <c r="E3679" s="2">
        <v>278</v>
      </c>
      <c r="F3679" s="2" t="s">
        <v>102</v>
      </c>
      <c r="G3679" s="2" t="s">
        <v>356</v>
      </c>
      <c r="H3679" s="2" t="s">
        <v>35</v>
      </c>
    </row>
    <row r="3680" spans="1:8" ht="13" hidden="1">
      <c r="A3680" s="15">
        <v>46034.903557789352</v>
      </c>
      <c r="B3680" s="16">
        <v>46032</v>
      </c>
      <c r="C3680" s="2" t="s">
        <v>280</v>
      </c>
      <c r="D3680" s="2" t="s">
        <v>46</v>
      </c>
      <c r="E3680" s="2">
        <v>1650</v>
      </c>
      <c r="F3680" s="2" t="s">
        <v>102</v>
      </c>
      <c r="G3680" s="2" t="s">
        <v>306</v>
      </c>
      <c r="H3680" s="2" t="s">
        <v>35</v>
      </c>
    </row>
    <row r="3681" spans="1:8" ht="13" hidden="1">
      <c r="A3681" s="15">
        <v>46034.904000972223</v>
      </c>
      <c r="B3681" s="16">
        <v>46032</v>
      </c>
      <c r="C3681" s="2" t="s">
        <v>937</v>
      </c>
      <c r="D3681" s="2" t="s">
        <v>38</v>
      </c>
      <c r="E3681" s="2">
        <v>181</v>
      </c>
      <c r="F3681" s="2" t="s">
        <v>102</v>
      </c>
      <c r="G3681" s="2" t="s">
        <v>103</v>
      </c>
      <c r="H3681" s="2" t="s">
        <v>35</v>
      </c>
    </row>
    <row r="3682" spans="1:8" ht="13" hidden="1">
      <c r="A3682" s="15">
        <v>46034.904257268514</v>
      </c>
      <c r="B3682" s="16">
        <v>46032</v>
      </c>
      <c r="C3682" s="2" t="s">
        <v>1368</v>
      </c>
      <c r="D3682" s="2" t="s">
        <v>38</v>
      </c>
      <c r="E3682" s="2">
        <v>143</v>
      </c>
      <c r="F3682" s="2" t="s">
        <v>102</v>
      </c>
      <c r="G3682" s="2" t="s">
        <v>356</v>
      </c>
      <c r="H3682" s="2" t="s">
        <v>35</v>
      </c>
    </row>
    <row r="3683" spans="1:8" ht="13" hidden="1">
      <c r="A3683" s="15">
        <v>46038.89837638889</v>
      </c>
      <c r="B3683" s="16">
        <v>46032</v>
      </c>
      <c r="C3683" s="2" t="s">
        <v>1068</v>
      </c>
      <c r="D3683" s="2" t="s">
        <v>45</v>
      </c>
      <c r="E3683" s="2">
        <v>790</v>
      </c>
      <c r="F3683" s="2" t="s">
        <v>100</v>
      </c>
      <c r="G3683" s="2" t="s">
        <v>696</v>
      </c>
      <c r="H3683" s="2" t="s">
        <v>35</v>
      </c>
    </row>
    <row r="3684" spans="1:8" ht="13" hidden="1">
      <c r="A3684" s="15">
        <v>46038.898741273151</v>
      </c>
      <c r="B3684" s="16">
        <v>46032</v>
      </c>
      <c r="C3684" s="2" t="s">
        <v>116</v>
      </c>
      <c r="D3684" s="2" t="s">
        <v>38</v>
      </c>
      <c r="E3684" s="2">
        <v>1294</v>
      </c>
      <c r="F3684" s="2" t="s">
        <v>100</v>
      </c>
      <c r="G3684" s="2" t="s">
        <v>652</v>
      </c>
      <c r="H3684" s="2" t="s">
        <v>35</v>
      </c>
    </row>
    <row r="3685" spans="1:8" ht="13" hidden="1">
      <c r="A3685" s="15">
        <v>46038.899000335645</v>
      </c>
      <c r="B3685" s="16">
        <v>46032</v>
      </c>
      <c r="C3685" s="2" t="s">
        <v>240</v>
      </c>
      <c r="D3685" s="2" t="s">
        <v>42</v>
      </c>
      <c r="E3685" s="2">
        <v>132</v>
      </c>
      <c r="F3685" s="2" t="s">
        <v>100</v>
      </c>
      <c r="H3685" s="2" t="s">
        <v>35</v>
      </c>
    </row>
    <row r="3686" spans="1:8" ht="13" hidden="1">
      <c r="A3686" s="15">
        <v>46038.89955130787</v>
      </c>
      <c r="B3686" s="16">
        <v>46032</v>
      </c>
      <c r="C3686" s="2" t="s">
        <v>533</v>
      </c>
      <c r="D3686" s="2" t="s">
        <v>46</v>
      </c>
      <c r="E3686" s="2">
        <v>1760</v>
      </c>
      <c r="F3686" s="2" t="s">
        <v>100</v>
      </c>
      <c r="G3686" s="2" t="s">
        <v>129</v>
      </c>
      <c r="H3686" s="2" t="s">
        <v>35</v>
      </c>
    </row>
    <row r="3687" spans="1:8" ht="13" hidden="1">
      <c r="A3687" s="15">
        <v>46038.899880092591</v>
      </c>
      <c r="B3687" s="16">
        <v>46032</v>
      </c>
      <c r="C3687" s="2" t="s">
        <v>556</v>
      </c>
      <c r="D3687" s="2" t="s">
        <v>53</v>
      </c>
      <c r="E3687" s="2">
        <v>1250</v>
      </c>
      <c r="F3687" s="2" t="s">
        <v>100</v>
      </c>
      <c r="H3687" s="2" t="s">
        <v>35</v>
      </c>
    </row>
    <row r="3688" spans="1:8" ht="13" hidden="1">
      <c r="A3688" s="15">
        <v>46038.900729895831</v>
      </c>
      <c r="B3688" s="16">
        <v>46033</v>
      </c>
      <c r="C3688" s="2" t="s">
        <v>499</v>
      </c>
      <c r="D3688" s="2" t="s">
        <v>38</v>
      </c>
      <c r="E3688" s="2">
        <v>4256</v>
      </c>
      <c r="F3688" s="2" t="s">
        <v>102</v>
      </c>
      <c r="G3688" s="2" t="s">
        <v>129</v>
      </c>
      <c r="H3688" s="2" t="s">
        <v>35</v>
      </c>
    </row>
    <row r="3689" spans="1:8" ht="13" hidden="1">
      <c r="A3689" s="15">
        <v>46034.904502881946</v>
      </c>
      <c r="B3689" s="16">
        <v>46033</v>
      </c>
      <c r="C3689" s="2" t="s">
        <v>1051</v>
      </c>
      <c r="D3689" s="2" t="s">
        <v>39</v>
      </c>
      <c r="E3689" s="2">
        <v>5120</v>
      </c>
      <c r="F3689" s="2" t="s">
        <v>102</v>
      </c>
      <c r="H3689" s="2" t="s">
        <v>35</v>
      </c>
    </row>
    <row r="3690" spans="1:8" ht="13" hidden="1">
      <c r="A3690" s="15">
        <v>46038.900270833328</v>
      </c>
      <c r="B3690" s="16">
        <v>46033</v>
      </c>
      <c r="C3690" s="2" t="s">
        <v>18</v>
      </c>
      <c r="D3690" s="2" t="s">
        <v>41</v>
      </c>
      <c r="E3690" s="2">
        <v>5868</v>
      </c>
      <c r="F3690" s="2" t="s">
        <v>100</v>
      </c>
      <c r="H3690" s="2" t="s">
        <v>35</v>
      </c>
    </row>
    <row r="3691" spans="1:8" ht="13" hidden="1">
      <c r="A3691" s="15">
        <v>46038.900951770833</v>
      </c>
      <c r="B3691" s="16">
        <v>46033</v>
      </c>
      <c r="C3691" s="2" t="s">
        <v>247</v>
      </c>
      <c r="D3691" s="2" t="s">
        <v>53</v>
      </c>
      <c r="E3691" s="2">
        <v>10400</v>
      </c>
      <c r="F3691" s="2" t="s">
        <v>100</v>
      </c>
      <c r="H3691" s="2" t="s">
        <v>35</v>
      </c>
    </row>
    <row r="3692" spans="1:8" ht="13" hidden="1">
      <c r="A3692" s="15">
        <v>46038.901262812498</v>
      </c>
      <c r="B3692" s="16">
        <v>46033</v>
      </c>
      <c r="C3692" s="2" t="s">
        <v>1369</v>
      </c>
      <c r="D3692" s="2" t="s">
        <v>38</v>
      </c>
      <c r="E3692" s="2">
        <v>1375</v>
      </c>
      <c r="F3692" s="2" t="s">
        <v>100</v>
      </c>
      <c r="G3692" s="2" t="s">
        <v>129</v>
      </c>
      <c r="H3692" s="2" t="s">
        <v>35</v>
      </c>
    </row>
    <row r="3693" spans="1:8" ht="13" hidden="1">
      <c r="A3693" s="15">
        <v>46038.901543217595</v>
      </c>
      <c r="B3693" s="16">
        <v>46033</v>
      </c>
      <c r="C3693" s="2" t="s">
        <v>350</v>
      </c>
      <c r="D3693" s="2" t="s">
        <v>40</v>
      </c>
      <c r="E3693" s="2">
        <v>2000</v>
      </c>
      <c r="F3693" s="2" t="s">
        <v>100</v>
      </c>
      <c r="H3693" s="2" t="s">
        <v>35</v>
      </c>
    </row>
    <row r="3694" spans="1:8" ht="13" hidden="1">
      <c r="A3694" s="15">
        <v>46038.901837893514</v>
      </c>
      <c r="B3694" s="16">
        <v>46034</v>
      </c>
      <c r="C3694" s="2" t="s">
        <v>116</v>
      </c>
      <c r="D3694" s="2" t="s">
        <v>38</v>
      </c>
      <c r="E3694" s="2">
        <v>1886</v>
      </c>
      <c r="F3694" s="2" t="s">
        <v>100</v>
      </c>
      <c r="G3694" s="2" t="s">
        <v>652</v>
      </c>
      <c r="H3694" s="2" t="s">
        <v>35</v>
      </c>
    </row>
    <row r="3695" spans="1:8" ht="13" hidden="1">
      <c r="A3695" s="15">
        <v>46038.902123981483</v>
      </c>
      <c r="B3695" s="16">
        <v>46034</v>
      </c>
      <c r="C3695" s="2" t="s">
        <v>116</v>
      </c>
      <c r="D3695" s="2" t="s">
        <v>38</v>
      </c>
      <c r="E3695" s="2">
        <v>786</v>
      </c>
      <c r="F3695" s="2" t="s">
        <v>100</v>
      </c>
      <c r="G3695" s="2" t="s">
        <v>652</v>
      </c>
      <c r="H3695" s="2" t="s">
        <v>35</v>
      </c>
    </row>
    <row r="3696" spans="1:8" ht="13" hidden="1">
      <c r="A3696" s="15">
        <v>46038.90237181713</v>
      </c>
      <c r="B3696" s="16">
        <v>46036</v>
      </c>
      <c r="C3696" s="2" t="s">
        <v>662</v>
      </c>
      <c r="D3696" s="2" t="s">
        <v>48</v>
      </c>
      <c r="E3696" s="2">
        <v>3638</v>
      </c>
      <c r="F3696" s="2" t="s">
        <v>100</v>
      </c>
      <c r="H3696" s="2" t="s">
        <v>35</v>
      </c>
    </row>
    <row r="3697" spans="1:8" ht="13" hidden="1">
      <c r="A3697" s="15">
        <v>46047.849184166669</v>
      </c>
      <c r="B3697" s="16">
        <v>46036</v>
      </c>
      <c r="C3697" s="2" t="s">
        <v>1370</v>
      </c>
      <c r="D3697" s="2" t="s">
        <v>38</v>
      </c>
      <c r="E3697" s="2">
        <v>5651</v>
      </c>
      <c r="F3697" s="2" t="s">
        <v>100</v>
      </c>
      <c r="G3697" s="2" t="s">
        <v>614</v>
      </c>
      <c r="H3697" s="2" t="s">
        <v>35</v>
      </c>
    </row>
    <row r="3698" spans="1:8" ht="13" hidden="1">
      <c r="A3698" s="15">
        <v>46038.893277303243</v>
      </c>
      <c r="B3698" s="16">
        <v>46037</v>
      </c>
      <c r="C3698" s="2" t="s">
        <v>106</v>
      </c>
      <c r="D3698" s="2" t="s">
        <v>38</v>
      </c>
      <c r="E3698" s="2">
        <v>602</v>
      </c>
      <c r="F3698" s="2" t="s">
        <v>102</v>
      </c>
      <c r="G3698" s="2" t="s">
        <v>103</v>
      </c>
      <c r="H3698" s="2" t="s">
        <v>35</v>
      </c>
    </row>
    <row r="3699" spans="1:8" ht="13" hidden="1">
      <c r="A3699" s="15">
        <v>46038.89376126157</v>
      </c>
      <c r="B3699" s="16">
        <v>46037</v>
      </c>
      <c r="C3699" s="2" t="s">
        <v>1371</v>
      </c>
      <c r="D3699" s="2" t="s">
        <v>38</v>
      </c>
      <c r="E3699" s="2">
        <v>613</v>
      </c>
      <c r="F3699" s="2" t="s">
        <v>102</v>
      </c>
      <c r="G3699" s="2" t="s">
        <v>661</v>
      </c>
      <c r="H3699" s="2" t="s">
        <v>35</v>
      </c>
    </row>
    <row r="3700" spans="1:8" ht="13" hidden="1">
      <c r="A3700" s="15">
        <v>46047.849457187505</v>
      </c>
      <c r="B3700" s="16">
        <v>46037</v>
      </c>
      <c r="C3700" s="2" t="s">
        <v>218</v>
      </c>
      <c r="D3700" s="2" t="s">
        <v>53</v>
      </c>
      <c r="E3700" s="2">
        <v>1590</v>
      </c>
      <c r="F3700" s="2" t="s">
        <v>100</v>
      </c>
      <c r="H3700" s="2" t="s">
        <v>35</v>
      </c>
    </row>
    <row r="3701" spans="1:8" ht="13" hidden="1">
      <c r="A3701" s="15">
        <v>46047.849688993054</v>
      </c>
      <c r="B3701" s="16">
        <v>46037</v>
      </c>
      <c r="C3701" s="2" t="s">
        <v>240</v>
      </c>
      <c r="D3701" s="2" t="s">
        <v>42</v>
      </c>
      <c r="E3701" s="2">
        <v>990</v>
      </c>
      <c r="F3701" s="2" t="s">
        <v>100</v>
      </c>
      <c r="H3701" s="2" t="s">
        <v>35</v>
      </c>
    </row>
    <row r="3702" spans="1:8" ht="13" hidden="1">
      <c r="A3702" s="15">
        <v>46038.893951030092</v>
      </c>
      <c r="B3702" s="16">
        <v>46038</v>
      </c>
      <c r="C3702" s="2" t="s">
        <v>111</v>
      </c>
      <c r="D3702" s="2" t="s">
        <v>52</v>
      </c>
      <c r="E3702" s="2">
        <v>999</v>
      </c>
      <c r="F3702" s="2" t="s">
        <v>102</v>
      </c>
      <c r="H3702" s="2" t="s">
        <v>35</v>
      </c>
    </row>
    <row r="3703" spans="1:8" ht="13" hidden="1">
      <c r="A3703" s="15">
        <v>46047.850176840278</v>
      </c>
      <c r="B3703" s="16">
        <v>46038</v>
      </c>
      <c r="C3703" s="2" t="s">
        <v>533</v>
      </c>
      <c r="D3703" s="2" t="s">
        <v>46</v>
      </c>
      <c r="E3703" s="2">
        <v>1660</v>
      </c>
      <c r="F3703" s="2" t="s">
        <v>100</v>
      </c>
      <c r="G3703" s="2" t="s">
        <v>129</v>
      </c>
      <c r="H3703" s="2" t="s">
        <v>35</v>
      </c>
    </row>
    <row r="3704" spans="1:8" ht="13" hidden="1">
      <c r="A3704" s="15">
        <v>46046.613900312499</v>
      </c>
      <c r="B3704" s="16">
        <v>46039</v>
      </c>
      <c r="C3704" s="2" t="s">
        <v>280</v>
      </c>
      <c r="D3704" s="2" t="s">
        <v>46</v>
      </c>
      <c r="E3704" s="2">
        <v>2915</v>
      </c>
      <c r="F3704" s="2" t="s">
        <v>102</v>
      </c>
      <c r="G3704" s="2" t="s">
        <v>306</v>
      </c>
      <c r="H3704" s="2" t="s">
        <v>35</v>
      </c>
    </row>
    <row r="3705" spans="1:8" ht="13" hidden="1">
      <c r="A3705" s="15">
        <v>46046.614180694443</v>
      </c>
      <c r="B3705" s="16">
        <v>46039</v>
      </c>
      <c r="C3705" s="2" t="s">
        <v>114</v>
      </c>
      <c r="D3705" s="2" t="s">
        <v>38</v>
      </c>
      <c r="E3705" s="2">
        <v>421</v>
      </c>
      <c r="F3705" s="2" t="s">
        <v>102</v>
      </c>
      <c r="G3705" s="2" t="s">
        <v>1372</v>
      </c>
      <c r="H3705" s="2" t="s">
        <v>35</v>
      </c>
    </row>
    <row r="3706" spans="1:8" ht="13" hidden="1">
      <c r="A3706" s="15">
        <v>46046.614461770834</v>
      </c>
      <c r="B3706" s="16">
        <v>46039</v>
      </c>
      <c r="C3706" s="2" t="s">
        <v>116</v>
      </c>
      <c r="D3706" s="2" t="s">
        <v>38</v>
      </c>
      <c r="E3706" s="2">
        <v>1708</v>
      </c>
      <c r="F3706" s="2" t="s">
        <v>102</v>
      </c>
      <c r="G3706" s="2" t="s">
        <v>145</v>
      </c>
      <c r="H3706" s="2" t="s">
        <v>35</v>
      </c>
    </row>
    <row r="3707" spans="1:8" ht="13" hidden="1">
      <c r="A3707" s="15">
        <v>46047.850427442128</v>
      </c>
      <c r="B3707" s="16">
        <v>46039</v>
      </c>
      <c r="C3707" s="2" t="s">
        <v>22</v>
      </c>
      <c r="D3707" s="2" t="s">
        <v>53</v>
      </c>
      <c r="E3707" s="2">
        <v>2530</v>
      </c>
      <c r="F3707" s="2" t="s">
        <v>100</v>
      </c>
      <c r="H3707" s="2" t="s">
        <v>35</v>
      </c>
    </row>
    <row r="3708" spans="1:8" ht="13" hidden="1">
      <c r="A3708" s="15">
        <v>46047.85071885417</v>
      </c>
      <c r="B3708" s="16">
        <v>46039</v>
      </c>
      <c r="C3708" s="2" t="s">
        <v>695</v>
      </c>
      <c r="D3708" s="2" t="s">
        <v>45</v>
      </c>
      <c r="E3708" s="2">
        <v>790</v>
      </c>
      <c r="F3708" s="2" t="s">
        <v>100</v>
      </c>
      <c r="G3708" s="2" t="s">
        <v>696</v>
      </c>
      <c r="H3708" s="2" t="s">
        <v>35</v>
      </c>
    </row>
    <row r="3709" spans="1:8" ht="13" hidden="1">
      <c r="A3709" s="15">
        <v>46047.850952361114</v>
      </c>
      <c r="B3709" s="16">
        <v>46039</v>
      </c>
      <c r="C3709" s="2" t="s">
        <v>556</v>
      </c>
      <c r="D3709" s="2" t="s">
        <v>53</v>
      </c>
      <c r="E3709" s="2">
        <v>1400</v>
      </c>
      <c r="F3709" s="2" t="s">
        <v>100</v>
      </c>
      <c r="H3709" s="2" t="s">
        <v>35</v>
      </c>
    </row>
    <row r="3710" spans="1:8" ht="13" hidden="1">
      <c r="A3710" s="15">
        <v>46046.614801053242</v>
      </c>
      <c r="B3710" s="16">
        <v>46040</v>
      </c>
      <c r="C3710" s="2" t="s">
        <v>727</v>
      </c>
      <c r="D3710" s="2" t="s">
        <v>45</v>
      </c>
      <c r="E3710" s="2">
        <v>760</v>
      </c>
      <c r="F3710" s="2" t="s">
        <v>102</v>
      </c>
      <c r="G3710" s="2" t="s">
        <v>285</v>
      </c>
      <c r="H3710" s="2" t="s">
        <v>35</v>
      </c>
    </row>
    <row r="3711" spans="1:8" ht="13" hidden="1">
      <c r="A3711" s="15">
        <v>46047.851279872688</v>
      </c>
      <c r="B3711" s="16">
        <v>46040</v>
      </c>
      <c r="C3711" s="2" t="s">
        <v>116</v>
      </c>
      <c r="D3711" s="2" t="s">
        <v>38</v>
      </c>
      <c r="E3711" s="2">
        <v>1255</v>
      </c>
      <c r="F3711" s="2" t="s">
        <v>100</v>
      </c>
      <c r="G3711" s="2" t="s">
        <v>652</v>
      </c>
      <c r="H3711" s="2" t="s">
        <v>35</v>
      </c>
    </row>
    <row r="3712" spans="1:8" ht="13" hidden="1">
      <c r="A3712" s="15">
        <v>46046.615105046294</v>
      </c>
      <c r="B3712" s="16">
        <v>46041</v>
      </c>
      <c r="C3712" s="2" t="s">
        <v>106</v>
      </c>
      <c r="D3712" s="2" t="s">
        <v>52</v>
      </c>
      <c r="E3712" s="2">
        <v>1400</v>
      </c>
      <c r="F3712" s="2" t="s">
        <v>102</v>
      </c>
      <c r="G3712" s="2" t="s">
        <v>1373</v>
      </c>
      <c r="H3712" s="2" t="s">
        <v>35</v>
      </c>
    </row>
    <row r="3713" spans="1:8" ht="13" hidden="1">
      <c r="A3713" s="15">
        <v>46046.615448900462</v>
      </c>
      <c r="B3713" s="16">
        <v>46041</v>
      </c>
      <c r="C3713" s="2" t="s">
        <v>715</v>
      </c>
      <c r="D3713" s="2" t="s">
        <v>45</v>
      </c>
      <c r="E3713" s="2">
        <v>1371</v>
      </c>
      <c r="F3713" s="2" t="s">
        <v>102</v>
      </c>
      <c r="G3713" s="2" t="s">
        <v>285</v>
      </c>
      <c r="H3713" s="2" t="s">
        <v>35</v>
      </c>
    </row>
    <row r="3714" spans="1:8" ht="13" hidden="1">
      <c r="A3714" s="15">
        <v>46047.851489768524</v>
      </c>
      <c r="B3714" s="16">
        <v>46042</v>
      </c>
      <c r="C3714" s="2" t="s">
        <v>1374</v>
      </c>
      <c r="D3714" s="2" t="s">
        <v>48</v>
      </c>
      <c r="E3714" s="2">
        <v>3800</v>
      </c>
      <c r="F3714" s="2" t="s">
        <v>100</v>
      </c>
      <c r="H3714" s="2" t="s">
        <v>35</v>
      </c>
    </row>
    <row r="3715" spans="1:8" ht="13" hidden="1">
      <c r="A3715" s="15">
        <v>46047.852078032403</v>
      </c>
      <c r="B3715" s="16">
        <v>46042</v>
      </c>
      <c r="C3715" s="2" t="s">
        <v>24</v>
      </c>
      <c r="D3715" s="2" t="s">
        <v>49</v>
      </c>
      <c r="E3715" s="2">
        <v>1100</v>
      </c>
      <c r="F3715" s="2" t="s">
        <v>100</v>
      </c>
      <c r="H3715" s="2" t="s">
        <v>35</v>
      </c>
    </row>
    <row r="3716" spans="1:8" ht="13" hidden="1">
      <c r="A3716" s="15">
        <v>46047.852291250005</v>
      </c>
      <c r="B3716" s="16">
        <v>46042</v>
      </c>
      <c r="C3716" s="2" t="s">
        <v>142</v>
      </c>
      <c r="D3716" s="2" t="s">
        <v>45</v>
      </c>
      <c r="E3716" s="2">
        <v>8140</v>
      </c>
      <c r="F3716" s="2" t="s">
        <v>100</v>
      </c>
      <c r="H3716" s="2" t="s">
        <v>35</v>
      </c>
    </row>
    <row r="3717" spans="1:8" ht="13" hidden="1">
      <c r="A3717" s="15">
        <v>46046.61570328704</v>
      </c>
      <c r="B3717" s="16">
        <v>46043</v>
      </c>
      <c r="C3717" s="2" t="s">
        <v>106</v>
      </c>
      <c r="D3717" s="2" t="s">
        <v>52</v>
      </c>
      <c r="E3717" s="2">
        <v>890</v>
      </c>
      <c r="F3717" s="2" t="s">
        <v>102</v>
      </c>
      <c r="G3717" s="2" t="s">
        <v>199</v>
      </c>
      <c r="H3717" s="2" t="s">
        <v>35</v>
      </c>
    </row>
    <row r="3718" spans="1:8" ht="13" hidden="1">
      <c r="A3718" s="15">
        <v>46046.616048773147</v>
      </c>
      <c r="B3718" s="16">
        <v>46043</v>
      </c>
      <c r="C3718" s="2" t="s">
        <v>1369</v>
      </c>
      <c r="D3718" s="2" t="s">
        <v>38</v>
      </c>
      <c r="E3718" s="2">
        <v>850</v>
      </c>
      <c r="F3718" s="2" t="s">
        <v>102</v>
      </c>
      <c r="G3718" s="2" t="s">
        <v>285</v>
      </c>
      <c r="H3718" s="2" t="s">
        <v>35</v>
      </c>
    </row>
    <row r="3719" spans="1:8" ht="13" hidden="1">
      <c r="A3719" s="15">
        <v>46046.617160104171</v>
      </c>
      <c r="B3719" s="16">
        <v>46044</v>
      </c>
      <c r="C3719" s="2" t="s">
        <v>563</v>
      </c>
      <c r="D3719" s="2" t="s">
        <v>52</v>
      </c>
      <c r="E3719" s="2">
        <v>1100</v>
      </c>
      <c r="F3719" s="2" t="s">
        <v>102</v>
      </c>
      <c r="H3719" s="2" t="s">
        <v>35</v>
      </c>
    </row>
    <row r="3720" spans="1:8" ht="13" hidden="1">
      <c r="A3720" s="15">
        <v>46047.852515902778</v>
      </c>
      <c r="B3720" s="16">
        <v>46044</v>
      </c>
      <c r="C3720" s="2" t="s">
        <v>533</v>
      </c>
      <c r="D3720" s="2" t="s">
        <v>46</v>
      </c>
      <c r="E3720" s="2">
        <v>792</v>
      </c>
      <c r="F3720" s="2" t="s">
        <v>100</v>
      </c>
      <c r="G3720" s="2" t="s">
        <v>129</v>
      </c>
      <c r="H3720" s="2" t="s">
        <v>35</v>
      </c>
    </row>
    <row r="3721" spans="1:8" ht="13" hidden="1">
      <c r="A3721" s="15">
        <v>46054.730698703701</v>
      </c>
      <c r="B3721" s="16">
        <v>46044</v>
      </c>
      <c r="C3721" s="2" t="s">
        <v>240</v>
      </c>
      <c r="D3721" s="2" t="s">
        <v>42</v>
      </c>
      <c r="E3721" s="2">
        <v>990</v>
      </c>
      <c r="F3721" s="2" t="s">
        <v>100</v>
      </c>
      <c r="H3721" s="2" t="s">
        <v>35</v>
      </c>
    </row>
    <row r="3722" spans="1:8" ht="13" hidden="1">
      <c r="A3722" s="15">
        <v>46054.730973923608</v>
      </c>
      <c r="B3722" s="16">
        <v>46044</v>
      </c>
      <c r="C3722" s="2" t="s">
        <v>105</v>
      </c>
      <c r="D3722" s="2" t="s">
        <v>40</v>
      </c>
      <c r="E3722" s="2">
        <v>5900</v>
      </c>
      <c r="F3722" s="2" t="s">
        <v>100</v>
      </c>
      <c r="H3722" s="2" t="s">
        <v>35</v>
      </c>
    </row>
    <row r="3723" spans="1:8" ht="13" hidden="1">
      <c r="A3723" s="15">
        <v>46046.617413692133</v>
      </c>
      <c r="B3723" s="16">
        <v>46045</v>
      </c>
      <c r="C3723" s="2" t="s">
        <v>106</v>
      </c>
      <c r="D3723" s="2" t="s">
        <v>52</v>
      </c>
      <c r="E3723" s="2">
        <v>900</v>
      </c>
      <c r="F3723" s="2" t="s">
        <v>102</v>
      </c>
      <c r="G3723" s="2" t="s">
        <v>1095</v>
      </c>
      <c r="H3723" s="2" t="s">
        <v>35</v>
      </c>
    </row>
    <row r="3724" spans="1:8" ht="13" hidden="1">
      <c r="A3724" s="15">
        <v>46046.617746550924</v>
      </c>
      <c r="B3724" s="16">
        <v>46045</v>
      </c>
      <c r="C3724" s="2" t="s">
        <v>112</v>
      </c>
      <c r="D3724" s="2" t="s">
        <v>52</v>
      </c>
      <c r="E3724" s="2">
        <v>280</v>
      </c>
      <c r="F3724" s="2" t="s">
        <v>102</v>
      </c>
      <c r="G3724" s="2" t="s">
        <v>113</v>
      </c>
      <c r="H3724" s="2" t="s">
        <v>35</v>
      </c>
    </row>
    <row r="3725" spans="1:8" ht="13" hidden="1">
      <c r="A3725" s="15">
        <v>46046.618175682874</v>
      </c>
      <c r="B3725" s="16">
        <v>46045</v>
      </c>
      <c r="C3725" s="2" t="s">
        <v>1375</v>
      </c>
      <c r="D3725" s="2" t="s">
        <v>52</v>
      </c>
      <c r="E3725" s="2">
        <v>890</v>
      </c>
      <c r="F3725" s="2" t="s">
        <v>102</v>
      </c>
      <c r="G3725" s="2" t="s">
        <v>199</v>
      </c>
      <c r="H3725" s="2" t="s">
        <v>35</v>
      </c>
    </row>
    <row r="3726" spans="1:8" ht="13" hidden="1">
      <c r="A3726" s="15">
        <v>46046.618908344906</v>
      </c>
      <c r="B3726" s="16">
        <v>46045</v>
      </c>
      <c r="C3726" s="2" t="s">
        <v>1376</v>
      </c>
      <c r="E3726" s="2">
        <v>376635</v>
      </c>
      <c r="H3726" s="2" t="s">
        <v>34</v>
      </c>
    </row>
    <row r="3727" spans="1:8" ht="13" hidden="1">
      <c r="A3727" s="15">
        <v>46054.731314097226</v>
      </c>
      <c r="B3727" s="16">
        <v>46045</v>
      </c>
      <c r="C3727" s="2" t="s">
        <v>350</v>
      </c>
      <c r="D3727" s="2" t="s">
        <v>40</v>
      </c>
      <c r="E3727" s="2">
        <v>2000</v>
      </c>
      <c r="F3727" s="2" t="s">
        <v>100</v>
      </c>
      <c r="H3727" s="2" t="s">
        <v>35</v>
      </c>
    </row>
    <row r="3728" spans="1:8" ht="13" hidden="1">
      <c r="A3728" s="15">
        <v>46046.618478506949</v>
      </c>
      <c r="B3728" s="16">
        <v>46046</v>
      </c>
      <c r="C3728" s="2" t="s">
        <v>845</v>
      </c>
      <c r="D3728" s="2" t="s">
        <v>38</v>
      </c>
      <c r="E3728" s="2">
        <v>500</v>
      </c>
      <c r="F3728" s="2" t="s">
        <v>102</v>
      </c>
      <c r="H3728" s="2" t="s">
        <v>35</v>
      </c>
    </row>
    <row r="3729" spans="1:8" ht="13" hidden="1">
      <c r="A3729" s="15">
        <v>46053.855523333332</v>
      </c>
      <c r="B3729" s="16">
        <v>46046</v>
      </c>
      <c r="C3729" s="2" t="s">
        <v>1377</v>
      </c>
      <c r="D3729" s="2" t="s">
        <v>39</v>
      </c>
      <c r="E3729" s="2">
        <v>7500</v>
      </c>
      <c r="F3729" s="2" t="s">
        <v>102</v>
      </c>
      <c r="H3729" s="2" t="s">
        <v>35</v>
      </c>
    </row>
    <row r="3730" spans="1:8" ht="13" hidden="1">
      <c r="A3730" s="15">
        <v>46053.855825856481</v>
      </c>
      <c r="B3730" s="16">
        <v>46046</v>
      </c>
      <c r="C3730" s="2" t="s">
        <v>1378</v>
      </c>
      <c r="D3730" s="2" t="s">
        <v>52</v>
      </c>
      <c r="E3730" s="2">
        <v>380</v>
      </c>
      <c r="F3730" s="2" t="s">
        <v>102</v>
      </c>
      <c r="G3730" s="2" t="s">
        <v>593</v>
      </c>
      <c r="H3730" s="2" t="s">
        <v>35</v>
      </c>
    </row>
    <row r="3731" spans="1:8" ht="13" hidden="1">
      <c r="A3731" s="15">
        <v>46054.731699675925</v>
      </c>
      <c r="B3731" s="16">
        <v>46046</v>
      </c>
      <c r="C3731" s="2" t="s">
        <v>240</v>
      </c>
      <c r="D3731" s="2" t="s">
        <v>42</v>
      </c>
      <c r="E3731" s="2">
        <v>330</v>
      </c>
      <c r="F3731" s="2" t="s">
        <v>100</v>
      </c>
      <c r="H3731" s="2" t="s">
        <v>35</v>
      </c>
    </row>
    <row r="3732" spans="1:8" ht="13" hidden="1">
      <c r="A3732" s="15">
        <v>46054.732002372686</v>
      </c>
      <c r="B3732" s="16">
        <v>46046</v>
      </c>
      <c r="C3732" s="2" t="s">
        <v>308</v>
      </c>
      <c r="D3732" s="2" t="s">
        <v>40</v>
      </c>
      <c r="E3732" s="2">
        <v>13690</v>
      </c>
      <c r="F3732" s="2" t="s">
        <v>100</v>
      </c>
      <c r="H3732" s="2" t="s">
        <v>35</v>
      </c>
    </row>
    <row r="3733" spans="1:8" ht="13" hidden="1">
      <c r="A3733" s="15">
        <v>46053.856153252316</v>
      </c>
      <c r="B3733" s="16">
        <v>46047</v>
      </c>
      <c r="C3733" s="2" t="s">
        <v>163</v>
      </c>
      <c r="D3733" s="2" t="s">
        <v>38</v>
      </c>
      <c r="E3733" s="2">
        <v>1880</v>
      </c>
      <c r="F3733" s="2" t="s">
        <v>102</v>
      </c>
      <c r="G3733" s="2" t="s">
        <v>1379</v>
      </c>
      <c r="H3733" s="2" t="s">
        <v>35</v>
      </c>
    </row>
    <row r="3734" spans="1:8" ht="13" hidden="1">
      <c r="A3734" s="15">
        <v>46053.856470439816</v>
      </c>
      <c r="B3734" s="16">
        <v>46047</v>
      </c>
      <c r="C3734" s="2" t="s">
        <v>114</v>
      </c>
      <c r="D3734" s="2" t="s">
        <v>38</v>
      </c>
      <c r="E3734" s="2">
        <v>420</v>
      </c>
      <c r="F3734" s="2" t="s">
        <v>102</v>
      </c>
      <c r="G3734" s="2" t="s">
        <v>401</v>
      </c>
      <c r="H3734" s="2" t="s">
        <v>35</v>
      </c>
    </row>
    <row r="3735" spans="1:8" ht="13" hidden="1">
      <c r="A3735" s="15">
        <v>46054.732486493056</v>
      </c>
      <c r="B3735" s="16">
        <v>46047</v>
      </c>
      <c r="C3735" s="2" t="s">
        <v>116</v>
      </c>
      <c r="D3735" s="2" t="s">
        <v>38</v>
      </c>
      <c r="E3735" s="2">
        <v>2288</v>
      </c>
      <c r="F3735" s="2" t="s">
        <v>102</v>
      </c>
      <c r="G3735" s="2" t="s">
        <v>652</v>
      </c>
      <c r="H3735" s="2" t="s">
        <v>35</v>
      </c>
    </row>
    <row r="3736" spans="1:8" ht="13" hidden="1">
      <c r="A3736" s="15">
        <v>46046.619276863421</v>
      </c>
      <c r="B3736" s="16">
        <v>46048</v>
      </c>
      <c r="C3736" s="2" t="s">
        <v>11</v>
      </c>
      <c r="D3736" s="2" t="s">
        <v>47</v>
      </c>
      <c r="E3736" s="2">
        <v>40000</v>
      </c>
      <c r="F3736" s="2" t="s">
        <v>102</v>
      </c>
      <c r="H3736" s="2" t="s">
        <v>35</v>
      </c>
    </row>
    <row r="3737" spans="1:8" ht="13" hidden="1">
      <c r="A3737" s="15">
        <v>46051.577026608793</v>
      </c>
      <c r="B3737" s="16">
        <v>46048</v>
      </c>
      <c r="C3737" s="2" t="s">
        <v>106</v>
      </c>
      <c r="D3737" s="2" t="s">
        <v>52</v>
      </c>
      <c r="E3737" s="2">
        <v>1200</v>
      </c>
      <c r="F3737" s="2" t="s">
        <v>102</v>
      </c>
      <c r="G3737" s="2" t="s">
        <v>952</v>
      </c>
      <c r="H3737" s="2" t="s">
        <v>35</v>
      </c>
    </row>
    <row r="3738" spans="1:8" ht="13" hidden="1">
      <c r="A3738" s="15">
        <v>46046.620321851849</v>
      </c>
      <c r="B3738" s="16">
        <v>46049</v>
      </c>
      <c r="C3738" s="2" t="s">
        <v>9</v>
      </c>
      <c r="D3738" s="2" t="s">
        <v>47</v>
      </c>
      <c r="E3738" s="2">
        <v>13600</v>
      </c>
      <c r="F3738" s="2" t="s">
        <v>102</v>
      </c>
      <c r="H3738" s="2" t="s">
        <v>35</v>
      </c>
    </row>
    <row r="3739" spans="1:8" ht="13" hidden="1">
      <c r="A3739" s="15">
        <v>46046.620844108795</v>
      </c>
      <c r="B3739" s="16">
        <v>46049</v>
      </c>
      <c r="C3739" s="2" t="s">
        <v>908</v>
      </c>
      <c r="D3739" s="2" t="s">
        <v>5</v>
      </c>
      <c r="E3739" s="2">
        <v>93000</v>
      </c>
      <c r="F3739" s="2" t="s">
        <v>102</v>
      </c>
      <c r="H3739" s="2" t="s">
        <v>35</v>
      </c>
    </row>
    <row r="3740" spans="1:8" ht="13" hidden="1">
      <c r="A3740" s="15">
        <v>46046.621361550926</v>
      </c>
      <c r="B3740" s="16">
        <v>46049</v>
      </c>
      <c r="C3740" s="2" t="s">
        <v>133</v>
      </c>
      <c r="D3740" s="2" t="s">
        <v>47</v>
      </c>
      <c r="E3740" s="2">
        <v>28000</v>
      </c>
      <c r="F3740" s="2" t="s">
        <v>102</v>
      </c>
      <c r="H3740" s="2" t="s">
        <v>35</v>
      </c>
    </row>
    <row r="3741" spans="1:8" ht="13" hidden="1">
      <c r="A3741" s="15">
        <v>46046.62162017361</v>
      </c>
      <c r="B3741" s="16">
        <v>46049</v>
      </c>
      <c r="C3741" s="2" t="s">
        <v>408</v>
      </c>
      <c r="D3741" s="2" t="s">
        <v>152</v>
      </c>
      <c r="E3741" s="2">
        <v>15000</v>
      </c>
      <c r="F3741" s="2" t="s">
        <v>102</v>
      </c>
      <c r="H3741" s="2" t="s">
        <v>35</v>
      </c>
    </row>
    <row r="3742" spans="1:8" ht="13" hidden="1">
      <c r="A3742" s="15">
        <v>46054.732792222218</v>
      </c>
      <c r="B3742" s="16">
        <v>46049</v>
      </c>
      <c r="C3742" s="2" t="s">
        <v>555</v>
      </c>
      <c r="D3742" s="2" t="s">
        <v>53</v>
      </c>
      <c r="E3742" s="2">
        <v>1180</v>
      </c>
      <c r="F3742" s="2" t="s">
        <v>100</v>
      </c>
      <c r="H3742" s="2" t="s">
        <v>35</v>
      </c>
    </row>
    <row r="3743" spans="1:8" ht="13" hidden="1">
      <c r="A3743" s="15">
        <v>46054.733097615739</v>
      </c>
      <c r="B3743" s="16">
        <v>46049</v>
      </c>
      <c r="C3743" s="2" t="s">
        <v>240</v>
      </c>
      <c r="D3743" s="2" t="s">
        <v>42</v>
      </c>
      <c r="E3743" s="2">
        <v>990</v>
      </c>
      <c r="F3743" s="2" t="s">
        <v>100</v>
      </c>
      <c r="H3743" s="2" t="s">
        <v>35</v>
      </c>
    </row>
    <row r="3744" spans="1:8" ht="13" hidden="1">
      <c r="A3744" s="15">
        <v>46054.73337869213</v>
      </c>
      <c r="B3744" s="16">
        <v>46049</v>
      </c>
      <c r="C3744" s="2" t="s">
        <v>112</v>
      </c>
      <c r="D3744" s="2" t="s">
        <v>52</v>
      </c>
      <c r="E3744" s="2">
        <v>740</v>
      </c>
      <c r="F3744" s="2" t="s">
        <v>100</v>
      </c>
      <c r="G3744" s="2" t="s">
        <v>349</v>
      </c>
      <c r="H3744" s="2" t="s">
        <v>35</v>
      </c>
    </row>
    <row r="3745" spans="1:8" ht="13" hidden="1">
      <c r="A3745" s="15">
        <v>46053.860884374997</v>
      </c>
      <c r="B3745" s="16">
        <v>46049</v>
      </c>
      <c r="C3745" s="2" t="s">
        <v>1380</v>
      </c>
      <c r="E3745" s="2">
        <v>55000</v>
      </c>
      <c r="H3745" s="2" t="s">
        <v>34</v>
      </c>
    </row>
    <row r="3746" spans="1:8" ht="13" hidden="1">
      <c r="A3746" s="15">
        <v>46051.577597685187</v>
      </c>
      <c r="B3746" s="16">
        <v>46050</v>
      </c>
      <c r="C3746" s="2" t="s">
        <v>1381</v>
      </c>
      <c r="D3746" s="2" t="s">
        <v>52</v>
      </c>
      <c r="E3746" s="2">
        <v>1150</v>
      </c>
      <c r="F3746" s="2" t="s">
        <v>102</v>
      </c>
      <c r="G3746" s="2" t="s">
        <v>1382</v>
      </c>
      <c r="H3746" s="2" t="s">
        <v>35</v>
      </c>
    </row>
    <row r="3747" spans="1:8" ht="13" hidden="1">
      <c r="A3747" s="15">
        <v>46053.857167974536</v>
      </c>
      <c r="B3747" s="16">
        <v>46050</v>
      </c>
      <c r="C3747" s="2" t="s">
        <v>1383</v>
      </c>
      <c r="D3747" s="2" t="s">
        <v>39</v>
      </c>
      <c r="E3747" s="2">
        <v>1350</v>
      </c>
      <c r="F3747" s="2" t="s">
        <v>102</v>
      </c>
      <c r="H3747" s="2" t="s">
        <v>35</v>
      </c>
    </row>
    <row r="3748" spans="1:8" ht="13" hidden="1">
      <c r="A3748" s="15">
        <v>46060.694335509259</v>
      </c>
      <c r="B3748" s="16">
        <v>46050</v>
      </c>
      <c r="C3748" s="2" t="s">
        <v>158</v>
      </c>
      <c r="D3748" s="2" t="s">
        <v>49</v>
      </c>
      <c r="E3748" s="2">
        <v>4980</v>
      </c>
      <c r="F3748" s="2" t="s">
        <v>100</v>
      </c>
      <c r="H3748" s="2" t="s">
        <v>35</v>
      </c>
    </row>
    <row r="3749" spans="1:8" ht="13" hidden="1">
      <c r="A3749" s="15">
        <v>46051.577819733793</v>
      </c>
      <c r="B3749" s="16">
        <v>46051</v>
      </c>
      <c r="C3749" s="2" t="s">
        <v>106</v>
      </c>
      <c r="D3749" s="2" t="s">
        <v>52</v>
      </c>
      <c r="E3749" s="2">
        <v>1800</v>
      </c>
      <c r="F3749" s="2" t="s">
        <v>102</v>
      </c>
      <c r="G3749" s="2" t="s">
        <v>1384</v>
      </c>
      <c r="H3749" s="2" t="s">
        <v>35</v>
      </c>
    </row>
    <row r="3750" spans="1:8" ht="13" hidden="1">
      <c r="A3750" s="15">
        <v>46053.857471608797</v>
      </c>
      <c r="B3750" s="16">
        <v>46052</v>
      </c>
      <c r="C3750" s="2" t="s">
        <v>1385</v>
      </c>
      <c r="D3750" s="2" t="s">
        <v>38</v>
      </c>
      <c r="E3750" s="2">
        <v>172</v>
      </c>
      <c r="F3750" s="2" t="s">
        <v>102</v>
      </c>
      <c r="G3750" s="2" t="s">
        <v>103</v>
      </c>
      <c r="H3750" s="2" t="s">
        <v>35</v>
      </c>
    </row>
    <row r="3751" spans="1:8" ht="13" hidden="1">
      <c r="A3751" s="15">
        <v>46060.694590763887</v>
      </c>
      <c r="B3751" s="16">
        <v>46052</v>
      </c>
      <c r="C3751" s="2" t="s">
        <v>350</v>
      </c>
      <c r="D3751" s="2" t="s">
        <v>40</v>
      </c>
      <c r="E3751" s="2">
        <v>2000</v>
      </c>
      <c r="F3751" s="2" t="s">
        <v>100</v>
      </c>
      <c r="H3751" s="2" t="s">
        <v>35</v>
      </c>
    </row>
    <row r="3752" spans="1:8" ht="13" hidden="1">
      <c r="A3752" s="15">
        <v>46053.857916331021</v>
      </c>
      <c r="B3752" s="16">
        <v>46053</v>
      </c>
      <c r="C3752" s="2" t="s">
        <v>1386</v>
      </c>
      <c r="D3752" s="2" t="s">
        <v>39</v>
      </c>
      <c r="E3752" s="2">
        <v>5450</v>
      </c>
      <c r="F3752" s="2" t="s">
        <v>102</v>
      </c>
      <c r="H3752" s="2" t="s">
        <v>35</v>
      </c>
    </row>
    <row r="3753" spans="1:8" ht="13" hidden="1">
      <c r="A3753" s="15">
        <v>46053.858251435187</v>
      </c>
      <c r="B3753" s="16">
        <v>46053</v>
      </c>
      <c r="C3753" s="2" t="s">
        <v>139</v>
      </c>
      <c r="D3753" s="2" t="s">
        <v>38</v>
      </c>
      <c r="E3753" s="2">
        <v>130</v>
      </c>
      <c r="F3753" s="2" t="s">
        <v>102</v>
      </c>
      <c r="G3753" s="2" t="s">
        <v>107</v>
      </c>
      <c r="H3753" s="2" t="s">
        <v>35</v>
      </c>
    </row>
    <row r="3754" spans="1:8" ht="13" hidden="1">
      <c r="A3754" s="15">
        <v>46053.858535370367</v>
      </c>
      <c r="B3754" s="16">
        <v>46053</v>
      </c>
      <c r="C3754" s="2" t="s">
        <v>204</v>
      </c>
      <c r="D3754" s="2" t="s">
        <v>45</v>
      </c>
      <c r="E3754" s="2">
        <v>3700</v>
      </c>
      <c r="F3754" s="2" t="s">
        <v>102</v>
      </c>
      <c r="G3754" s="2" t="s">
        <v>692</v>
      </c>
      <c r="H3754" s="2" t="s">
        <v>35</v>
      </c>
    </row>
    <row r="3755" spans="1:8" ht="13" hidden="1">
      <c r="A3755" s="15">
        <v>46053.859029282408</v>
      </c>
      <c r="B3755" s="16">
        <v>46053</v>
      </c>
      <c r="C3755" s="2" t="s">
        <v>1387</v>
      </c>
      <c r="D3755" s="2" t="s">
        <v>52</v>
      </c>
      <c r="E3755" s="2">
        <v>1485</v>
      </c>
      <c r="F3755" s="2" t="s">
        <v>102</v>
      </c>
      <c r="G3755" s="2" t="s">
        <v>1388</v>
      </c>
      <c r="H3755" s="2" t="s">
        <v>35</v>
      </c>
    </row>
    <row r="3756" spans="1:8" ht="13" hidden="1">
      <c r="A3756" s="15">
        <v>46053.859262083337</v>
      </c>
      <c r="B3756" s="16">
        <v>46053</v>
      </c>
      <c r="C3756" s="2" t="s">
        <v>518</v>
      </c>
      <c r="D3756" s="2" t="s">
        <v>38</v>
      </c>
      <c r="E3756" s="2">
        <v>75</v>
      </c>
      <c r="F3756" s="2" t="s">
        <v>102</v>
      </c>
      <c r="G3756" s="2" t="s">
        <v>356</v>
      </c>
      <c r="H3756" s="2" t="s">
        <v>35</v>
      </c>
    </row>
    <row r="3757" spans="1:8" ht="13" hidden="1">
      <c r="A3757" s="15">
        <v>46060.694856666669</v>
      </c>
      <c r="B3757" s="16">
        <v>46053</v>
      </c>
      <c r="C3757" s="2" t="s">
        <v>1389</v>
      </c>
      <c r="D3757" s="2" t="s">
        <v>39</v>
      </c>
      <c r="E3757" s="2">
        <v>25000</v>
      </c>
      <c r="F3757" s="2" t="s">
        <v>100</v>
      </c>
      <c r="H3757" s="2" t="s">
        <v>35</v>
      </c>
    </row>
    <row r="3758" spans="1:8" ht="13" hidden="1">
      <c r="A3758" s="15">
        <v>46060.695367581022</v>
      </c>
      <c r="B3758" s="16">
        <v>46053</v>
      </c>
      <c r="C3758" s="2" t="s">
        <v>105</v>
      </c>
      <c r="D3758" s="2" t="s">
        <v>40</v>
      </c>
      <c r="E3758" s="2">
        <v>6050</v>
      </c>
      <c r="F3758" s="2" t="s">
        <v>100</v>
      </c>
      <c r="H3758" s="2" t="s">
        <v>35</v>
      </c>
    </row>
    <row r="3759" spans="1:8" ht="13" hidden="1">
      <c r="A3759" s="15">
        <v>46053.858752511573</v>
      </c>
      <c r="B3759" s="16">
        <v>46053</v>
      </c>
      <c r="C3759" s="2" t="s">
        <v>1390</v>
      </c>
      <c r="E3759" s="2">
        <v>4100</v>
      </c>
      <c r="H3759" s="2" t="s">
        <v>34</v>
      </c>
    </row>
    <row r="3760" spans="1:8" ht="13" hidden="1">
      <c r="A3760" s="15">
        <v>46053.859438402782</v>
      </c>
      <c r="B3760" s="16">
        <v>46053</v>
      </c>
      <c r="C3760" s="2" t="s">
        <v>1391</v>
      </c>
      <c r="E3760" s="2">
        <v>10000</v>
      </c>
      <c r="H3760" s="2" t="s">
        <v>34</v>
      </c>
    </row>
    <row r="3761" spans="1:8" ht="13" hidden="1">
      <c r="A3761" s="15">
        <v>46054.729721261574</v>
      </c>
      <c r="B3761" s="16">
        <v>46054</v>
      </c>
      <c r="C3761" s="2" t="s">
        <v>228</v>
      </c>
      <c r="D3761" s="2" t="s">
        <v>52</v>
      </c>
      <c r="E3761" s="2">
        <v>630</v>
      </c>
      <c r="F3761" s="2" t="s">
        <v>102</v>
      </c>
      <c r="G3761" s="2" t="s">
        <v>1392</v>
      </c>
      <c r="H3761" s="2" t="s">
        <v>35</v>
      </c>
    </row>
    <row r="3762" spans="1:8" ht="13" hidden="1">
      <c r="A3762" s="15">
        <v>46054.730006759259</v>
      </c>
      <c r="B3762" s="16">
        <v>46054</v>
      </c>
      <c r="C3762" s="2" t="s">
        <v>112</v>
      </c>
      <c r="D3762" s="2" t="s">
        <v>52</v>
      </c>
      <c r="E3762" s="2">
        <v>650</v>
      </c>
      <c r="F3762" s="2" t="s">
        <v>102</v>
      </c>
      <c r="G3762" s="2" t="s">
        <v>186</v>
      </c>
      <c r="H3762" s="2" t="s">
        <v>35</v>
      </c>
    </row>
    <row r="3763" spans="1:8" ht="13" hidden="1">
      <c r="A3763" s="15">
        <v>46060.695608275462</v>
      </c>
      <c r="B3763" s="16">
        <v>46054</v>
      </c>
      <c r="C3763" s="2" t="s">
        <v>10</v>
      </c>
      <c r="D3763" s="2" t="s">
        <v>45</v>
      </c>
      <c r="E3763" s="2">
        <v>360</v>
      </c>
      <c r="F3763" s="2" t="s">
        <v>100</v>
      </c>
      <c r="H3763" s="2" t="s">
        <v>35</v>
      </c>
    </row>
    <row r="3764" spans="1:8" ht="13" hidden="1">
      <c r="A3764" s="15">
        <v>46060.695820046298</v>
      </c>
      <c r="B3764" s="16">
        <v>46054</v>
      </c>
      <c r="C3764" s="2" t="s">
        <v>556</v>
      </c>
      <c r="D3764" s="2" t="s">
        <v>53</v>
      </c>
      <c r="E3764" s="2">
        <v>850</v>
      </c>
      <c r="F3764" s="2" t="s">
        <v>100</v>
      </c>
      <c r="H3764" s="2" t="s">
        <v>35</v>
      </c>
    </row>
    <row r="3765" spans="1:8" ht="13" hidden="1">
      <c r="A3765" s="15">
        <v>46060.696141180553</v>
      </c>
      <c r="B3765" s="16">
        <v>46054</v>
      </c>
      <c r="C3765" s="2" t="s">
        <v>248</v>
      </c>
      <c r="D3765" s="2" t="s">
        <v>49</v>
      </c>
      <c r="E3765" s="2">
        <v>700</v>
      </c>
      <c r="F3765" s="2" t="s">
        <v>100</v>
      </c>
      <c r="G3765" s="2" t="s">
        <v>179</v>
      </c>
      <c r="H3765" s="2" t="s">
        <v>35</v>
      </c>
    </row>
    <row r="3766" spans="1:8" ht="13" hidden="1">
      <c r="A3766" s="15">
        <v>46060.696486273147</v>
      </c>
      <c r="B3766" s="16">
        <v>46054</v>
      </c>
      <c r="C3766" s="2" t="s">
        <v>116</v>
      </c>
      <c r="D3766" s="2" t="s">
        <v>38</v>
      </c>
      <c r="E3766" s="2">
        <v>2643</v>
      </c>
      <c r="F3766" s="2" t="s">
        <v>100</v>
      </c>
      <c r="G3766" s="2" t="s">
        <v>652</v>
      </c>
      <c r="H3766" s="2" t="s">
        <v>35</v>
      </c>
    </row>
    <row r="3767" spans="1:8" ht="13" hidden="1">
      <c r="A3767" s="15">
        <v>46054.729449282408</v>
      </c>
      <c r="B3767" s="16">
        <v>46054</v>
      </c>
      <c r="C3767" s="2" t="s">
        <v>1393</v>
      </c>
      <c r="E3767" s="2">
        <v>6500</v>
      </c>
      <c r="H3767" s="2" t="s">
        <v>34</v>
      </c>
    </row>
    <row r="3768" spans="1:8" ht="13" hidden="1">
      <c r="A3768" s="15">
        <v>46059.894560682871</v>
      </c>
      <c r="B3768" s="16">
        <v>46055</v>
      </c>
      <c r="C3768" s="2" t="s">
        <v>106</v>
      </c>
      <c r="D3768" s="2" t="s">
        <v>52</v>
      </c>
      <c r="E3768" s="2">
        <v>1180</v>
      </c>
      <c r="F3768" s="2" t="s">
        <v>102</v>
      </c>
      <c r="H3768" s="2" t="s">
        <v>35</v>
      </c>
    </row>
    <row r="3769" spans="1:8" ht="13" hidden="1">
      <c r="A3769" s="15">
        <v>46059.894946956018</v>
      </c>
      <c r="B3769" s="16">
        <v>46055</v>
      </c>
      <c r="C3769" s="2" t="s">
        <v>1394</v>
      </c>
      <c r="D3769" s="2" t="s">
        <v>45</v>
      </c>
      <c r="E3769" s="2">
        <v>2437</v>
      </c>
      <c r="F3769" s="2" t="s">
        <v>102</v>
      </c>
      <c r="G3769" s="2" t="s">
        <v>285</v>
      </c>
      <c r="H3769" s="2" t="s">
        <v>35</v>
      </c>
    </row>
    <row r="3770" spans="1:8" ht="13" hidden="1">
      <c r="A3770" s="15">
        <v>46060.696731249998</v>
      </c>
      <c r="B3770" s="16">
        <v>46055</v>
      </c>
      <c r="C3770" s="2" t="s">
        <v>181</v>
      </c>
      <c r="D3770" s="2" t="s">
        <v>40</v>
      </c>
      <c r="E3770" s="2">
        <v>98</v>
      </c>
      <c r="F3770" s="2" t="s">
        <v>100</v>
      </c>
      <c r="H3770" s="2" t="s">
        <v>35</v>
      </c>
    </row>
    <row r="3771" spans="1:8" ht="13" hidden="1">
      <c r="A3771" s="15">
        <v>46060.696960173613</v>
      </c>
      <c r="B3771" s="16">
        <v>46055</v>
      </c>
      <c r="C3771" s="2" t="s">
        <v>1395</v>
      </c>
      <c r="D3771" s="2" t="s">
        <v>41</v>
      </c>
      <c r="E3771" s="2">
        <v>7638</v>
      </c>
      <c r="F3771" s="2" t="s">
        <v>100</v>
      </c>
      <c r="H3771" s="2" t="s">
        <v>35</v>
      </c>
    </row>
    <row r="3772" spans="1:8" ht="13" hidden="1">
      <c r="A3772" s="15">
        <v>46059.895829212968</v>
      </c>
      <c r="B3772" s="16">
        <v>46056</v>
      </c>
      <c r="C3772" s="2" t="s">
        <v>719</v>
      </c>
      <c r="D3772" s="2" t="s">
        <v>45</v>
      </c>
      <c r="E3772" s="2">
        <v>568</v>
      </c>
      <c r="F3772" s="2" t="s">
        <v>102</v>
      </c>
      <c r="G3772" s="2" t="s">
        <v>285</v>
      </c>
      <c r="H3772" s="2" t="s">
        <v>35</v>
      </c>
    </row>
    <row r="3773" spans="1:8" ht="13" hidden="1">
      <c r="A3773" s="15">
        <v>46059.896091377319</v>
      </c>
      <c r="B3773" s="16">
        <v>46056</v>
      </c>
      <c r="C3773" s="2" t="s">
        <v>913</v>
      </c>
      <c r="D3773" s="2" t="s">
        <v>38</v>
      </c>
      <c r="E3773" s="2">
        <v>598</v>
      </c>
      <c r="F3773" s="2" t="s">
        <v>102</v>
      </c>
      <c r="G3773" s="2" t="s">
        <v>356</v>
      </c>
      <c r="H3773" s="2" t="s">
        <v>35</v>
      </c>
    </row>
    <row r="3774" spans="1:8" ht="13" hidden="1">
      <c r="A3774" s="15">
        <v>46059.896389224537</v>
      </c>
      <c r="B3774" s="16">
        <v>46057</v>
      </c>
      <c r="C3774" s="2" t="s">
        <v>114</v>
      </c>
      <c r="D3774" s="2" t="s">
        <v>38</v>
      </c>
      <c r="E3774" s="2">
        <v>168</v>
      </c>
      <c r="F3774" s="2" t="s">
        <v>102</v>
      </c>
      <c r="G3774" s="2" t="s">
        <v>356</v>
      </c>
      <c r="H3774" s="2" t="s">
        <v>35</v>
      </c>
    </row>
    <row r="3775" spans="1:8" ht="13" hidden="1">
      <c r="A3775" s="15">
        <v>46059.896683969906</v>
      </c>
      <c r="B3775" s="16">
        <v>46057</v>
      </c>
      <c r="C3775" s="2" t="s">
        <v>106</v>
      </c>
      <c r="D3775" s="2" t="s">
        <v>52</v>
      </c>
      <c r="E3775" s="2">
        <v>950</v>
      </c>
      <c r="F3775" s="2" t="s">
        <v>102</v>
      </c>
      <c r="H3775" s="2" t="s">
        <v>35</v>
      </c>
    </row>
    <row r="3776" spans="1:8" ht="13" hidden="1">
      <c r="A3776" s="15">
        <v>46059.896931828705</v>
      </c>
      <c r="B3776" s="16">
        <v>46057</v>
      </c>
      <c r="C3776" s="2" t="s">
        <v>112</v>
      </c>
      <c r="D3776" s="2" t="s">
        <v>38</v>
      </c>
      <c r="E3776" s="2">
        <v>140</v>
      </c>
      <c r="F3776" s="2" t="s">
        <v>102</v>
      </c>
      <c r="G3776" s="2" t="s">
        <v>103</v>
      </c>
      <c r="H3776" s="2" t="s">
        <v>35</v>
      </c>
    </row>
    <row r="3777" spans="1:8" ht="13" hidden="1">
      <c r="A3777" s="15">
        <v>46059.89736751157</v>
      </c>
      <c r="B3777" s="16">
        <v>46057</v>
      </c>
      <c r="C3777" s="2" t="s">
        <v>1396</v>
      </c>
      <c r="D3777" s="2" t="s">
        <v>39</v>
      </c>
      <c r="E3777" s="2">
        <v>15658</v>
      </c>
      <c r="F3777" s="2" t="s">
        <v>102</v>
      </c>
      <c r="H3777" s="2" t="s">
        <v>35</v>
      </c>
    </row>
    <row r="3778" spans="1:8" ht="13" hidden="1">
      <c r="A3778" s="15">
        <v>46068.532924976855</v>
      </c>
      <c r="B3778" s="16">
        <v>46057</v>
      </c>
      <c r="C3778" s="2" t="s">
        <v>240</v>
      </c>
      <c r="D3778" s="2" t="s">
        <v>42</v>
      </c>
      <c r="E3778" s="2">
        <v>990</v>
      </c>
      <c r="F3778" s="2" t="s">
        <v>100</v>
      </c>
      <c r="H3778" s="2" t="s">
        <v>35</v>
      </c>
    </row>
    <row r="3779" spans="1:8" ht="13" hidden="1">
      <c r="A3779" s="15">
        <v>46059.897641597221</v>
      </c>
      <c r="B3779" s="16">
        <v>46057</v>
      </c>
      <c r="C3779" s="2" t="s">
        <v>1397</v>
      </c>
      <c r="E3779" s="2">
        <v>7000</v>
      </c>
      <c r="H3779" s="2" t="s">
        <v>34</v>
      </c>
    </row>
    <row r="3780" spans="1:8" ht="13" hidden="1">
      <c r="A3780" s="15">
        <v>46059.897968402773</v>
      </c>
      <c r="B3780" s="16">
        <v>46058</v>
      </c>
      <c r="C3780" s="2" t="s">
        <v>106</v>
      </c>
      <c r="D3780" s="2" t="s">
        <v>52</v>
      </c>
      <c r="E3780" s="2">
        <v>1050</v>
      </c>
      <c r="F3780" s="2" t="s">
        <v>102</v>
      </c>
      <c r="G3780" s="2" t="s">
        <v>931</v>
      </c>
      <c r="H3780" s="2" t="s">
        <v>35</v>
      </c>
    </row>
    <row r="3781" spans="1:8" ht="13" hidden="1">
      <c r="A3781" s="15">
        <v>46059.898329918986</v>
      </c>
      <c r="B3781" s="16">
        <v>46058</v>
      </c>
      <c r="C3781" s="2" t="s">
        <v>715</v>
      </c>
      <c r="D3781" s="2" t="s">
        <v>45</v>
      </c>
      <c r="E3781" s="2">
        <v>467</v>
      </c>
      <c r="F3781" s="2" t="s">
        <v>102</v>
      </c>
      <c r="G3781" s="2" t="s">
        <v>285</v>
      </c>
      <c r="H3781" s="2" t="s">
        <v>35</v>
      </c>
    </row>
    <row r="3782" spans="1:8" ht="13" hidden="1">
      <c r="A3782" s="15">
        <v>46068.533405046299</v>
      </c>
      <c r="B3782" s="16">
        <v>46058</v>
      </c>
      <c r="C3782" s="2" t="s">
        <v>176</v>
      </c>
      <c r="D3782" s="2" t="s">
        <v>41</v>
      </c>
      <c r="E3782" s="2">
        <v>3196</v>
      </c>
      <c r="F3782" s="2" t="s">
        <v>100</v>
      </c>
      <c r="H3782" s="2" t="s">
        <v>35</v>
      </c>
    </row>
    <row r="3783" spans="1:8" ht="13" hidden="1">
      <c r="A3783" s="15">
        <v>46059.89999737269</v>
      </c>
      <c r="B3783" s="16">
        <v>46058</v>
      </c>
      <c r="C3783" s="2" t="s">
        <v>258</v>
      </c>
      <c r="E3783" s="2">
        <v>8400</v>
      </c>
      <c r="H3783" s="2" t="s">
        <v>34</v>
      </c>
    </row>
    <row r="3784" spans="1:8" ht="13" hidden="1">
      <c r="A3784" s="15">
        <v>46059.898574386578</v>
      </c>
      <c r="B3784" s="16">
        <v>46059</v>
      </c>
      <c r="C3784" s="2" t="s">
        <v>106</v>
      </c>
      <c r="D3784" s="2" t="s">
        <v>52</v>
      </c>
      <c r="E3784" s="2">
        <v>950</v>
      </c>
      <c r="F3784" s="2" t="s">
        <v>102</v>
      </c>
      <c r="H3784" s="2" t="s">
        <v>35</v>
      </c>
    </row>
    <row r="3785" spans="1:8" ht="13" hidden="1">
      <c r="A3785" s="15">
        <v>46059.898834097221</v>
      </c>
      <c r="B3785" s="16">
        <v>46059</v>
      </c>
      <c r="C3785" s="2" t="s">
        <v>112</v>
      </c>
      <c r="D3785" s="2" t="s">
        <v>38</v>
      </c>
      <c r="E3785" s="2">
        <v>140</v>
      </c>
      <c r="F3785" s="2" t="s">
        <v>102</v>
      </c>
      <c r="G3785" s="2" t="s">
        <v>103</v>
      </c>
      <c r="H3785" s="2" t="s">
        <v>35</v>
      </c>
    </row>
    <row r="3786" spans="1:8" ht="13" hidden="1">
      <c r="A3786" s="15">
        <v>46059.899114745371</v>
      </c>
      <c r="B3786" s="16">
        <v>46059</v>
      </c>
      <c r="C3786" s="2" t="s">
        <v>436</v>
      </c>
      <c r="D3786" s="2" t="s">
        <v>38</v>
      </c>
      <c r="E3786" s="2">
        <v>194</v>
      </c>
      <c r="F3786" s="2" t="s">
        <v>102</v>
      </c>
      <c r="G3786" s="2" t="s">
        <v>356</v>
      </c>
      <c r="H3786" s="2" t="s">
        <v>35</v>
      </c>
    </row>
    <row r="3787" spans="1:8" ht="13" hidden="1">
      <c r="A3787" s="15">
        <v>46068.534093287039</v>
      </c>
      <c r="B3787" s="16">
        <v>46059</v>
      </c>
      <c r="C3787" s="2" t="s">
        <v>1398</v>
      </c>
      <c r="D3787" s="2" t="s">
        <v>45</v>
      </c>
      <c r="E3787" s="2">
        <v>6672</v>
      </c>
      <c r="F3787" s="2" t="s">
        <v>100</v>
      </c>
      <c r="G3787" s="2" t="s">
        <v>129</v>
      </c>
      <c r="H3787" s="2" t="s">
        <v>35</v>
      </c>
    </row>
    <row r="3788" spans="1:8" ht="13" hidden="1">
      <c r="A3788" s="15">
        <v>46068.534505821764</v>
      </c>
      <c r="B3788" s="16">
        <v>46059</v>
      </c>
      <c r="C3788" s="2" t="s">
        <v>1399</v>
      </c>
      <c r="D3788" s="2" t="s">
        <v>49</v>
      </c>
      <c r="E3788" s="2">
        <v>500</v>
      </c>
      <c r="F3788" s="2" t="s">
        <v>100</v>
      </c>
      <c r="G3788" s="2" t="s">
        <v>1400</v>
      </c>
      <c r="H3788" s="2" t="s">
        <v>35</v>
      </c>
    </row>
    <row r="3789" spans="1:8" ht="13" hidden="1">
      <c r="A3789" s="15">
        <v>46067.886605451393</v>
      </c>
      <c r="B3789" s="16">
        <v>46060</v>
      </c>
      <c r="C3789" s="2" t="s">
        <v>114</v>
      </c>
      <c r="D3789" s="2" t="s">
        <v>38</v>
      </c>
      <c r="E3789" s="2">
        <v>364</v>
      </c>
      <c r="F3789" s="2" t="s">
        <v>102</v>
      </c>
      <c r="G3789" s="2" t="s">
        <v>269</v>
      </c>
      <c r="H3789" s="2" t="s">
        <v>35</v>
      </c>
    </row>
    <row r="3790" spans="1:8" ht="13" hidden="1">
      <c r="A3790" s="15">
        <v>46067.886843414351</v>
      </c>
      <c r="B3790" s="16">
        <v>46060</v>
      </c>
      <c r="C3790" s="2" t="s">
        <v>280</v>
      </c>
      <c r="D3790" s="2" t="s">
        <v>46</v>
      </c>
      <c r="E3790" s="2">
        <v>1100</v>
      </c>
      <c r="F3790" s="2" t="s">
        <v>102</v>
      </c>
      <c r="G3790" s="2" t="s">
        <v>306</v>
      </c>
      <c r="H3790" s="2" t="s">
        <v>35</v>
      </c>
    </row>
    <row r="3791" spans="1:8" ht="13" hidden="1">
      <c r="A3791" s="15">
        <v>46067.887233344911</v>
      </c>
      <c r="B3791" s="16">
        <v>46060</v>
      </c>
      <c r="C3791" s="2" t="s">
        <v>124</v>
      </c>
      <c r="D3791" s="2" t="s">
        <v>45</v>
      </c>
      <c r="E3791" s="2">
        <v>110</v>
      </c>
      <c r="F3791" s="2" t="s">
        <v>102</v>
      </c>
      <c r="G3791" s="2" t="s">
        <v>136</v>
      </c>
      <c r="H3791" s="2" t="s">
        <v>35</v>
      </c>
    </row>
    <row r="3792" spans="1:8" ht="13" hidden="1">
      <c r="A3792" s="15">
        <v>46067.887597569439</v>
      </c>
      <c r="B3792" s="16">
        <v>46060</v>
      </c>
      <c r="C3792" s="2" t="s">
        <v>780</v>
      </c>
      <c r="D3792" s="2" t="s">
        <v>38</v>
      </c>
      <c r="E3792" s="2">
        <v>377</v>
      </c>
      <c r="F3792" s="2" t="s">
        <v>102</v>
      </c>
      <c r="G3792" s="2" t="s">
        <v>356</v>
      </c>
      <c r="H3792" s="2" t="s">
        <v>35</v>
      </c>
    </row>
    <row r="3793" spans="1:8" ht="13" hidden="1">
      <c r="A3793" s="15">
        <v>46067.887946261573</v>
      </c>
      <c r="B3793" s="16">
        <v>46060</v>
      </c>
      <c r="C3793" s="2" t="s">
        <v>1401</v>
      </c>
      <c r="D3793" s="2" t="s">
        <v>52</v>
      </c>
      <c r="E3793" s="2">
        <v>1320</v>
      </c>
      <c r="F3793" s="2" t="s">
        <v>102</v>
      </c>
      <c r="G3793" s="2" t="s">
        <v>1402</v>
      </c>
      <c r="H3793" s="2" t="s">
        <v>35</v>
      </c>
    </row>
    <row r="3794" spans="1:8" ht="13" hidden="1">
      <c r="A3794" s="15">
        <v>46068.534791840277</v>
      </c>
      <c r="B3794" s="16">
        <v>46060</v>
      </c>
      <c r="C3794" s="2" t="s">
        <v>240</v>
      </c>
      <c r="D3794" s="2" t="s">
        <v>42</v>
      </c>
      <c r="E3794" s="2">
        <v>990</v>
      </c>
      <c r="F3794" s="2" t="s">
        <v>100</v>
      </c>
      <c r="H3794" s="2" t="s">
        <v>35</v>
      </c>
    </row>
    <row r="3795" spans="1:8" ht="13" hidden="1">
      <c r="A3795" s="15">
        <v>46068.53500945602</v>
      </c>
      <c r="B3795" s="16">
        <v>46060</v>
      </c>
      <c r="C3795" s="2" t="s">
        <v>556</v>
      </c>
      <c r="D3795" s="2" t="s">
        <v>53</v>
      </c>
      <c r="E3795" s="2">
        <v>1400</v>
      </c>
      <c r="F3795" s="2" t="s">
        <v>100</v>
      </c>
      <c r="H3795" s="2" t="s">
        <v>35</v>
      </c>
    </row>
    <row r="3796" spans="1:8" ht="13" hidden="1">
      <c r="A3796" s="15">
        <v>46067.888213888888</v>
      </c>
      <c r="B3796" s="16">
        <v>46061</v>
      </c>
      <c r="C3796" s="2" t="s">
        <v>114</v>
      </c>
      <c r="D3796" s="2" t="s">
        <v>38</v>
      </c>
      <c r="E3796" s="2">
        <v>370</v>
      </c>
      <c r="F3796" s="2" t="s">
        <v>102</v>
      </c>
      <c r="G3796" s="2" t="s">
        <v>269</v>
      </c>
      <c r="H3796" s="2" t="s">
        <v>35</v>
      </c>
    </row>
    <row r="3797" spans="1:8" ht="13" hidden="1">
      <c r="A3797" s="15">
        <v>46067.888647465283</v>
      </c>
      <c r="B3797" s="16">
        <v>46061</v>
      </c>
      <c r="C3797" s="2" t="s">
        <v>1219</v>
      </c>
      <c r="D3797" s="2" t="s">
        <v>45</v>
      </c>
      <c r="E3797" s="2">
        <v>110</v>
      </c>
      <c r="F3797" s="2" t="s">
        <v>102</v>
      </c>
      <c r="G3797" s="2" t="s">
        <v>136</v>
      </c>
      <c r="H3797" s="2" t="s">
        <v>35</v>
      </c>
    </row>
    <row r="3798" spans="1:8" ht="13" hidden="1">
      <c r="A3798" s="15">
        <v>46067.889121192129</v>
      </c>
      <c r="B3798" s="16">
        <v>46061</v>
      </c>
      <c r="C3798" s="2" t="s">
        <v>114</v>
      </c>
      <c r="D3798" s="2" t="s">
        <v>38</v>
      </c>
      <c r="E3798" s="2">
        <v>198</v>
      </c>
      <c r="F3798" s="2" t="s">
        <v>102</v>
      </c>
      <c r="G3798" s="2" t="s">
        <v>356</v>
      </c>
      <c r="H3798" s="2" t="s">
        <v>35</v>
      </c>
    </row>
    <row r="3799" spans="1:8" ht="13" hidden="1">
      <c r="A3799" s="15">
        <v>46068.535292187502</v>
      </c>
      <c r="B3799" s="16">
        <v>46061</v>
      </c>
      <c r="C3799" s="2" t="s">
        <v>12</v>
      </c>
      <c r="D3799" s="2" t="s">
        <v>53</v>
      </c>
      <c r="E3799" s="2">
        <v>1520</v>
      </c>
      <c r="F3799" s="2" t="s">
        <v>100</v>
      </c>
      <c r="H3799" s="2" t="s">
        <v>35</v>
      </c>
    </row>
    <row r="3800" spans="1:8" ht="13" hidden="1">
      <c r="A3800" s="15">
        <v>46068.535568877312</v>
      </c>
      <c r="B3800" s="16">
        <v>46061</v>
      </c>
      <c r="C3800" s="2" t="s">
        <v>654</v>
      </c>
      <c r="D3800" s="2" t="s">
        <v>48</v>
      </c>
      <c r="E3800" s="2">
        <v>150</v>
      </c>
      <c r="F3800" s="2" t="s">
        <v>100</v>
      </c>
      <c r="H3800" s="2" t="s">
        <v>35</v>
      </c>
    </row>
    <row r="3801" spans="1:8" ht="13" hidden="1">
      <c r="A3801" s="15">
        <v>46068.535874374997</v>
      </c>
      <c r="B3801" s="16">
        <v>46061</v>
      </c>
      <c r="C3801" s="2" t="s">
        <v>116</v>
      </c>
      <c r="D3801" s="2" t="s">
        <v>38</v>
      </c>
      <c r="E3801" s="2">
        <v>2325</v>
      </c>
      <c r="F3801" s="2" t="s">
        <v>100</v>
      </c>
      <c r="G3801" s="2" t="s">
        <v>652</v>
      </c>
      <c r="H3801" s="2" t="s">
        <v>35</v>
      </c>
    </row>
    <row r="3802" spans="1:8" ht="13" hidden="1">
      <c r="A3802" s="15">
        <v>46068.536211550927</v>
      </c>
      <c r="B3802" s="16">
        <v>46062</v>
      </c>
      <c r="C3802" s="2" t="s">
        <v>15</v>
      </c>
      <c r="D3802" s="2" t="s">
        <v>48</v>
      </c>
      <c r="E3802" s="2">
        <v>880</v>
      </c>
      <c r="F3802" s="2" t="s">
        <v>100</v>
      </c>
      <c r="H3802" s="2" t="s">
        <v>35</v>
      </c>
    </row>
    <row r="3803" spans="1:8" ht="13" hidden="1">
      <c r="A3803" s="15">
        <v>46068.536520381946</v>
      </c>
      <c r="B3803" s="16">
        <v>46063</v>
      </c>
      <c r="C3803" s="2" t="s">
        <v>1403</v>
      </c>
      <c r="D3803" s="2" t="s">
        <v>45</v>
      </c>
      <c r="E3803" s="2">
        <v>3300</v>
      </c>
      <c r="F3803" s="2" t="s">
        <v>100</v>
      </c>
      <c r="G3803" s="2" t="s">
        <v>129</v>
      </c>
      <c r="H3803" s="2" t="s">
        <v>35</v>
      </c>
    </row>
    <row r="3804" spans="1:8" ht="13" hidden="1">
      <c r="A3804" s="15">
        <v>46068.53675190972</v>
      </c>
      <c r="B3804" s="16">
        <v>46063</v>
      </c>
      <c r="C3804" s="2" t="s">
        <v>240</v>
      </c>
      <c r="D3804" s="2" t="s">
        <v>42</v>
      </c>
      <c r="E3804" s="2">
        <v>44</v>
      </c>
      <c r="F3804" s="2" t="s">
        <v>100</v>
      </c>
      <c r="H3804" s="2" t="s">
        <v>35</v>
      </c>
    </row>
    <row r="3805" spans="1:8" ht="13" hidden="1">
      <c r="A3805" s="15">
        <v>46067.889508726847</v>
      </c>
      <c r="B3805" s="16">
        <v>46064</v>
      </c>
      <c r="C3805" s="2" t="s">
        <v>1404</v>
      </c>
      <c r="D3805" s="2" t="s">
        <v>45</v>
      </c>
      <c r="E3805" s="2">
        <v>720</v>
      </c>
      <c r="F3805" s="2" t="s">
        <v>102</v>
      </c>
      <c r="G3805" s="2" t="s">
        <v>285</v>
      </c>
      <c r="H3805" s="2" t="s">
        <v>35</v>
      </c>
    </row>
    <row r="3806" spans="1:8" ht="13" hidden="1">
      <c r="A3806" s="15">
        <v>46067.890147638886</v>
      </c>
      <c r="B3806" s="16">
        <v>46064</v>
      </c>
      <c r="C3806" s="2" t="s">
        <v>496</v>
      </c>
      <c r="D3806" s="2" t="s">
        <v>38</v>
      </c>
      <c r="E3806" s="2">
        <v>428</v>
      </c>
      <c r="F3806" s="2" t="s">
        <v>102</v>
      </c>
      <c r="G3806" s="2" t="s">
        <v>356</v>
      </c>
      <c r="H3806" s="2" t="s">
        <v>35</v>
      </c>
    </row>
    <row r="3807" spans="1:8" ht="13" hidden="1">
      <c r="A3807" s="15">
        <v>46067.891123217589</v>
      </c>
      <c r="B3807" s="16">
        <v>46064</v>
      </c>
      <c r="C3807" s="2" t="s">
        <v>1396</v>
      </c>
      <c r="D3807" s="2" t="s">
        <v>39</v>
      </c>
      <c r="E3807" s="2">
        <v>5900</v>
      </c>
      <c r="F3807" s="2" t="s">
        <v>102</v>
      </c>
      <c r="H3807" s="2" t="s">
        <v>35</v>
      </c>
    </row>
    <row r="3808" spans="1:8" ht="13" hidden="1">
      <c r="A3808" s="15">
        <v>46067.891584780096</v>
      </c>
      <c r="B3808" s="16">
        <v>46064</v>
      </c>
      <c r="C3808" s="2" t="s">
        <v>1405</v>
      </c>
      <c r="D3808" s="2" t="s">
        <v>39</v>
      </c>
      <c r="E3808" s="2">
        <v>8615</v>
      </c>
      <c r="F3808" s="2" t="s">
        <v>102</v>
      </c>
      <c r="H3808" s="2" t="s">
        <v>35</v>
      </c>
    </row>
    <row r="3809" spans="1:8" ht="13" hidden="1">
      <c r="A3809" s="15">
        <v>46067.89190396991</v>
      </c>
      <c r="B3809" s="16">
        <v>46064</v>
      </c>
      <c r="C3809" s="2" t="s">
        <v>287</v>
      </c>
      <c r="D3809" s="2" t="s">
        <v>52</v>
      </c>
      <c r="E3809" s="2">
        <v>490</v>
      </c>
      <c r="F3809" s="2" t="s">
        <v>102</v>
      </c>
      <c r="G3809" s="2" t="s">
        <v>199</v>
      </c>
      <c r="H3809" s="2" t="s">
        <v>35</v>
      </c>
    </row>
    <row r="3810" spans="1:8" ht="13" hidden="1">
      <c r="A3810" s="15">
        <v>46067.893887418977</v>
      </c>
      <c r="B3810" s="16">
        <v>46064</v>
      </c>
      <c r="C3810" s="2" t="s">
        <v>601</v>
      </c>
      <c r="D3810" s="2" t="s">
        <v>38</v>
      </c>
      <c r="E3810" s="2">
        <v>180</v>
      </c>
      <c r="F3810" s="2" t="s">
        <v>102</v>
      </c>
      <c r="H3810" s="2" t="s">
        <v>35</v>
      </c>
    </row>
    <row r="3811" spans="1:8" ht="13" hidden="1">
      <c r="A3811" s="15">
        <v>46068.537026574078</v>
      </c>
      <c r="B3811" s="16">
        <v>46064</v>
      </c>
      <c r="C3811" s="2" t="s">
        <v>18</v>
      </c>
      <c r="D3811" s="2" t="s">
        <v>41</v>
      </c>
      <c r="E3811" s="2">
        <v>5868</v>
      </c>
      <c r="F3811" s="2" t="s">
        <v>100</v>
      </c>
      <c r="H3811" s="2" t="s">
        <v>35</v>
      </c>
    </row>
    <row r="3812" spans="1:8" ht="13" hidden="1">
      <c r="A3812" s="15">
        <v>46068.537316134258</v>
      </c>
      <c r="B3812" s="16">
        <v>46064</v>
      </c>
      <c r="C3812" s="2" t="s">
        <v>350</v>
      </c>
      <c r="D3812" s="2" t="s">
        <v>40</v>
      </c>
      <c r="E3812" s="2">
        <v>2000</v>
      </c>
      <c r="F3812" s="2" t="s">
        <v>100</v>
      </c>
      <c r="H3812" s="2" t="s">
        <v>35</v>
      </c>
    </row>
    <row r="3813" spans="1:8" ht="13" hidden="1">
      <c r="A3813" s="15">
        <v>46067.892173125001</v>
      </c>
      <c r="B3813" s="16">
        <v>46065</v>
      </c>
      <c r="C3813" s="2" t="s">
        <v>114</v>
      </c>
      <c r="D3813" s="2" t="s">
        <v>38</v>
      </c>
      <c r="E3813" s="2">
        <v>178</v>
      </c>
      <c r="F3813" s="2" t="s">
        <v>102</v>
      </c>
      <c r="G3813" s="2" t="s">
        <v>356</v>
      </c>
      <c r="H3813" s="2" t="s">
        <v>35</v>
      </c>
    </row>
    <row r="3814" spans="1:8" ht="13" hidden="1">
      <c r="A3814" s="15">
        <v>46081.680283506939</v>
      </c>
      <c r="B3814" s="16">
        <v>46065</v>
      </c>
      <c r="C3814" s="2" t="s">
        <v>240</v>
      </c>
      <c r="D3814" s="2" t="s">
        <v>42</v>
      </c>
      <c r="E3814" s="2">
        <v>990</v>
      </c>
      <c r="F3814" s="2" t="s">
        <v>100</v>
      </c>
      <c r="H3814" s="2" t="s">
        <v>35</v>
      </c>
    </row>
    <row r="3815" spans="1:8" ht="13" hidden="1">
      <c r="A3815" s="15">
        <v>46067.892433634261</v>
      </c>
      <c r="B3815" s="16">
        <v>46066</v>
      </c>
      <c r="C3815" s="2" t="s">
        <v>106</v>
      </c>
      <c r="D3815" s="2" t="s">
        <v>52</v>
      </c>
      <c r="E3815" s="2">
        <v>950</v>
      </c>
      <c r="F3815" s="2" t="s">
        <v>102</v>
      </c>
      <c r="H3815" s="2" t="s">
        <v>35</v>
      </c>
    </row>
    <row r="3816" spans="1:8" ht="13" hidden="1">
      <c r="A3816" s="15">
        <v>46067.892687141204</v>
      </c>
      <c r="B3816" s="16">
        <v>46066</v>
      </c>
      <c r="C3816" s="2" t="s">
        <v>112</v>
      </c>
      <c r="D3816" s="2" t="s">
        <v>38</v>
      </c>
      <c r="E3816" s="2">
        <v>140</v>
      </c>
      <c r="F3816" s="2" t="s">
        <v>102</v>
      </c>
      <c r="G3816" s="2" t="s">
        <v>103</v>
      </c>
      <c r="H3816" s="2" t="s">
        <v>35</v>
      </c>
    </row>
    <row r="3817" spans="1:8" ht="13" hidden="1">
      <c r="A3817" s="15">
        <v>46067.893070393518</v>
      </c>
      <c r="B3817" s="16">
        <v>46066</v>
      </c>
      <c r="C3817" s="2" t="s">
        <v>1040</v>
      </c>
      <c r="D3817" s="2" t="s">
        <v>38</v>
      </c>
      <c r="E3817" s="2">
        <v>298</v>
      </c>
      <c r="F3817" s="2" t="s">
        <v>102</v>
      </c>
      <c r="G3817" s="2" t="s">
        <v>356</v>
      </c>
      <c r="H3817" s="2" t="s">
        <v>35</v>
      </c>
    </row>
    <row r="3818" spans="1:8" ht="13" hidden="1">
      <c r="A3818" s="15">
        <v>46081.68060255787</v>
      </c>
      <c r="B3818" s="16">
        <v>46066</v>
      </c>
      <c r="C3818" s="2" t="s">
        <v>22</v>
      </c>
      <c r="D3818" s="2" t="s">
        <v>53</v>
      </c>
      <c r="E3818" s="2">
        <v>2530</v>
      </c>
      <c r="F3818" s="2" t="s">
        <v>100</v>
      </c>
      <c r="H3818" s="2" t="s">
        <v>35</v>
      </c>
    </row>
    <row r="3819" spans="1:8" ht="13" hidden="1">
      <c r="A3819" s="15">
        <v>46067.8933209838</v>
      </c>
      <c r="B3819" s="16">
        <v>46067</v>
      </c>
      <c r="C3819" s="2" t="s">
        <v>114</v>
      </c>
      <c r="D3819" s="2" t="s">
        <v>38</v>
      </c>
      <c r="E3819" s="2">
        <v>168</v>
      </c>
      <c r="F3819" s="2" t="s">
        <v>102</v>
      </c>
      <c r="G3819" s="2" t="s">
        <v>356</v>
      </c>
      <c r="H3819" s="2" t="s">
        <v>35</v>
      </c>
    </row>
    <row r="3820" spans="1:8" ht="13" hidden="1">
      <c r="A3820" s="15">
        <v>46067.893612256943</v>
      </c>
      <c r="B3820" s="16">
        <v>46067</v>
      </c>
      <c r="C3820" s="2" t="s">
        <v>1406</v>
      </c>
      <c r="D3820" s="2" t="s">
        <v>45</v>
      </c>
      <c r="E3820" s="2">
        <v>2183</v>
      </c>
      <c r="F3820" s="2" t="s">
        <v>102</v>
      </c>
      <c r="G3820" s="2" t="s">
        <v>285</v>
      </c>
      <c r="H3820" s="2" t="s">
        <v>35</v>
      </c>
    </row>
    <row r="3821" spans="1:8" ht="13" hidden="1">
      <c r="A3821" s="15">
        <v>46081.681474710647</v>
      </c>
      <c r="B3821" s="16">
        <v>46067</v>
      </c>
      <c r="C3821" s="2" t="s">
        <v>662</v>
      </c>
      <c r="D3821" s="2" t="s">
        <v>48</v>
      </c>
      <c r="E3821" s="2">
        <v>3511</v>
      </c>
      <c r="F3821" s="2" t="s">
        <v>100</v>
      </c>
      <c r="H3821" s="2" t="s">
        <v>35</v>
      </c>
    </row>
    <row r="3822" spans="1:8" ht="13" hidden="1">
      <c r="A3822" s="15">
        <v>46081.681687280092</v>
      </c>
      <c r="B3822" s="16">
        <v>46067</v>
      </c>
      <c r="C3822" s="2" t="s">
        <v>556</v>
      </c>
      <c r="D3822" s="2" t="s">
        <v>53</v>
      </c>
      <c r="E3822" s="2">
        <v>1400</v>
      </c>
      <c r="F3822" s="2" t="s">
        <v>100</v>
      </c>
      <c r="H3822" s="2" t="s">
        <v>35</v>
      </c>
    </row>
    <row r="3823" spans="1:8" ht="13" hidden="1">
      <c r="A3823" s="15">
        <v>46081.683532013893</v>
      </c>
      <c r="B3823" s="16">
        <v>46067</v>
      </c>
      <c r="C3823" s="2" t="s">
        <v>116</v>
      </c>
      <c r="D3823" s="2" t="s">
        <v>38</v>
      </c>
      <c r="E3823" s="2">
        <v>1885</v>
      </c>
      <c r="F3823" s="2" t="s">
        <v>100</v>
      </c>
      <c r="G3823" s="2" t="s">
        <v>652</v>
      </c>
      <c r="H3823" s="2" t="s">
        <v>35</v>
      </c>
    </row>
    <row r="3824" spans="1:8" ht="13" hidden="1">
      <c r="A3824" s="15">
        <v>46074.81305650463</v>
      </c>
      <c r="B3824" s="16">
        <v>46068</v>
      </c>
      <c r="C3824" s="2" t="s">
        <v>139</v>
      </c>
      <c r="D3824" s="2" t="s">
        <v>38</v>
      </c>
      <c r="E3824" s="2">
        <v>118</v>
      </c>
      <c r="F3824" s="2" t="s">
        <v>102</v>
      </c>
      <c r="G3824" s="2" t="s">
        <v>107</v>
      </c>
      <c r="H3824" s="2" t="s">
        <v>35</v>
      </c>
    </row>
    <row r="3825" spans="1:8" ht="13" hidden="1">
      <c r="A3825" s="15">
        <v>46074.813580254631</v>
      </c>
      <c r="B3825" s="16">
        <v>46068</v>
      </c>
      <c r="C3825" s="2" t="s">
        <v>1044</v>
      </c>
      <c r="D3825" s="2" t="s">
        <v>45</v>
      </c>
      <c r="E3825" s="2">
        <v>1022</v>
      </c>
      <c r="F3825" s="2" t="s">
        <v>102</v>
      </c>
      <c r="G3825" s="2" t="s">
        <v>285</v>
      </c>
      <c r="H3825" s="2" t="s">
        <v>35</v>
      </c>
    </row>
    <row r="3826" spans="1:8" ht="13" hidden="1">
      <c r="A3826" s="15">
        <v>46081.683840752317</v>
      </c>
      <c r="B3826" s="16">
        <v>46068</v>
      </c>
      <c r="C3826" s="2" t="s">
        <v>240</v>
      </c>
      <c r="D3826" s="2" t="s">
        <v>42</v>
      </c>
      <c r="E3826" s="2">
        <v>990</v>
      </c>
      <c r="F3826" s="2" t="s">
        <v>100</v>
      </c>
      <c r="H3826" s="2" t="s">
        <v>35</v>
      </c>
    </row>
    <row r="3827" spans="1:8" ht="13" hidden="1">
      <c r="A3827" s="15">
        <v>46081.68420260417</v>
      </c>
      <c r="B3827" s="16">
        <v>46068</v>
      </c>
      <c r="C3827" s="2" t="s">
        <v>20</v>
      </c>
      <c r="D3827" s="2" t="s">
        <v>53</v>
      </c>
      <c r="E3827" s="2">
        <v>1590</v>
      </c>
      <c r="F3827" s="2" t="s">
        <v>100</v>
      </c>
      <c r="H3827" s="2" t="s">
        <v>35</v>
      </c>
    </row>
    <row r="3828" spans="1:8" ht="13" hidden="1">
      <c r="A3828" s="15">
        <v>46074.814037731485</v>
      </c>
      <c r="B3828" s="16">
        <v>46069</v>
      </c>
      <c r="C3828" s="2" t="s">
        <v>1407</v>
      </c>
      <c r="D3828" s="2" t="s">
        <v>39</v>
      </c>
      <c r="E3828" s="2">
        <v>7347</v>
      </c>
      <c r="F3828" s="2" t="s">
        <v>102</v>
      </c>
      <c r="H3828" s="2" t="s">
        <v>35</v>
      </c>
    </row>
    <row r="3829" spans="1:8" ht="13" hidden="1">
      <c r="A3829" s="15">
        <v>46081.684568553239</v>
      </c>
      <c r="B3829" s="16">
        <v>46070</v>
      </c>
      <c r="C3829" s="2" t="s">
        <v>106</v>
      </c>
      <c r="D3829" s="2" t="s">
        <v>52</v>
      </c>
      <c r="E3829" s="2">
        <v>800</v>
      </c>
      <c r="F3829" s="2" t="s">
        <v>100</v>
      </c>
      <c r="H3829" s="2" t="s">
        <v>35</v>
      </c>
    </row>
    <row r="3830" spans="1:8" ht="13" hidden="1">
      <c r="A3830" s="15">
        <v>46074.814342754631</v>
      </c>
      <c r="B3830" s="16">
        <v>46071</v>
      </c>
      <c r="C3830" s="2" t="s">
        <v>112</v>
      </c>
      <c r="D3830" s="2" t="s">
        <v>38</v>
      </c>
      <c r="E3830" s="2">
        <v>170</v>
      </c>
      <c r="F3830" s="2" t="s">
        <v>102</v>
      </c>
      <c r="G3830" s="2" t="s">
        <v>356</v>
      </c>
      <c r="H3830" s="2" t="s">
        <v>35</v>
      </c>
    </row>
    <row r="3831" spans="1:8" ht="13" hidden="1">
      <c r="A3831" s="15">
        <v>46074.814644305559</v>
      </c>
      <c r="B3831" s="16">
        <v>46071</v>
      </c>
      <c r="C3831" s="2" t="s">
        <v>1408</v>
      </c>
      <c r="D3831" s="2" t="s">
        <v>52</v>
      </c>
      <c r="E3831" s="2">
        <v>280</v>
      </c>
      <c r="F3831" s="2" t="s">
        <v>102</v>
      </c>
      <c r="G3831" s="2" t="s">
        <v>103</v>
      </c>
      <c r="H3831" s="2" t="s">
        <v>35</v>
      </c>
    </row>
    <row r="3832" spans="1:8" ht="13" hidden="1">
      <c r="A3832" s="15">
        <v>46074.814880069447</v>
      </c>
      <c r="B3832" s="16">
        <v>46071</v>
      </c>
      <c r="C3832" s="2" t="s">
        <v>674</v>
      </c>
      <c r="D3832" s="2" t="s">
        <v>52</v>
      </c>
      <c r="E3832" s="2">
        <v>4200</v>
      </c>
      <c r="F3832" s="2" t="s">
        <v>102</v>
      </c>
      <c r="H3832" s="2" t="s">
        <v>35</v>
      </c>
    </row>
    <row r="3833" spans="1:8" ht="13" hidden="1">
      <c r="A3833" s="15">
        <v>46074.815164085652</v>
      </c>
      <c r="B3833" s="16">
        <v>46071</v>
      </c>
      <c r="C3833" s="2" t="s">
        <v>436</v>
      </c>
      <c r="D3833" s="2" t="s">
        <v>38</v>
      </c>
      <c r="E3833" s="2">
        <v>278</v>
      </c>
      <c r="F3833" s="2" t="s">
        <v>102</v>
      </c>
      <c r="G3833" s="2" t="s">
        <v>356</v>
      </c>
      <c r="H3833" s="2" t="s">
        <v>35</v>
      </c>
    </row>
    <row r="3834" spans="1:8" ht="13" hidden="1">
      <c r="A3834" s="15">
        <v>46081.684937569444</v>
      </c>
      <c r="B3834" s="16">
        <v>46071</v>
      </c>
      <c r="C3834" s="2" t="s">
        <v>350</v>
      </c>
      <c r="D3834" s="2" t="s">
        <v>40</v>
      </c>
      <c r="E3834" s="2">
        <v>2000</v>
      </c>
      <c r="F3834" s="2" t="s">
        <v>100</v>
      </c>
      <c r="H3834" s="2" t="s">
        <v>35</v>
      </c>
    </row>
    <row r="3835" spans="1:8" ht="13" hidden="1">
      <c r="A3835" s="15">
        <v>46081.685644733792</v>
      </c>
      <c r="B3835" s="16">
        <v>46071</v>
      </c>
      <c r="C3835" s="2" t="s">
        <v>533</v>
      </c>
      <c r="D3835" s="2" t="s">
        <v>46</v>
      </c>
      <c r="E3835" s="2">
        <v>1980</v>
      </c>
      <c r="F3835" s="2" t="s">
        <v>100</v>
      </c>
      <c r="G3835" s="2" t="s">
        <v>129</v>
      </c>
      <c r="H3835" s="2" t="s">
        <v>35</v>
      </c>
    </row>
    <row r="3836" spans="1:8" ht="13" hidden="1">
      <c r="A3836" s="15">
        <v>46081.686024120369</v>
      </c>
      <c r="B3836" s="16">
        <v>46071</v>
      </c>
      <c r="C3836" s="2" t="s">
        <v>183</v>
      </c>
      <c r="D3836" s="2" t="s">
        <v>46</v>
      </c>
      <c r="E3836" s="2">
        <v>2970</v>
      </c>
      <c r="F3836" s="2" t="s">
        <v>100</v>
      </c>
      <c r="G3836" s="2" t="s">
        <v>129</v>
      </c>
      <c r="H3836" s="2" t="s">
        <v>35</v>
      </c>
    </row>
    <row r="3837" spans="1:8" ht="13" hidden="1">
      <c r="A3837" s="15">
        <v>46081.686359942134</v>
      </c>
      <c r="B3837" s="16">
        <v>46071</v>
      </c>
      <c r="C3837" s="2" t="s">
        <v>1127</v>
      </c>
      <c r="D3837" s="2" t="s">
        <v>152</v>
      </c>
      <c r="E3837" s="2">
        <v>660</v>
      </c>
      <c r="F3837" s="2" t="s">
        <v>100</v>
      </c>
      <c r="H3837" s="2" t="s">
        <v>35</v>
      </c>
    </row>
    <row r="3838" spans="1:8" ht="13" hidden="1">
      <c r="A3838" s="15">
        <v>46074.815446886569</v>
      </c>
      <c r="B3838" s="16">
        <v>46072</v>
      </c>
      <c r="C3838" s="2" t="s">
        <v>106</v>
      </c>
      <c r="D3838" s="2" t="s">
        <v>52</v>
      </c>
      <c r="E3838" s="2">
        <v>1100</v>
      </c>
      <c r="F3838" s="2" t="s">
        <v>102</v>
      </c>
      <c r="G3838" s="2" t="s">
        <v>957</v>
      </c>
      <c r="H3838" s="2" t="s">
        <v>35</v>
      </c>
    </row>
    <row r="3839" spans="1:8" ht="13" hidden="1">
      <c r="A3839" s="15">
        <v>46074.815851261577</v>
      </c>
      <c r="B3839" s="16">
        <v>46072</v>
      </c>
      <c r="C3839" s="2" t="s">
        <v>715</v>
      </c>
      <c r="D3839" s="2" t="s">
        <v>45</v>
      </c>
      <c r="E3839" s="2">
        <v>606</v>
      </c>
      <c r="F3839" s="2" t="s">
        <v>102</v>
      </c>
      <c r="G3839" s="2" t="s">
        <v>285</v>
      </c>
      <c r="H3839" s="2" t="s">
        <v>35</v>
      </c>
    </row>
    <row r="3840" spans="1:8" ht="13" hidden="1">
      <c r="A3840" s="15">
        <v>46081.686605578703</v>
      </c>
      <c r="B3840" s="16">
        <v>46072</v>
      </c>
      <c r="C3840" s="2" t="s">
        <v>807</v>
      </c>
      <c r="D3840" s="2" t="s">
        <v>152</v>
      </c>
      <c r="E3840" s="2">
        <v>2944</v>
      </c>
      <c r="F3840" s="2" t="s">
        <v>100</v>
      </c>
      <c r="H3840" s="2" t="s">
        <v>35</v>
      </c>
    </row>
    <row r="3841" spans="1:8" ht="13" hidden="1">
      <c r="A3841" s="15">
        <v>46081.686851365739</v>
      </c>
      <c r="B3841" s="16">
        <v>46072</v>
      </c>
      <c r="C3841" s="2" t="s">
        <v>240</v>
      </c>
      <c r="D3841" s="2" t="s">
        <v>42</v>
      </c>
      <c r="E3841" s="2">
        <v>990</v>
      </c>
      <c r="F3841" s="2" t="s">
        <v>100</v>
      </c>
      <c r="H3841" s="2" t="s">
        <v>35</v>
      </c>
    </row>
    <row r="3842" spans="1:8" ht="13" hidden="1">
      <c r="A3842" s="15">
        <v>46074.816201400463</v>
      </c>
      <c r="B3842" s="16">
        <v>46073</v>
      </c>
      <c r="C3842" s="2" t="s">
        <v>1385</v>
      </c>
      <c r="D3842" s="2" t="s">
        <v>38</v>
      </c>
      <c r="E3842" s="2">
        <v>172</v>
      </c>
      <c r="F3842" s="2" t="s">
        <v>102</v>
      </c>
      <c r="G3842" s="2" t="s">
        <v>103</v>
      </c>
      <c r="H3842" s="2" t="s">
        <v>35</v>
      </c>
    </row>
    <row r="3843" spans="1:8" ht="13" hidden="1">
      <c r="A3843" s="15">
        <v>46074.816579016202</v>
      </c>
      <c r="B3843" s="16">
        <v>46073</v>
      </c>
      <c r="C3843" s="2" t="s">
        <v>245</v>
      </c>
      <c r="D3843" s="2" t="s">
        <v>52</v>
      </c>
      <c r="E3843" s="2">
        <v>460</v>
      </c>
      <c r="F3843" s="2" t="s">
        <v>102</v>
      </c>
      <c r="G3843" s="2" t="s">
        <v>880</v>
      </c>
      <c r="H3843" s="2" t="s">
        <v>35</v>
      </c>
    </row>
    <row r="3844" spans="1:8" ht="13" hidden="1">
      <c r="A3844" s="15">
        <v>46074.817103611116</v>
      </c>
      <c r="B3844" s="16">
        <v>46073</v>
      </c>
      <c r="C3844" s="2" t="s">
        <v>436</v>
      </c>
      <c r="D3844" s="2" t="s">
        <v>38</v>
      </c>
      <c r="E3844" s="2">
        <v>160</v>
      </c>
      <c r="F3844" s="2" t="s">
        <v>102</v>
      </c>
      <c r="G3844" s="2" t="s">
        <v>356</v>
      </c>
      <c r="H3844" s="2" t="s">
        <v>35</v>
      </c>
    </row>
    <row r="3845" spans="1:8" ht="13" hidden="1">
      <c r="A3845" s="15">
        <v>46081.687236377315</v>
      </c>
      <c r="B3845" s="16">
        <v>46073</v>
      </c>
      <c r="C3845" s="2" t="s">
        <v>1409</v>
      </c>
      <c r="D3845" s="2" t="s">
        <v>39</v>
      </c>
      <c r="E3845" s="2">
        <v>10640</v>
      </c>
      <c r="F3845" s="2" t="s">
        <v>100</v>
      </c>
      <c r="H3845" s="2" t="s">
        <v>35</v>
      </c>
    </row>
    <row r="3846" spans="1:8" ht="13" hidden="1">
      <c r="A3846" s="15">
        <v>46081.688990358802</v>
      </c>
      <c r="B3846" s="16">
        <v>46073</v>
      </c>
      <c r="C3846" s="2" t="s">
        <v>24</v>
      </c>
      <c r="D3846" s="2" t="s">
        <v>49</v>
      </c>
      <c r="E3846" s="2">
        <v>1100</v>
      </c>
      <c r="F3846" s="2" t="s">
        <v>100</v>
      </c>
      <c r="H3846" s="2" t="s">
        <v>35</v>
      </c>
    </row>
    <row r="3847" spans="1:8" ht="13" hidden="1">
      <c r="A3847" s="15">
        <v>46081.68933194445</v>
      </c>
      <c r="B3847" s="16">
        <v>46073</v>
      </c>
      <c r="C3847" s="2" t="s">
        <v>142</v>
      </c>
      <c r="D3847" s="2" t="s">
        <v>45</v>
      </c>
      <c r="E3847" s="2">
        <v>8140</v>
      </c>
      <c r="F3847" s="2" t="s">
        <v>100</v>
      </c>
      <c r="H3847" s="2" t="s">
        <v>35</v>
      </c>
    </row>
    <row r="3848" spans="1:8" ht="13" hidden="1">
      <c r="A3848" s="15">
        <v>46081.689606122687</v>
      </c>
      <c r="B3848" s="16">
        <v>46073</v>
      </c>
      <c r="C3848" s="2" t="s">
        <v>1410</v>
      </c>
      <c r="D3848" s="2" t="s">
        <v>48</v>
      </c>
      <c r="E3848" s="2">
        <v>3800</v>
      </c>
      <c r="F3848" s="2" t="s">
        <v>100</v>
      </c>
      <c r="H3848" s="2" t="s">
        <v>35</v>
      </c>
    </row>
    <row r="3849" spans="1:8" ht="13" hidden="1">
      <c r="A3849" s="15">
        <v>46074.816844189816</v>
      </c>
      <c r="B3849" s="16">
        <v>46073</v>
      </c>
      <c r="C3849" s="2" t="s">
        <v>1411</v>
      </c>
      <c r="E3849" s="2">
        <v>7000</v>
      </c>
      <c r="H3849" s="2" t="s">
        <v>34</v>
      </c>
    </row>
    <row r="3850" spans="1:8" ht="13" hidden="1">
      <c r="A3850" s="15">
        <v>46074.817392951387</v>
      </c>
      <c r="B3850" s="16">
        <v>46074</v>
      </c>
      <c r="C3850" s="2" t="s">
        <v>280</v>
      </c>
      <c r="D3850" s="2" t="s">
        <v>46</v>
      </c>
      <c r="E3850" s="2">
        <v>1760</v>
      </c>
      <c r="F3850" s="2" t="s">
        <v>102</v>
      </c>
      <c r="G3850" s="2" t="s">
        <v>306</v>
      </c>
      <c r="H3850" s="2" t="s">
        <v>35</v>
      </c>
    </row>
    <row r="3851" spans="1:8" ht="13" hidden="1">
      <c r="A3851" s="15">
        <v>46074.817656712963</v>
      </c>
      <c r="B3851" s="16">
        <v>46074</v>
      </c>
      <c r="C3851" s="2" t="s">
        <v>1412</v>
      </c>
      <c r="D3851" s="2" t="s">
        <v>45</v>
      </c>
      <c r="E3851" s="2">
        <v>799</v>
      </c>
      <c r="F3851" s="2" t="s">
        <v>102</v>
      </c>
      <c r="G3851" s="2" t="s">
        <v>150</v>
      </c>
      <c r="H3851" s="2" t="s">
        <v>35</v>
      </c>
    </row>
    <row r="3852" spans="1:8" ht="13" hidden="1">
      <c r="A3852" s="15">
        <v>46074.817990219904</v>
      </c>
      <c r="B3852" s="16">
        <v>46074</v>
      </c>
      <c r="C3852" s="2" t="s">
        <v>1413</v>
      </c>
      <c r="D3852" s="2" t="s">
        <v>38</v>
      </c>
      <c r="E3852" s="2">
        <v>538</v>
      </c>
      <c r="F3852" s="2" t="s">
        <v>102</v>
      </c>
      <c r="G3852" s="2" t="s">
        <v>356</v>
      </c>
      <c r="H3852" s="2" t="s">
        <v>35</v>
      </c>
    </row>
    <row r="3853" spans="1:8" ht="13" hidden="1">
      <c r="A3853" s="15">
        <v>46081.689928576394</v>
      </c>
      <c r="B3853" s="16">
        <v>46074</v>
      </c>
      <c r="C3853" s="2" t="s">
        <v>556</v>
      </c>
      <c r="D3853" s="2" t="s">
        <v>53</v>
      </c>
      <c r="E3853" s="2">
        <v>1400</v>
      </c>
      <c r="F3853" s="2" t="s">
        <v>100</v>
      </c>
      <c r="H3853" s="2" t="s">
        <v>35</v>
      </c>
    </row>
    <row r="3854" spans="1:8" ht="13" hidden="1">
      <c r="A3854" s="15">
        <v>46081.690269282408</v>
      </c>
      <c r="B3854" s="16">
        <v>46074</v>
      </c>
      <c r="C3854" s="2" t="s">
        <v>1414</v>
      </c>
      <c r="D3854" s="2" t="s">
        <v>45</v>
      </c>
      <c r="E3854" s="2">
        <v>2412</v>
      </c>
      <c r="F3854" s="2" t="s">
        <v>100</v>
      </c>
      <c r="G3854" s="2" t="s">
        <v>285</v>
      </c>
      <c r="H3854" s="2" t="s">
        <v>35</v>
      </c>
    </row>
    <row r="3855" spans="1:8" ht="13" hidden="1">
      <c r="A3855" s="15">
        <v>46081.690704409717</v>
      </c>
      <c r="B3855" s="16">
        <v>46074</v>
      </c>
      <c r="C3855" s="2" t="s">
        <v>1415</v>
      </c>
      <c r="D3855" s="2" t="s">
        <v>45</v>
      </c>
      <c r="E3855" s="2">
        <v>3429</v>
      </c>
      <c r="F3855" s="2" t="s">
        <v>100</v>
      </c>
      <c r="G3855" s="2" t="s">
        <v>129</v>
      </c>
      <c r="H3855" s="2" t="s">
        <v>35</v>
      </c>
    </row>
    <row r="3856" spans="1:8" ht="13" hidden="1">
      <c r="A3856" s="15">
        <v>46081.691022384257</v>
      </c>
      <c r="B3856" s="16">
        <v>46074</v>
      </c>
      <c r="C3856" s="2" t="s">
        <v>116</v>
      </c>
      <c r="D3856" s="2" t="s">
        <v>38</v>
      </c>
      <c r="E3856" s="2">
        <v>1734</v>
      </c>
      <c r="F3856" s="2" t="s">
        <v>100</v>
      </c>
      <c r="G3856" s="2" t="s">
        <v>652</v>
      </c>
      <c r="H3856" s="2" t="s">
        <v>35</v>
      </c>
    </row>
    <row r="3857" spans="1:8" ht="13" hidden="1">
      <c r="A3857" s="15">
        <v>46081.691336203701</v>
      </c>
      <c r="B3857" s="16">
        <v>46074</v>
      </c>
      <c r="C3857" s="2" t="s">
        <v>116</v>
      </c>
      <c r="D3857" s="2" t="s">
        <v>38</v>
      </c>
      <c r="E3857" s="2">
        <v>472</v>
      </c>
      <c r="F3857" s="2" t="s">
        <v>100</v>
      </c>
      <c r="G3857" s="2" t="s">
        <v>652</v>
      </c>
      <c r="H3857" s="2" t="s">
        <v>35</v>
      </c>
    </row>
    <row r="3858" spans="1:8" ht="13" hidden="1">
      <c r="A3858" s="15">
        <v>46103.611703460643</v>
      </c>
      <c r="B3858" s="16">
        <v>46075</v>
      </c>
      <c r="C3858" s="2" t="s">
        <v>1416</v>
      </c>
      <c r="D3858" s="2" t="s">
        <v>39</v>
      </c>
      <c r="E3858" s="2">
        <v>1903</v>
      </c>
      <c r="F3858" s="2" t="s">
        <v>102</v>
      </c>
      <c r="H3858" s="2" t="s">
        <v>35</v>
      </c>
    </row>
    <row r="3859" spans="1:8" ht="13" hidden="1">
      <c r="A3859" s="15">
        <v>46103.612357615741</v>
      </c>
      <c r="B3859" s="16">
        <v>46075</v>
      </c>
      <c r="C3859" s="2" t="s">
        <v>912</v>
      </c>
      <c r="D3859" s="2" t="s">
        <v>38</v>
      </c>
      <c r="E3859" s="2">
        <v>599</v>
      </c>
      <c r="F3859" s="2" t="s">
        <v>102</v>
      </c>
      <c r="G3859" s="2" t="s">
        <v>356</v>
      </c>
      <c r="H3859" s="2" t="s">
        <v>35</v>
      </c>
    </row>
    <row r="3860" spans="1:8" ht="13" hidden="1">
      <c r="A3860" s="15">
        <v>46096.472947824077</v>
      </c>
      <c r="B3860" s="16">
        <v>46075</v>
      </c>
      <c r="C3860" s="2" t="s">
        <v>116</v>
      </c>
      <c r="D3860" s="2" t="s">
        <v>38</v>
      </c>
      <c r="E3860" s="2">
        <v>472</v>
      </c>
      <c r="F3860" s="2" t="s">
        <v>100</v>
      </c>
      <c r="G3860" s="2" t="s">
        <v>652</v>
      </c>
      <c r="H3860" s="2" t="s">
        <v>35</v>
      </c>
    </row>
    <row r="3861" spans="1:8" ht="13" hidden="1">
      <c r="A3861" s="15">
        <v>46081.691619652775</v>
      </c>
      <c r="B3861" s="16">
        <v>46075</v>
      </c>
      <c r="C3861" s="2" t="s">
        <v>1417</v>
      </c>
      <c r="D3861" s="2" t="s">
        <v>38</v>
      </c>
      <c r="E3861" s="2">
        <v>2480</v>
      </c>
      <c r="F3861" s="2" t="s">
        <v>100</v>
      </c>
      <c r="G3861" s="2" t="s">
        <v>129</v>
      </c>
      <c r="H3861" s="2" t="s">
        <v>35</v>
      </c>
    </row>
    <row r="3862" spans="1:8" ht="13" hidden="1">
      <c r="A3862" s="15">
        <v>46081.6924674537</v>
      </c>
      <c r="B3862" s="16">
        <v>46075</v>
      </c>
      <c r="C3862" s="2" t="s">
        <v>240</v>
      </c>
      <c r="D3862" s="2" t="s">
        <v>42</v>
      </c>
      <c r="E3862" s="2">
        <v>990</v>
      </c>
      <c r="F3862" s="2" t="s">
        <v>100</v>
      </c>
      <c r="H3862" s="2" t="s">
        <v>35</v>
      </c>
    </row>
    <row r="3863" spans="1:8" ht="13" hidden="1">
      <c r="A3863" s="15">
        <v>46081.692740844912</v>
      </c>
      <c r="B3863" s="16">
        <v>46075</v>
      </c>
      <c r="C3863" s="2" t="s">
        <v>350</v>
      </c>
      <c r="D3863" s="2" t="s">
        <v>40</v>
      </c>
      <c r="E3863" s="2">
        <v>2000</v>
      </c>
      <c r="F3863" s="2" t="s">
        <v>100</v>
      </c>
      <c r="H3863" s="2" t="s">
        <v>35</v>
      </c>
    </row>
    <row r="3864" spans="1:8" ht="13" hidden="1">
      <c r="A3864" s="15">
        <v>46103.612650821757</v>
      </c>
      <c r="B3864" s="16">
        <v>46076</v>
      </c>
      <c r="C3864" s="2" t="s">
        <v>163</v>
      </c>
      <c r="D3864" s="2" t="s">
        <v>38</v>
      </c>
      <c r="E3864" s="2">
        <v>2060</v>
      </c>
      <c r="F3864" s="2" t="s">
        <v>102</v>
      </c>
      <c r="G3864" s="2" t="s">
        <v>164</v>
      </c>
      <c r="H3864" s="2" t="s">
        <v>35</v>
      </c>
    </row>
    <row r="3865" spans="1:8" ht="13" hidden="1">
      <c r="A3865" s="15">
        <v>46103.613033159723</v>
      </c>
      <c r="B3865" s="16">
        <v>46076</v>
      </c>
      <c r="C3865" s="2" t="s">
        <v>912</v>
      </c>
      <c r="D3865" s="2" t="s">
        <v>38</v>
      </c>
      <c r="E3865" s="2">
        <v>344</v>
      </c>
      <c r="F3865" s="2" t="s">
        <v>102</v>
      </c>
      <c r="G3865" s="2" t="s">
        <v>356</v>
      </c>
      <c r="H3865" s="2" t="s">
        <v>35</v>
      </c>
    </row>
    <row r="3866" spans="1:8" ht="13" hidden="1">
      <c r="A3866" s="15">
        <v>46103.613495462967</v>
      </c>
      <c r="B3866" s="16">
        <v>46078</v>
      </c>
      <c r="C3866" s="2" t="s">
        <v>114</v>
      </c>
      <c r="D3866" s="2" t="s">
        <v>38</v>
      </c>
      <c r="E3866" s="2">
        <v>178</v>
      </c>
      <c r="F3866" s="2" t="s">
        <v>102</v>
      </c>
      <c r="G3866" s="2" t="s">
        <v>356</v>
      </c>
      <c r="H3866" s="2" t="s">
        <v>35</v>
      </c>
    </row>
    <row r="3867" spans="1:8" ht="13" hidden="1">
      <c r="A3867" s="15">
        <v>46103.636242592591</v>
      </c>
      <c r="B3867" s="16">
        <v>46078</v>
      </c>
      <c r="C3867" s="2" t="s">
        <v>946</v>
      </c>
      <c r="E3867" s="2">
        <v>391979</v>
      </c>
      <c r="H3867" s="2" t="s">
        <v>34</v>
      </c>
    </row>
    <row r="3868" spans="1:8" ht="9" customHeight="1">
      <c r="A3868" s="15">
        <v>46103.613739166671</v>
      </c>
      <c r="B3868" s="16">
        <v>46079</v>
      </c>
      <c r="C3868" s="2" t="s">
        <v>242</v>
      </c>
      <c r="D3868" s="2" t="s">
        <v>38</v>
      </c>
      <c r="E3868" s="2">
        <v>670</v>
      </c>
      <c r="F3868" s="2" t="s">
        <v>102</v>
      </c>
      <c r="H3868" s="2" t="s">
        <v>35</v>
      </c>
    </row>
    <row r="3869" spans="1:8" ht="13" hidden="1">
      <c r="A3869" s="15">
        <v>46096.473240243053</v>
      </c>
      <c r="B3869" s="16">
        <v>46079</v>
      </c>
      <c r="C3869" s="2" t="s">
        <v>1418</v>
      </c>
      <c r="D3869" s="2" t="s">
        <v>39</v>
      </c>
      <c r="E3869" s="2">
        <v>9500</v>
      </c>
      <c r="F3869" s="2" t="s">
        <v>100</v>
      </c>
      <c r="H3869" s="2" t="s">
        <v>35</v>
      </c>
    </row>
    <row r="3870" spans="1:8" ht="13" hidden="1">
      <c r="A3870" s="15">
        <v>46096.473783148147</v>
      </c>
      <c r="B3870" s="16">
        <v>46079</v>
      </c>
      <c r="C3870" s="2" t="s">
        <v>308</v>
      </c>
      <c r="D3870" s="2" t="s">
        <v>40</v>
      </c>
      <c r="E3870" s="2">
        <v>13690</v>
      </c>
      <c r="F3870" s="2" t="s">
        <v>100</v>
      </c>
      <c r="H3870" s="2" t="s">
        <v>35</v>
      </c>
    </row>
    <row r="3871" spans="1:8" ht="9" customHeight="1">
      <c r="A3871" s="15">
        <v>46103.637094363425</v>
      </c>
      <c r="B3871" s="16">
        <v>46079</v>
      </c>
      <c r="C3871" s="2" t="s">
        <v>11</v>
      </c>
      <c r="D3871" s="2" t="s">
        <v>47</v>
      </c>
      <c r="E3871" s="2">
        <v>40000</v>
      </c>
      <c r="F3871" s="2" t="s">
        <v>102</v>
      </c>
      <c r="H3871" s="2" t="s">
        <v>35</v>
      </c>
    </row>
    <row r="3872" spans="1:8" ht="9" customHeight="1">
      <c r="A3872" s="15">
        <v>46103.613965011573</v>
      </c>
      <c r="B3872" s="16">
        <v>46079</v>
      </c>
      <c r="C3872" s="2" t="s">
        <v>1397</v>
      </c>
      <c r="E3872" s="2">
        <v>5000</v>
      </c>
      <c r="H3872" s="2" t="s">
        <v>34</v>
      </c>
    </row>
    <row r="3873" spans="1:8" ht="9" customHeight="1">
      <c r="A3873" s="15">
        <v>46103.614360370368</v>
      </c>
      <c r="B3873" s="16">
        <v>46080</v>
      </c>
      <c r="C3873" s="2" t="s">
        <v>112</v>
      </c>
      <c r="D3873" s="2" t="s">
        <v>52</v>
      </c>
      <c r="E3873" s="2">
        <v>280</v>
      </c>
      <c r="F3873" s="2" t="s">
        <v>102</v>
      </c>
      <c r="G3873" s="2" t="s">
        <v>113</v>
      </c>
      <c r="H3873" s="2" t="s">
        <v>35</v>
      </c>
    </row>
    <row r="3874" spans="1:8" ht="13" hidden="1">
      <c r="A3874" s="15">
        <v>46096.474101550921</v>
      </c>
      <c r="B3874" s="16">
        <v>46080</v>
      </c>
      <c r="C3874" s="2" t="s">
        <v>368</v>
      </c>
      <c r="D3874" s="2" t="s">
        <v>53</v>
      </c>
      <c r="E3874" s="2">
        <v>1180</v>
      </c>
      <c r="F3874" s="2" t="s">
        <v>100</v>
      </c>
      <c r="H3874" s="2" t="s">
        <v>35</v>
      </c>
    </row>
    <row r="3875" spans="1:8" ht="13" hidden="1">
      <c r="A3875" s="15">
        <v>46096.474359479165</v>
      </c>
      <c r="B3875" s="16">
        <v>46080</v>
      </c>
      <c r="C3875" s="2" t="s">
        <v>240</v>
      </c>
      <c r="D3875" s="2" t="s">
        <v>42</v>
      </c>
      <c r="E3875" s="2">
        <v>990</v>
      </c>
      <c r="F3875" s="2" t="s">
        <v>100</v>
      </c>
      <c r="H3875" s="2" t="s">
        <v>35</v>
      </c>
    </row>
    <row r="3876" spans="1:8" ht="13" hidden="1">
      <c r="A3876" s="15">
        <v>46096.474729178241</v>
      </c>
      <c r="B3876" s="16">
        <v>46080</v>
      </c>
      <c r="C3876" s="2" t="s">
        <v>350</v>
      </c>
      <c r="D3876" s="2" t="s">
        <v>40</v>
      </c>
      <c r="E3876" s="2">
        <v>2000</v>
      </c>
      <c r="F3876" s="2" t="s">
        <v>100</v>
      </c>
      <c r="H3876" s="2" t="s">
        <v>35</v>
      </c>
    </row>
    <row r="3877" spans="1:8" ht="9" customHeight="1">
      <c r="A3877" s="15">
        <v>46103.631909490738</v>
      </c>
      <c r="B3877" s="16">
        <v>46080</v>
      </c>
      <c r="C3877" s="2" t="s">
        <v>106</v>
      </c>
      <c r="D3877" s="2" t="s">
        <v>52</v>
      </c>
      <c r="E3877" s="2">
        <v>1400</v>
      </c>
      <c r="F3877" s="2" t="s">
        <v>102</v>
      </c>
      <c r="G3877" s="2" t="s">
        <v>1419</v>
      </c>
      <c r="H3877" s="2" t="s">
        <v>35</v>
      </c>
    </row>
    <row r="3878" spans="1:8" ht="13" hidden="1">
      <c r="A3878" s="15">
        <v>46103.631267326389</v>
      </c>
      <c r="B3878" s="16">
        <v>46080</v>
      </c>
      <c r="C3878" s="2" t="s">
        <v>1420</v>
      </c>
      <c r="D3878" s="2" t="s">
        <v>39</v>
      </c>
      <c r="E3878" s="2">
        <v>5000</v>
      </c>
      <c r="F3878" s="2" t="s">
        <v>100</v>
      </c>
      <c r="H3878" s="2" t="s">
        <v>35</v>
      </c>
    </row>
    <row r="3879" spans="1:8" ht="9" customHeight="1">
      <c r="A3879" s="15">
        <v>46103.637475706018</v>
      </c>
      <c r="B3879" s="16">
        <v>46080</v>
      </c>
      <c r="C3879" s="2" t="s">
        <v>9</v>
      </c>
      <c r="D3879" s="2" t="s">
        <v>47</v>
      </c>
      <c r="E3879" s="2">
        <v>13600</v>
      </c>
      <c r="F3879" s="2" t="s">
        <v>102</v>
      </c>
      <c r="H3879" s="2" t="s">
        <v>35</v>
      </c>
    </row>
    <row r="3880" spans="1:8" ht="9" customHeight="1">
      <c r="A3880" s="15">
        <v>46103.637768981484</v>
      </c>
      <c r="B3880" s="16">
        <v>46080</v>
      </c>
      <c r="C3880" s="2" t="s">
        <v>950</v>
      </c>
      <c r="D3880" s="2" t="s">
        <v>5</v>
      </c>
      <c r="E3880" s="2">
        <v>93000</v>
      </c>
      <c r="F3880" s="2" t="s">
        <v>102</v>
      </c>
      <c r="H3880" s="2" t="s">
        <v>35</v>
      </c>
    </row>
    <row r="3881" spans="1:8" ht="9" customHeight="1">
      <c r="A3881" s="15">
        <v>46103.638161087962</v>
      </c>
      <c r="B3881" s="16">
        <v>46080</v>
      </c>
      <c r="C3881" s="2" t="s">
        <v>133</v>
      </c>
      <c r="D3881" s="2" t="s">
        <v>47</v>
      </c>
      <c r="E3881" s="2">
        <v>28000</v>
      </c>
      <c r="F3881" s="2" t="s">
        <v>102</v>
      </c>
      <c r="H3881" s="2" t="s">
        <v>35</v>
      </c>
    </row>
    <row r="3882" spans="1:8" ht="9" customHeight="1">
      <c r="A3882" s="15">
        <v>46103.638469664351</v>
      </c>
      <c r="B3882" s="16">
        <v>46080</v>
      </c>
      <c r="C3882" s="2" t="s">
        <v>408</v>
      </c>
      <c r="D3882" s="2" t="s">
        <v>152</v>
      </c>
      <c r="E3882" s="2">
        <v>20000</v>
      </c>
      <c r="F3882" s="2" t="s">
        <v>102</v>
      </c>
      <c r="H3882" s="2" t="s">
        <v>35</v>
      </c>
    </row>
    <row r="3883" spans="1:8" ht="13" hidden="1">
      <c r="A3883" s="15">
        <v>46096.475066458333</v>
      </c>
      <c r="B3883" s="16">
        <v>46081</v>
      </c>
      <c r="C3883" s="2" t="s">
        <v>158</v>
      </c>
      <c r="D3883" s="2" t="s">
        <v>49</v>
      </c>
      <c r="E3883" s="2">
        <v>4980</v>
      </c>
      <c r="F3883" s="2" t="s">
        <v>100</v>
      </c>
      <c r="H3883" s="2" t="s">
        <v>35</v>
      </c>
    </row>
    <row r="3884" spans="1:8" ht="9" customHeight="1">
      <c r="A3884" s="15">
        <v>46103.614641018517</v>
      </c>
      <c r="B3884" s="16">
        <v>46081</v>
      </c>
      <c r="C3884" s="2" t="s">
        <v>436</v>
      </c>
      <c r="D3884" s="2" t="s">
        <v>38</v>
      </c>
      <c r="E3884" s="2">
        <v>185</v>
      </c>
      <c r="F3884" s="2" t="s">
        <v>102</v>
      </c>
      <c r="G3884" s="2" t="s">
        <v>356</v>
      </c>
      <c r="H3884" s="2" t="s">
        <v>35</v>
      </c>
    </row>
    <row r="3885" spans="1:8" ht="9" customHeight="1">
      <c r="A3885" s="15">
        <v>46103.614914409722</v>
      </c>
      <c r="B3885" s="16">
        <v>46081</v>
      </c>
      <c r="C3885" s="2" t="s">
        <v>114</v>
      </c>
      <c r="D3885" s="2" t="s">
        <v>38</v>
      </c>
      <c r="E3885" s="2">
        <v>368</v>
      </c>
      <c r="F3885" s="2" t="s">
        <v>102</v>
      </c>
      <c r="H3885" s="2" t="s">
        <v>35</v>
      </c>
    </row>
    <row r="3886" spans="1:8" ht="9" customHeight="1">
      <c r="A3886" s="15">
        <v>46103.615458067128</v>
      </c>
      <c r="B3886" s="16">
        <v>46081</v>
      </c>
      <c r="C3886" s="2" t="s">
        <v>105</v>
      </c>
      <c r="D3886" s="2" t="s">
        <v>40</v>
      </c>
      <c r="E3886" s="2">
        <v>3400</v>
      </c>
      <c r="F3886" s="2" t="s">
        <v>102</v>
      </c>
      <c r="H3886" s="2" t="s">
        <v>35</v>
      </c>
    </row>
    <row r="3887" spans="1:8" ht="13" hidden="1">
      <c r="A3887" s="15">
        <v>46096.475322256942</v>
      </c>
      <c r="B3887" s="16">
        <v>46082</v>
      </c>
      <c r="C3887" s="2" t="s">
        <v>248</v>
      </c>
      <c r="D3887" s="2" t="s">
        <v>49</v>
      </c>
      <c r="E3887" s="2">
        <v>700</v>
      </c>
      <c r="F3887" s="2" t="s">
        <v>100</v>
      </c>
      <c r="G3887" s="2" t="s">
        <v>179</v>
      </c>
      <c r="H3887" s="2" t="s">
        <v>35</v>
      </c>
    </row>
    <row r="3888" spans="1:8" ht="13" hidden="1">
      <c r="A3888" s="15">
        <v>46096.475558773149</v>
      </c>
      <c r="B3888" s="16">
        <v>46082</v>
      </c>
      <c r="C3888" s="2" t="s">
        <v>10</v>
      </c>
      <c r="D3888" s="2" t="s">
        <v>45</v>
      </c>
      <c r="E3888" s="2">
        <v>360</v>
      </c>
      <c r="F3888" s="2" t="s">
        <v>100</v>
      </c>
      <c r="H3888" s="2" t="s">
        <v>35</v>
      </c>
    </row>
    <row r="3889" spans="1:8" ht="13" hidden="1">
      <c r="A3889" s="15">
        <v>46096.475857650468</v>
      </c>
      <c r="B3889" s="16">
        <v>46082</v>
      </c>
      <c r="C3889" s="2" t="s">
        <v>1421</v>
      </c>
      <c r="D3889" s="2" t="s">
        <v>53</v>
      </c>
      <c r="E3889" s="2">
        <v>800</v>
      </c>
      <c r="F3889" s="2" t="s">
        <v>100</v>
      </c>
      <c r="H3889" s="2" t="s">
        <v>35</v>
      </c>
    </row>
    <row r="3890" spans="1:8" ht="13" hidden="1">
      <c r="A3890" s="15">
        <v>46096.47648302083</v>
      </c>
      <c r="B3890" s="16">
        <v>46082</v>
      </c>
      <c r="C3890" s="2" t="s">
        <v>116</v>
      </c>
      <c r="D3890" s="2" t="s">
        <v>38</v>
      </c>
      <c r="E3890" s="2">
        <v>4021</v>
      </c>
      <c r="F3890" s="2" t="s">
        <v>100</v>
      </c>
      <c r="G3890" s="2" t="s">
        <v>652</v>
      </c>
      <c r="H3890" s="2" t="s">
        <v>35</v>
      </c>
    </row>
    <row r="3891" spans="1:8" ht="9" customHeight="1">
      <c r="A3891" s="15">
        <v>46103.615821967593</v>
      </c>
      <c r="B3891" s="16">
        <v>46082</v>
      </c>
      <c r="C3891" s="2" t="s">
        <v>112</v>
      </c>
      <c r="D3891" s="2" t="s">
        <v>38</v>
      </c>
      <c r="E3891" s="2">
        <v>170</v>
      </c>
      <c r="F3891" s="2" t="s">
        <v>102</v>
      </c>
      <c r="G3891" s="2" t="s">
        <v>103</v>
      </c>
      <c r="H3891" s="2" t="s">
        <v>35</v>
      </c>
    </row>
    <row r="3892" spans="1:8" ht="9" customHeight="1">
      <c r="A3892" s="15">
        <v>46103.616240752315</v>
      </c>
      <c r="B3892" s="16">
        <v>46082</v>
      </c>
      <c r="C3892" s="2" t="s">
        <v>715</v>
      </c>
      <c r="D3892" s="2" t="s">
        <v>45</v>
      </c>
      <c r="E3892" s="2">
        <v>3020</v>
      </c>
      <c r="F3892" s="2" t="s">
        <v>102</v>
      </c>
      <c r="G3892" s="2" t="s">
        <v>285</v>
      </c>
      <c r="H3892" s="2" t="s">
        <v>35</v>
      </c>
    </row>
    <row r="3893" spans="1:8" ht="9" customHeight="1">
      <c r="A3893" s="15">
        <v>46103.616695833334</v>
      </c>
      <c r="B3893" s="16">
        <v>46082</v>
      </c>
      <c r="C3893" s="2" t="s">
        <v>912</v>
      </c>
      <c r="D3893" s="2" t="s">
        <v>38</v>
      </c>
      <c r="E3893" s="2">
        <v>844</v>
      </c>
      <c r="F3893" s="2" t="s">
        <v>102</v>
      </c>
      <c r="G3893" s="2" t="s">
        <v>356</v>
      </c>
      <c r="H3893" s="2" t="s">
        <v>35</v>
      </c>
    </row>
    <row r="3894" spans="1:8" ht="13" hidden="1">
      <c r="A3894" s="15">
        <v>46096.476959259264</v>
      </c>
      <c r="B3894" s="16">
        <v>46083</v>
      </c>
      <c r="C3894" s="2" t="s">
        <v>1422</v>
      </c>
      <c r="D3894" s="2" t="s">
        <v>41</v>
      </c>
      <c r="E3894" s="2">
        <v>8018</v>
      </c>
      <c r="F3894" s="2" t="s">
        <v>100</v>
      </c>
      <c r="H3894" s="2" t="s">
        <v>35</v>
      </c>
    </row>
    <row r="3895" spans="1:8" ht="13" hidden="1">
      <c r="A3895" s="15">
        <v>46096.477237256942</v>
      </c>
      <c r="B3895" s="16">
        <v>46085</v>
      </c>
      <c r="C3895" s="2" t="s">
        <v>1127</v>
      </c>
      <c r="D3895" s="2" t="s">
        <v>152</v>
      </c>
      <c r="E3895" s="2">
        <v>1155</v>
      </c>
      <c r="F3895" s="2" t="s">
        <v>100</v>
      </c>
      <c r="H3895" s="2" t="s">
        <v>35</v>
      </c>
    </row>
    <row r="3896" spans="1:8" ht="13" hidden="1">
      <c r="A3896" s="15">
        <v>46096.477571284719</v>
      </c>
      <c r="B3896" s="16">
        <v>46085</v>
      </c>
      <c r="C3896" s="2" t="s">
        <v>1423</v>
      </c>
      <c r="D3896" s="2" t="s">
        <v>45</v>
      </c>
      <c r="E3896" s="2">
        <v>1000</v>
      </c>
      <c r="F3896" s="2" t="s">
        <v>100</v>
      </c>
      <c r="H3896" s="2" t="s">
        <v>35</v>
      </c>
    </row>
    <row r="3897" spans="1:8" ht="13" hidden="1">
      <c r="A3897" s="15">
        <v>46096.477913194445</v>
      </c>
      <c r="B3897" s="16">
        <v>46085</v>
      </c>
      <c r="C3897" s="2" t="s">
        <v>240</v>
      </c>
      <c r="D3897" s="2" t="s">
        <v>42</v>
      </c>
      <c r="E3897" s="2">
        <v>990</v>
      </c>
      <c r="F3897" s="2" t="s">
        <v>100</v>
      </c>
      <c r="H3897" s="2" t="s">
        <v>35</v>
      </c>
    </row>
    <row r="3898" spans="1:8" ht="9" customHeight="1">
      <c r="A3898" s="15">
        <v>46103.617029687499</v>
      </c>
      <c r="B3898" s="16">
        <v>46085</v>
      </c>
      <c r="C3898" s="2" t="s">
        <v>912</v>
      </c>
      <c r="D3898" s="2" t="s">
        <v>38</v>
      </c>
      <c r="E3898" s="2">
        <v>537</v>
      </c>
      <c r="F3898" s="2" t="s">
        <v>102</v>
      </c>
      <c r="G3898" s="2" t="s">
        <v>356</v>
      </c>
      <c r="H3898" s="2" t="s">
        <v>35</v>
      </c>
    </row>
    <row r="3899" spans="1:8" ht="9" customHeight="1">
      <c r="A3899" s="15">
        <v>46103.617306666667</v>
      </c>
      <c r="B3899" s="16">
        <v>46085</v>
      </c>
      <c r="C3899" s="2" t="s">
        <v>114</v>
      </c>
      <c r="D3899" s="2" t="s">
        <v>38</v>
      </c>
      <c r="E3899" s="2">
        <v>205</v>
      </c>
      <c r="F3899" s="2" t="s">
        <v>102</v>
      </c>
      <c r="G3899" s="2" t="s">
        <v>103</v>
      </c>
      <c r="H3899" s="2" t="s">
        <v>35</v>
      </c>
    </row>
    <row r="3900" spans="1:8" ht="9" customHeight="1">
      <c r="A3900" s="15">
        <v>46103.617614780094</v>
      </c>
      <c r="B3900" s="16">
        <v>46085</v>
      </c>
      <c r="C3900" s="2" t="s">
        <v>1424</v>
      </c>
      <c r="D3900" s="2" t="s">
        <v>39</v>
      </c>
      <c r="E3900" s="2">
        <v>4530</v>
      </c>
      <c r="F3900" s="2" t="s">
        <v>102</v>
      </c>
      <c r="H3900" s="2" t="s">
        <v>35</v>
      </c>
    </row>
    <row r="3901" spans="1:8" ht="9" customHeight="1">
      <c r="A3901" s="15">
        <v>46103.617914386574</v>
      </c>
      <c r="B3901" s="16">
        <v>46085</v>
      </c>
      <c r="C3901" s="2" t="s">
        <v>1207</v>
      </c>
      <c r="D3901" s="2" t="s">
        <v>38</v>
      </c>
      <c r="E3901" s="2">
        <v>194</v>
      </c>
      <c r="F3901" s="2" t="s">
        <v>102</v>
      </c>
      <c r="G3901" s="2" t="s">
        <v>103</v>
      </c>
      <c r="H3901" s="2" t="s">
        <v>35</v>
      </c>
    </row>
    <row r="3902" spans="1:8" hidden="1">
      <c r="A3902" s="15">
        <v>46096.478348159726</v>
      </c>
      <c r="B3902" s="16">
        <v>46086</v>
      </c>
      <c r="C3902" s="2" t="s">
        <v>1425</v>
      </c>
      <c r="D3902" s="2" t="s">
        <v>38</v>
      </c>
      <c r="E3902" s="2">
        <v>1436</v>
      </c>
      <c r="F3902" s="2" t="s">
        <v>100</v>
      </c>
      <c r="G3902" s="2" t="s">
        <v>129</v>
      </c>
      <c r="H3902" s="2" t="s">
        <v>35</v>
      </c>
    </row>
    <row r="3903" spans="1:8" ht="9" customHeight="1">
      <c r="A3903" s="15">
        <v>46103.618258344912</v>
      </c>
      <c r="B3903" s="16">
        <v>46086</v>
      </c>
      <c r="C3903" s="2" t="s">
        <v>45</v>
      </c>
      <c r="D3903" s="2" t="s">
        <v>45</v>
      </c>
      <c r="E3903" s="2">
        <v>992</v>
      </c>
      <c r="F3903" s="2" t="s">
        <v>102</v>
      </c>
      <c r="G3903" s="2" t="s">
        <v>285</v>
      </c>
      <c r="H3903" s="2" t="s">
        <v>35</v>
      </c>
    </row>
    <row r="3904" spans="1:8" ht="9" customHeight="1">
      <c r="A3904" s="15">
        <v>46103.632687500001</v>
      </c>
      <c r="B3904" s="16">
        <v>46086</v>
      </c>
      <c r="C3904" s="2" t="s">
        <v>845</v>
      </c>
      <c r="D3904" s="2" t="s">
        <v>38</v>
      </c>
      <c r="E3904" s="2">
        <v>500</v>
      </c>
      <c r="F3904" s="2" t="s">
        <v>102</v>
      </c>
      <c r="H3904" s="2" t="s">
        <v>35</v>
      </c>
    </row>
    <row r="3905" spans="1:8" ht="9" customHeight="1">
      <c r="A3905" s="15">
        <v>46096.478669282413</v>
      </c>
      <c r="B3905" s="16">
        <v>46087</v>
      </c>
      <c r="C3905" s="2" t="s">
        <v>350</v>
      </c>
      <c r="D3905" s="2" t="s">
        <v>40</v>
      </c>
      <c r="E3905" s="2">
        <v>2000</v>
      </c>
      <c r="F3905" s="2" t="s">
        <v>100</v>
      </c>
      <c r="H3905" s="2" t="s">
        <v>35</v>
      </c>
    </row>
    <row r="3906" spans="1:8" ht="9" customHeight="1">
      <c r="A3906" s="15">
        <v>46087.965771631949</v>
      </c>
      <c r="B3906" s="16">
        <v>46087</v>
      </c>
      <c r="C3906" s="2" t="s">
        <v>1426</v>
      </c>
      <c r="D3906" s="2" t="s">
        <v>39</v>
      </c>
      <c r="E3906" s="2">
        <v>5000</v>
      </c>
      <c r="F3906" s="2" t="s">
        <v>102</v>
      </c>
      <c r="H3906" s="2" t="s">
        <v>35</v>
      </c>
    </row>
    <row r="3907" spans="1:8" ht="9" customHeight="1">
      <c r="A3907" s="15">
        <v>46103.618553587963</v>
      </c>
      <c r="B3907" s="16">
        <v>46087</v>
      </c>
      <c r="C3907" s="2" t="s">
        <v>112</v>
      </c>
      <c r="D3907" s="2" t="s">
        <v>38</v>
      </c>
      <c r="E3907" s="2">
        <v>181</v>
      </c>
      <c r="F3907" s="2" t="s">
        <v>102</v>
      </c>
      <c r="G3907" s="2" t="s">
        <v>103</v>
      </c>
      <c r="H3907" s="2" t="s">
        <v>35</v>
      </c>
    </row>
    <row r="3908" spans="1:8" ht="9" customHeight="1">
      <c r="A3908" s="15">
        <v>46103.619203287039</v>
      </c>
      <c r="B3908" s="16">
        <v>46087</v>
      </c>
      <c r="C3908" s="2" t="s">
        <v>895</v>
      </c>
      <c r="D3908" s="2" t="s">
        <v>39</v>
      </c>
      <c r="E3908" s="2">
        <v>9700</v>
      </c>
      <c r="F3908" s="2" t="s">
        <v>102</v>
      </c>
      <c r="H3908" s="2" t="s">
        <v>35</v>
      </c>
    </row>
    <row r="3909" spans="1:8" ht="9" customHeight="1">
      <c r="A3909" s="15">
        <v>46103.61949125</v>
      </c>
      <c r="B3909" s="16">
        <v>46087</v>
      </c>
      <c r="C3909" s="2" t="s">
        <v>398</v>
      </c>
      <c r="D3909" s="2" t="s">
        <v>38</v>
      </c>
      <c r="E3909" s="2">
        <v>127</v>
      </c>
      <c r="F3909" s="2" t="s">
        <v>102</v>
      </c>
      <c r="G3909" s="2" t="s">
        <v>356</v>
      </c>
      <c r="H3909" s="2" t="s">
        <v>35</v>
      </c>
    </row>
    <row r="3910" spans="1:8" ht="9" customHeight="1">
      <c r="A3910" s="15">
        <v>46103.634668125</v>
      </c>
      <c r="B3910" s="16">
        <v>46087</v>
      </c>
      <c r="C3910" s="2" t="s">
        <v>106</v>
      </c>
      <c r="D3910" s="2" t="s">
        <v>52</v>
      </c>
      <c r="E3910" s="2">
        <v>1000</v>
      </c>
      <c r="F3910" s="2" t="s">
        <v>102</v>
      </c>
      <c r="H3910" s="2" t="s">
        <v>35</v>
      </c>
    </row>
    <row r="3911" spans="1:8" ht="13" hidden="1">
      <c r="A3911" s="15">
        <v>46096.478940451387</v>
      </c>
      <c r="B3911" s="16">
        <v>46088</v>
      </c>
      <c r="C3911" s="2" t="s">
        <v>240</v>
      </c>
      <c r="D3911" s="2" t="s">
        <v>42</v>
      </c>
      <c r="E3911" s="2">
        <v>990</v>
      </c>
      <c r="F3911" s="2" t="s">
        <v>100</v>
      </c>
      <c r="H3911" s="2" t="s">
        <v>35</v>
      </c>
    </row>
    <row r="3912" spans="1:8" ht="13" hidden="1">
      <c r="A3912" s="15">
        <v>46096.479260057866</v>
      </c>
      <c r="B3912" s="16">
        <v>46088</v>
      </c>
      <c r="C3912" s="2" t="s">
        <v>116</v>
      </c>
      <c r="D3912" s="2" t="s">
        <v>38</v>
      </c>
      <c r="E3912" s="2">
        <v>1431</v>
      </c>
      <c r="F3912" s="2" t="s">
        <v>100</v>
      </c>
      <c r="G3912" s="2" t="s">
        <v>652</v>
      </c>
      <c r="H3912" s="2" t="s">
        <v>35</v>
      </c>
    </row>
    <row r="3913" spans="1:8" ht="9" customHeight="1">
      <c r="A3913" s="15">
        <v>46103.619933483795</v>
      </c>
      <c r="B3913" s="16">
        <v>46088</v>
      </c>
      <c r="C3913" s="2" t="s">
        <v>436</v>
      </c>
      <c r="D3913" s="2" t="s">
        <v>38</v>
      </c>
      <c r="E3913" s="2">
        <v>268</v>
      </c>
      <c r="F3913" s="2" t="s">
        <v>102</v>
      </c>
      <c r="G3913" s="2" t="s">
        <v>356</v>
      </c>
      <c r="H3913" s="2" t="s">
        <v>35</v>
      </c>
    </row>
    <row r="3914" spans="1:8" ht="9" customHeight="1">
      <c r="A3914" s="15">
        <v>46103.620377916668</v>
      </c>
      <c r="B3914" s="16">
        <v>46088</v>
      </c>
      <c r="C3914" s="2" t="s">
        <v>1427</v>
      </c>
      <c r="D3914" s="2" t="s">
        <v>45</v>
      </c>
      <c r="E3914" s="2">
        <v>990</v>
      </c>
      <c r="F3914" s="2" t="s">
        <v>102</v>
      </c>
      <c r="G3914" s="2" t="s">
        <v>343</v>
      </c>
      <c r="H3914" s="2" t="s">
        <v>35</v>
      </c>
    </row>
    <row r="3915" spans="1:8" ht="9" customHeight="1">
      <c r="A3915" s="15">
        <v>46103.62062400463</v>
      </c>
      <c r="B3915" s="16">
        <v>46088</v>
      </c>
      <c r="C3915" s="2" t="s">
        <v>912</v>
      </c>
      <c r="D3915" s="2" t="s">
        <v>38</v>
      </c>
      <c r="E3915" s="2">
        <v>343</v>
      </c>
      <c r="F3915" s="2" t="s">
        <v>102</v>
      </c>
      <c r="G3915" s="2" t="s">
        <v>103</v>
      </c>
      <c r="H3915" s="2" t="s">
        <v>35</v>
      </c>
    </row>
    <row r="3916" spans="1:8" ht="9" customHeight="1">
      <c r="A3916" s="15">
        <v>46103.621000891202</v>
      </c>
      <c r="B3916" s="16">
        <v>46088</v>
      </c>
      <c r="C3916" s="2" t="s">
        <v>1428</v>
      </c>
      <c r="D3916" s="2" t="s">
        <v>39</v>
      </c>
      <c r="E3916" s="2">
        <v>8540</v>
      </c>
      <c r="F3916" s="2" t="s">
        <v>102</v>
      </c>
      <c r="H3916" s="2" t="s">
        <v>35</v>
      </c>
    </row>
    <row r="3917" spans="1:8" ht="13" hidden="1">
      <c r="A3917" s="15">
        <v>46096.479608009264</v>
      </c>
      <c r="B3917" s="16">
        <v>46089</v>
      </c>
      <c r="C3917" s="2" t="s">
        <v>105</v>
      </c>
      <c r="D3917" s="2" t="s">
        <v>40</v>
      </c>
      <c r="E3917" s="2">
        <v>3100</v>
      </c>
      <c r="F3917" s="2" t="s">
        <v>100</v>
      </c>
      <c r="H3917" s="2" t="s">
        <v>35</v>
      </c>
    </row>
    <row r="3918" spans="1:8" ht="13" hidden="1">
      <c r="A3918" s="15">
        <v>46096.480092013888</v>
      </c>
      <c r="B3918" s="16">
        <v>46089</v>
      </c>
      <c r="C3918" s="2" t="s">
        <v>12</v>
      </c>
      <c r="D3918" s="2" t="s">
        <v>53</v>
      </c>
      <c r="E3918" s="2">
        <v>1520</v>
      </c>
      <c r="F3918" s="2" t="s">
        <v>100</v>
      </c>
      <c r="H3918" s="2" t="s">
        <v>35</v>
      </c>
    </row>
    <row r="3919" spans="1:8" ht="13" hidden="1">
      <c r="A3919" s="15">
        <v>46096.480469826391</v>
      </c>
      <c r="B3919" s="16">
        <v>46089</v>
      </c>
      <c r="C3919" s="2" t="s">
        <v>116</v>
      </c>
      <c r="D3919" s="2" t="s">
        <v>38</v>
      </c>
      <c r="E3919" s="2">
        <v>1788</v>
      </c>
      <c r="F3919" s="2" t="s">
        <v>100</v>
      </c>
      <c r="G3919" s="2" t="s">
        <v>652</v>
      </c>
      <c r="H3919" s="2" t="s">
        <v>35</v>
      </c>
    </row>
    <row r="3920" spans="1:8" ht="13" hidden="1">
      <c r="A3920" s="15">
        <v>46096.480759143524</v>
      </c>
      <c r="B3920" s="16">
        <v>46089</v>
      </c>
      <c r="C3920" s="2" t="s">
        <v>654</v>
      </c>
      <c r="D3920" s="2" t="s">
        <v>48</v>
      </c>
      <c r="E3920" s="2">
        <v>150</v>
      </c>
      <c r="F3920" s="2" t="s">
        <v>100</v>
      </c>
      <c r="H3920" s="2" t="s">
        <v>35</v>
      </c>
    </row>
    <row r="3921" spans="1:8" ht="9" customHeight="1">
      <c r="A3921" s="15">
        <v>46103.621275740741</v>
      </c>
      <c r="B3921" s="16">
        <v>46089</v>
      </c>
      <c r="C3921" s="2" t="s">
        <v>1429</v>
      </c>
      <c r="D3921" s="2" t="s">
        <v>39</v>
      </c>
      <c r="E3921" s="2">
        <v>3000</v>
      </c>
      <c r="F3921" s="2" t="s">
        <v>102</v>
      </c>
      <c r="H3921" s="2" t="s">
        <v>35</v>
      </c>
    </row>
    <row r="3922" spans="1:8" ht="9" customHeight="1">
      <c r="A3922" s="15">
        <v>46103.621932662034</v>
      </c>
      <c r="B3922" s="16">
        <v>46089</v>
      </c>
      <c r="C3922" s="2" t="s">
        <v>398</v>
      </c>
      <c r="D3922" s="2" t="s">
        <v>38</v>
      </c>
      <c r="E3922" s="2">
        <v>160</v>
      </c>
      <c r="F3922" s="2" t="s">
        <v>102</v>
      </c>
      <c r="H3922" s="2" t="s">
        <v>35</v>
      </c>
    </row>
    <row r="3923" spans="1:8" ht="9" customHeight="1">
      <c r="A3923" s="15">
        <v>46103.622370023149</v>
      </c>
      <c r="B3923" s="16">
        <v>46089</v>
      </c>
      <c r="C3923" s="2" t="s">
        <v>1430</v>
      </c>
      <c r="D3923" s="2" t="s">
        <v>39</v>
      </c>
      <c r="E3923" s="2">
        <v>1960</v>
      </c>
      <c r="F3923" s="2" t="s">
        <v>102</v>
      </c>
      <c r="H3923" s="2" t="s">
        <v>35</v>
      </c>
    </row>
    <row r="3924" spans="1:8" ht="9" customHeight="1">
      <c r="A3924" s="15">
        <v>46103.622679340275</v>
      </c>
      <c r="B3924" s="16">
        <v>46089</v>
      </c>
      <c r="C3924" s="2" t="s">
        <v>1431</v>
      </c>
      <c r="D3924" s="2" t="s">
        <v>39</v>
      </c>
      <c r="E3924" s="2">
        <v>1180</v>
      </c>
      <c r="F3924" s="2" t="s">
        <v>102</v>
      </c>
      <c r="H3924" s="2" t="s">
        <v>35</v>
      </c>
    </row>
    <row r="3925" spans="1:8" ht="13" hidden="1">
      <c r="A3925" s="15">
        <v>46096.481371643516</v>
      </c>
      <c r="B3925" s="16">
        <v>46090</v>
      </c>
      <c r="C3925" s="2" t="s">
        <v>1432</v>
      </c>
      <c r="D3925" s="2" t="s">
        <v>39</v>
      </c>
      <c r="E3925" s="2">
        <v>18150</v>
      </c>
      <c r="F3925" s="2" t="s">
        <v>100</v>
      </c>
      <c r="H3925" s="2" t="s">
        <v>35</v>
      </c>
    </row>
    <row r="3926" spans="1:8" ht="13" hidden="1">
      <c r="A3926" s="15">
        <v>46096.481626134264</v>
      </c>
      <c r="B3926" s="16">
        <v>46090</v>
      </c>
      <c r="C3926" s="2" t="s">
        <v>105</v>
      </c>
      <c r="D3926" s="2" t="s">
        <v>40</v>
      </c>
      <c r="E3926" s="2">
        <v>4100</v>
      </c>
      <c r="F3926" s="2" t="s">
        <v>100</v>
      </c>
      <c r="H3926" s="2" t="s">
        <v>35</v>
      </c>
    </row>
    <row r="3927" spans="1:8" ht="13" hidden="1">
      <c r="A3927" s="15">
        <v>46096.481966851847</v>
      </c>
      <c r="B3927" s="16">
        <v>46090</v>
      </c>
      <c r="C3927" s="2" t="s">
        <v>15</v>
      </c>
      <c r="D3927" s="2" t="s">
        <v>48</v>
      </c>
      <c r="E3927" s="2">
        <v>880</v>
      </c>
      <c r="F3927" s="2" t="s">
        <v>100</v>
      </c>
      <c r="H3927" s="2" t="s">
        <v>35</v>
      </c>
    </row>
    <row r="3928" spans="1:8" ht="13" hidden="1">
      <c r="A3928" s="15">
        <v>46096.482452314813</v>
      </c>
      <c r="B3928" s="16">
        <v>46091</v>
      </c>
      <c r="C3928" s="2" t="s">
        <v>884</v>
      </c>
      <c r="D3928" s="2" t="s">
        <v>38</v>
      </c>
      <c r="E3928" s="2">
        <v>204</v>
      </c>
      <c r="F3928" s="2" t="s">
        <v>100</v>
      </c>
      <c r="G3928" s="2" t="s">
        <v>1032</v>
      </c>
      <c r="H3928" s="2" t="s">
        <v>35</v>
      </c>
    </row>
    <row r="3929" spans="1:8" ht="13" hidden="1">
      <c r="A3929" s="15">
        <v>46096.482793854171</v>
      </c>
      <c r="B3929" s="16">
        <v>46091</v>
      </c>
      <c r="C3929" s="2" t="s">
        <v>240</v>
      </c>
      <c r="D3929" s="2" t="s">
        <v>42</v>
      </c>
      <c r="E3929" s="2">
        <v>990</v>
      </c>
      <c r="F3929" s="2" t="s">
        <v>100</v>
      </c>
      <c r="H3929" s="2" t="s">
        <v>35</v>
      </c>
    </row>
    <row r="3930" spans="1:8" ht="9" customHeight="1">
      <c r="A3930" s="15">
        <v>46103.623137939816</v>
      </c>
      <c r="B3930" s="16">
        <v>46091</v>
      </c>
      <c r="C3930" s="2" t="s">
        <v>436</v>
      </c>
      <c r="D3930" s="2" t="s">
        <v>38</v>
      </c>
      <c r="E3930" s="2">
        <v>198</v>
      </c>
      <c r="F3930" s="2" t="s">
        <v>102</v>
      </c>
      <c r="G3930" s="2" t="s">
        <v>356</v>
      </c>
      <c r="H3930" s="2" t="s">
        <v>35</v>
      </c>
    </row>
    <row r="3931" spans="1:8" ht="13" hidden="1">
      <c r="A3931" s="15">
        <v>46096.483047604168</v>
      </c>
      <c r="B3931" s="16">
        <v>46092</v>
      </c>
      <c r="C3931" s="2" t="s">
        <v>18</v>
      </c>
      <c r="D3931" s="2" t="s">
        <v>41</v>
      </c>
      <c r="E3931" s="2">
        <v>5868</v>
      </c>
      <c r="F3931" s="2" t="s">
        <v>100</v>
      </c>
      <c r="H3931" s="2" t="s">
        <v>35</v>
      </c>
    </row>
    <row r="3932" spans="1:8" ht="9" customHeight="1">
      <c r="A3932" s="15">
        <v>46103.623416481481</v>
      </c>
      <c r="B3932" s="16">
        <v>46092</v>
      </c>
      <c r="C3932" s="2" t="s">
        <v>674</v>
      </c>
      <c r="D3932" s="2" t="s">
        <v>52</v>
      </c>
      <c r="E3932" s="2">
        <v>3050</v>
      </c>
      <c r="F3932" s="2" t="s">
        <v>102</v>
      </c>
      <c r="H3932" s="2" t="s">
        <v>35</v>
      </c>
    </row>
    <row r="3933" spans="1:8" ht="9" customHeight="1">
      <c r="A3933" s="15">
        <v>46103.636601122686</v>
      </c>
      <c r="B3933" s="16">
        <v>46092</v>
      </c>
      <c r="C3933" s="2" t="s">
        <v>258</v>
      </c>
      <c r="E3933" s="2">
        <v>13534</v>
      </c>
      <c r="H3933" s="2" t="s">
        <v>34</v>
      </c>
    </row>
    <row r="3934" spans="1:8" ht="9" customHeight="1">
      <c r="A3934" s="15">
        <v>46103.623811585647</v>
      </c>
      <c r="B3934" s="16">
        <v>46093</v>
      </c>
      <c r="C3934" s="2" t="s">
        <v>114</v>
      </c>
      <c r="D3934" s="2" t="s">
        <v>38</v>
      </c>
      <c r="E3934" s="2">
        <v>149</v>
      </c>
      <c r="F3934" s="2" t="s">
        <v>102</v>
      </c>
      <c r="G3934" s="2" t="s">
        <v>103</v>
      </c>
      <c r="H3934" s="2" t="s">
        <v>35</v>
      </c>
    </row>
    <row r="3935" spans="1:8" ht="9" customHeight="1">
      <c r="A3935" s="15">
        <v>46103.635287766199</v>
      </c>
      <c r="B3935" s="16">
        <v>46093</v>
      </c>
      <c r="C3935" s="2" t="s">
        <v>106</v>
      </c>
      <c r="D3935" s="2" t="s">
        <v>52</v>
      </c>
      <c r="E3935" s="2">
        <v>1800</v>
      </c>
      <c r="F3935" s="2" t="s">
        <v>102</v>
      </c>
      <c r="H3935" s="2" t="s">
        <v>35</v>
      </c>
    </row>
    <row r="3936" spans="1:8" ht="13" hidden="1">
      <c r="A3936" s="15">
        <v>46096.483337523146</v>
      </c>
      <c r="B3936" s="16">
        <v>46094</v>
      </c>
      <c r="C3936" s="2" t="s">
        <v>499</v>
      </c>
      <c r="D3936" s="2" t="s">
        <v>38</v>
      </c>
      <c r="E3936" s="2">
        <v>4731</v>
      </c>
      <c r="F3936" s="2" t="s">
        <v>100</v>
      </c>
      <c r="G3936" s="2" t="s">
        <v>129</v>
      </c>
      <c r="H3936" s="2" t="s">
        <v>35</v>
      </c>
    </row>
    <row r="3937" spans="1:8" ht="9" customHeight="1">
      <c r="A3937" s="15">
        <v>46103.624127268515</v>
      </c>
      <c r="B3937" s="16">
        <v>46094</v>
      </c>
      <c r="C3937" s="2" t="s">
        <v>106</v>
      </c>
      <c r="D3937" s="2" t="s">
        <v>52</v>
      </c>
      <c r="E3937" s="2">
        <v>1550</v>
      </c>
      <c r="F3937" s="2" t="s">
        <v>102</v>
      </c>
      <c r="G3937" s="2" t="s">
        <v>931</v>
      </c>
      <c r="H3937" s="2" t="s">
        <v>35</v>
      </c>
    </row>
    <row r="3938" spans="1:8" ht="9" customHeight="1">
      <c r="A3938" s="15">
        <v>46103.62438587963</v>
      </c>
      <c r="B3938" s="16">
        <v>46094</v>
      </c>
      <c r="C3938" s="2" t="s">
        <v>1433</v>
      </c>
      <c r="D3938" s="2" t="s">
        <v>39</v>
      </c>
      <c r="E3938" s="2">
        <v>3400</v>
      </c>
      <c r="F3938" s="2" t="s">
        <v>102</v>
      </c>
      <c r="H3938" s="2" t="s">
        <v>35</v>
      </c>
    </row>
    <row r="3939" spans="1:8" ht="13" hidden="1">
      <c r="A3939" s="15">
        <v>46102.877085023152</v>
      </c>
      <c r="B3939" s="16">
        <v>46095</v>
      </c>
      <c r="C3939" s="2" t="s">
        <v>1365</v>
      </c>
      <c r="D3939" s="2" t="s">
        <v>38</v>
      </c>
      <c r="E3939" s="2">
        <v>648</v>
      </c>
      <c r="F3939" s="2" t="s">
        <v>100</v>
      </c>
      <c r="G3939" s="2" t="s">
        <v>129</v>
      </c>
      <c r="H3939" s="2" t="s">
        <v>35</v>
      </c>
    </row>
    <row r="3940" spans="1:8" ht="13" hidden="1">
      <c r="A3940" s="15">
        <v>46102.878150219913</v>
      </c>
      <c r="B3940" s="16">
        <v>46095</v>
      </c>
      <c r="C3940" s="2" t="s">
        <v>204</v>
      </c>
      <c r="D3940" s="2" t="s">
        <v>45</v>
      </c>
      <c r="E3940" s="2">
        <v>6600</v>
      </c>
      <c r="F3940" s="2" t="s">
        <v>100</v>
      </c>
      <c r="H3940" s="2" t="s">
        <v>35</v>
      </c>
    </row>
    <row r="3941" spans="1:8" ht="13" hidden="1">
      <c r="A3941" s="15">
        <v>46102.878370219907</v>
      </c>
      <c r="B3941" s="16">
        <v>46095</v>
      </c>
      <c r="C3941" s="2" t="s">
        <v>662</v>
      </c>
      <c r="D3941" s="2" t="s">
        <v>48</v>
      </c>
      <c r="E3941" s="2">
        <v>3650</v>
      </c>
      <c r="F3941" s="2" t="s">
        <v>100</v>
      </c>
      <c r="H3941" s="2" t="s">
        <v>35</v>
      </c>
    </row>
    <row r="3942" spans="1:8" ht="13" hidden="1">
      <c r="A3942" s="15">
        <v>46102.878659953705</v>
      </c>
      <c r="B3942" s="16">
        <v>46095</v>
      </c>
      <c r="C3942" s="2" t="s">
        <v>105</v>
      </c>
      <c r="D3942" s="2" t="s">
        <v>40</v>
      </c>
      <c r="E3942" s="2">
        <v>6250</v>
      </c>
      <c r="F3942" s="2" t="s">
        <v>100</v>
      </c>
      <c r="H3942" s="2" t="s">
        <v>35</v>
      </c>
    </row>
    <row r="3943" spans="1:8" ht="13" hidden="1">
      <c r="A3943" s="15">
        <v>46102.87890059028</v>
      </c>
      <c r="B3943" s="16">
        <v>46095</v>
      </c>
      <c r="C3943" s="2" t="s">
        <v>240</v>
      </c>
      <c r="D3943" s="2" t="s">
        <v>42</v>
      </c>
      <c r="E3943" s="2">
        <v>990</v>
      </c>
      <c r="F3943" s="2" t="s">
        <v>100</v>
      </c>
      <c r="H3943" s="2" t="s">
        <v>35</v>
      </c>
    </row>
    <row r="3944" spans="1:8" ht="13" hidden="1">
      <c r="A3944" s="15">
        <v>46102.879354490738</v>
      </c>
      <c r="B3944" s="16">
        <v>46095</v>
      </c>
      <c r="C3944" s="2" t="s">
        <v>533</v>
      </c>
      <c r="D3944" s="2" t="s">
        <v>46</v>
      </c>
      <c r="E3944" s="2">
        <v>3080</v>
      </c>
      <c r="F3944" s="2" t="s">
        <v>100</v>
      </c>
      <c r="G3944" s="2" t="s">
        <v>129</v>
      </c>
      <c r="H3944" s="2" t="s">
        <v>35</v>
      </c>
    </row>
    <row r="3945" spans="1:8" ht="9" customHeight="1">
      <c r="A3945" s="15">
        <v>46103.624635625005</v>
      </c>
      <c r="B3945" s="16">
        <v>46095</v>
      </c>
      <c r="C3945" s="2" t="s">
        <v>116</v>
      </c>
      <c r="D3945" s="2" t="s">
        <v>38</v>
      </c>
      <c r="E3945" s="2">
        <v>3277</v>
      </c>
      <c r="F3945" s="2" t="s">
        <v>102</v>
      </c>
      <c r="G3945" s="2" t="s">
        <v>145</v>
      </c>
      <c r="H3945" s="2" t="s">
        <v>35</v>
      </c>
    </row>
    <row r="3946" spans="1:8" ht="13" hidden="1">
      <c r="A3946" s="15">
        <v>46102.879802361116</v>
      </c>
      <c r="B3946" s="16">
        <v>46096</v>
      </c>
      <c r="C3946" s="2" t="s">
        <v>1256</v>
      </c>
      <c r="D3946" s="2" t="s">
        <v>45</v>
      </c>
      <c r="E3946" s="2">
        <v>1580</v>
      </c>
      <c r="F3946" s="2" t="s">
        <v>100</v>
      </c>
      <c r="G3946" s="2" t="s">
        <v>696</v>
      </c>
      <c r="H3946" s="2" t="s">
        <v>35</v>
      </c>
    </row>
    <row r="3947" spans="1:8" ht="13" hidden="1">
      <c r="A3947" s="15">
        <v>46102.880091018524</v>
      </c>
      <c r="B3947" s="16">
        <v>46096</v>
      </c>
      <c r="C3947" s="2" t="s">
        <v>20</v>
      </c>
      <c r="D3947" s="2" t="s">
        <v>53</v>
      </c>
      <c r="E3947" s="2">
        <v>1590</v>
      </c>
      <c r="F3947" s="2" t="s">
        <v>100</v>
      </c>
      <c r="H3947" s="2" t="s">
        <v>35</v>
      </c>
    </row>
    <row r="3948" spans="1:8" ht="13" hidden="1">
      <c r="A3948" s="15">
        <v>46102.880840196754</v>
      </c>
      <c r="B3948" s="16">
        <v>46096</v>
      </c>
      <c r="C3948" s="2" t="s">
        <v>743</v>
      </c>
      <c r="D3948" s="2" t="s">
        <v>48</v>
      </c>
      <c r="E3948" s="2">
        <v>6100</v>
      </c>
      <c r="F3948" s="2" t="s">
        <v>100</v>
      </c>
      <c r="H3948" s="2" t="s">
        <v>35</v>
      </c>
    </row>
    <row r="3949" spans="1:8" ht="9" customHeight="1">
      <c r="A3949" s="15">
        <v>46103.624906273151</v>
      </c>
      <c r="B3949" s="16">
        <v>46096</v>
      </c>
      <c r="C3949" s="2" t="s">
        <v>163</v>
      </c>
      <c r="D3949" s="2" t="s">
        <v>38</v>
      </c>
      <c r="E3949" s="2">
        <v>2080</v>
      </c>
      <c r="F3949" s="2" t="s">
        <v>102</v>
      </c>
      <c r="G3949" s="2" t="s">
        <v>164</v>
      </c>
      <c r="H3949" s="2" t="s">
        <v>35</v>
      </c>
    </row>
    <row r="3950" spans="1:8" ht="9" customHeight="1">
      <c r="A3950" s="15">
        <v>46103.625246053241</v>
      </c>
      <c r="B3950" s="16">
        <v>46096</v>
      </c>
      <c r="C3950" s="2" t="s">
        <v>116</v>
      </c>
      <c r="D3950" s="2" t="s">
        <v>38</v>
      </c>
      <c r="E3950" s="2">
        <v>1200</v>
      </c>
      <c r="F3950" s="2" t="s">
        <v>102</v>
      </c>
      <c r="G3950" s="2" t="s">
        <v>145</v>
      </c>
      <c r="H3950" s="2" t="s">
        <v>35</v>
      </c>
    </row>
    <row r="3951" spans="1:8" ht="9" customHeight="1">
      <c r="A3951" s="15">
        <v>46103.625519618057</v>
      </c>
      <c r="B3951" s="16">
        <v>46096</v>
      </c>
      <c r="C3951" s="2" t="s">
        <v>1434</v>
      </c>
      <c r="D3951" s="2" t="s">
        <v>45</v>
      </c>
      <c r="E3951" s="2">
        <v>110</v>
      </c>
      <c r="F3951" s="2" t="s">
        <v>102</v>
      </c>
      <c r="G3951" s="2" t="s">
        <v>136</v>
      </c>
      <c r="H3951" s="2" t="s">
        <v>35</v>
      </c>
    </row>
    <row r="3952" spans="1:8" ht="9" customHeight="1">
      <c r="A3952" s="15">
        <v>46103.625844305556</v>
      </c>
      <c r="B3952" s="16">
        <v>46096</v>
      </c>
      <c r="C3952" s="2" t="s">
        <v>104</v>
      </c>
      <c r="D3952" s="2" t="s">
        <v>45</v>
      </c>
      <c r="E3952" s="2">
        <v>3246</v>
      </c>
      <c r="F3952" s="2" t="s">
        <v>102</v>
      </c>
      <c r="G3952" s="2" t="s">
        <v>285</v>
      </c>
      <c r="H3952" s="2" t="s">
        <v>35</v>
      </c>
    </row>
    <row r="3953" spans="1:8" ht="13" hidden="1">
      <c r="A3953" s="15">
        <v>46102.881033877318</v>
      </c>
      <c r="B3953" s="16">
        <v>46097</v>
      </c>
      <c r="C3953" s="2" t="s">
        <v>22</v>
      </c>
      <c r="D3953" s="2" t="s">
        <v>53</v>
      </c>
      <c r="E3953" s="2">
        <v>2530</v>
      </c>
      <c r="F3953" s="2" t="s">
        <v>100</v>
      </c>
      <c r="H3953" s="2" t="s">
        <v>35</v>
      </c>
    </row>
    <row r="3954" spans="1:8" ht="13" hidden="1">
      <c r="A3954" s="15">
        <v>46102.881553819447</v>
      </c>
      <c r="B3954" s="16">
        <v>46098</v>
      </c>
      <c r="C3954" s="2" t="s">
        <v>368</v>
      </c>
      <c r="D3954" s="2" t="s">
        <v>53</v>
      </c>
      <c r="E3954" s="2">
        <v>1280</v>
      </c>
      <c r="F3954" s="2" t="s">
        <v>100</v>
      </c>
      <c r="H3954" s="2" t="s">
        <v>35</v>
      </c>
    </row>
    <row r="3955" spans="1:8" ht="9" customHeight="1">
      <c r="A3955" s="15">
        <v>46103.626094189814</v>
      </c>
      <c r="B3955" s="16">
        <v>46098</v>
      </c>
      <c r="C3955" s="2" t="s">
        <v>116</v>
      </c>
      <c r="D3955" s="2" t="s">
        <v>38</v>
      </c>
      <c r="E3955" s="2">
        <v>1797</v>
      </c>
      <c r="F3955" s="2" t="s">
        <v>102</v>
      </c>
      <c r="G3955" s="2" t="s">
        <v>145</v>
      </c>
      <c r="H3955" s="2" t="s">
        <v>35</v>
      </c>
    </row>
    <row r="3956" spans="1:8" ht="9" customHeight="1">
      <c r="A3956" s="15">
        <v>46103.626419537039</v>
      </c>
      <c r="B3956" s="16">
        <v>46099</v>
      </c>
      <c r="C3956" s="2" t="s">
        <v>912</v>
      </c>
      <c r="D3956" s="2" t="s">
        <v>38</v>
      </c>
      <c r="E3956" s="2">
        <v>380</v>
      </c>
      <c r="F3956" s="2" t="s">
        <v>102</v>
      </c>
      <c r="G3956" s="2" t="s">
        <v>356</v>
      </c>
      <c r="H3956" s="2" t="s">
        <v>35</v>
      </c>
    </row>
    <row r="3957" spans="1:8" ht="9" customHeight="1">
      <c r="A3957" s="15">
        <v>46103.62667646991</v>
      </c>
      <c r="B3957" s="16">
        <v>46099</v>
      </c>
      <c r="C3957" s="2" t="s">
        <v>114</v>
      </c>
      <c r="D3957" s="2" t="s">
        <v>38</v>
      </c>
      <c r="E3957" s="2">
        <v>158</v>
      </c>
      <c r="F3957" s="2" t="s">
        <v>102</v>
      </c>
      <c r="G3957" s="2" t="s">
        <v>356</v>
      </c>
      <c r="H3957" s="2" t="s">
        <v>35</v>
      </c>
    </row>
    <row r="3958" spans="1:8" ht="13" hidden="1">
      <c r="A3958" s="15">
        <v>46116.954471053235</v>
      </c>
      <c r="B3958" s="16">
        <v>46099</v>
      </c>
      <c r="C3958" s="2" t="s">
        <v>1127</v>
      </c>
      <c r="D3958" s="2" t="s">
        <v>152</v>
      </c>
      <c r="E3958" s="2">
        <v>1320</v>
      </c>
      <c r="F3958" s="2" t="s">
        <v>100</v>
      </c>
      <c r="H3958" s="2" t="s">
        <v>35</v>
      </c>
    </row>
    <row r="3959" spans="1:8" ht="9" customHeight="1">
      <c r="A3959" s="15">
        <v>46103.626918472219</v>
      </c>
      <c r="B3959" s="16">
        <v>46100</v>
      </c>
      <c r="C3959" s="2" t="s">
        <v>114</v>
      </c>
      <c r="D3959" s="2" t="s">
        <v>38</v>
      </c>
      <c r="E3959" s="2">
        <v>149</v>
      </c>
      <c r="F3959" s="2" t="s">
        <v>102</v>
      </c>
      <c r="G3959" s="2" t="s">
        <v>103</v>
      </c>
      <c r="H3959" s="2" t="s">
        <v>35</v>
      </c>
    </row>
    <row r="3960" spans="1:8" ht="9" customHeight="1">
      <c r="A3960" s="15">
        <v>46103.627171157408</v>
      </c>
      <c r="B3960" s="16">
        <v>46100</v>
      </c>
      <c r="C3960" s="2" t="s">
        <v>106</v>
      </c>
      <c r="D3960" s="2" t="s">
        <v>52</v>
      </c>
      <c r="E3960" s="2">
        <v>1200</v>
      </c>
      <c r="F3960" s="2" t="s">
        <v>102</v>
      </c>
      <c r="G3960" s="2" t="s">
        <v>1294</v>
      </c>
      <c r="H3960" s="2" t="s">
        <v>35</v>
      </c>
    </row>
    <row r="3961" spans="1:8" ht="13" hidden="1">
      <c r="A3961" s="15">
        <v>46116.954763182875</v>
      </c>
      <c r="B3961" s="16">
        <v>46101</v>
      </c>
      <c r="C3961" s="2" t="s">
        <v>24</v>
      </c>
      <c r="D3961" s="2" t="s">
        <v>49</v>
      </c>
      <c r="E3961" s="2">
        <v>1100</v>
      </c>
      <c r="F3961" s="2" t="s">
        <v>100</v>
      </c>
      <c r="H3961" s="2" t="s">
        <v>35</v>
      </c>
    </row>
    <row r="3962" spans="1:8" ht="13" hidden="1">
      <c r="A3962" s="15">
        <v>46116.955562824078</v>
      </c>
      <c r="B3962" s="16">
        <v>46101</v>
      </c>
      <c r="C3962" s="2" t="s">
        <v>233</v>
      </c>
      <c r="D3962" s="2" t="s">
        <v>39</v>
      </c>
      <c r="E3962" s="2">
        <v>5690</v>
      </c>
      <c r="F3962" s="2" t="s">
        <v>100</v>
      </c>
      <c r="H3962" s="2" t="s">
        <v>35</v>
      </c>
    </row>
    <row r="3963" spans="1:8" ht="13" hidden="1">
      <c r="A3963" s="15">
        <v>46116.955842361116</v>
      </c>
      <c r="B3963" s="16">
        <v>46101</v>
      </c>
      <c r="C3963" s="2" t="s">
        <v>233</v>
      </c>
      <c r="D3963" s="2" t="s">
        <v>39</v>
      </c>
      <c r="E3963" s="2">
        <v>9086</v>
      </c>
      <c r="F3963" s="2" t="s">
        <v>100</v>
      </c>
      <c r="H3963" s="2" t="s">
        <v>35</v>
      </c>
    </row>
    <row r="3964" spans="1:8" ht="13" hidden="1">
      <c r="A3964" s="15">
        <v>46116.956131736108</v>
      </c>
      <c r="B3964" s="16">
        <v>46101</v>
      </c>
      <c r="C3964" s="2" t="s">
        <v>240</v>
      </c>
      <c r="D3964" s="2" t="s">
        <v>42</v>
      </c>
      <c r="E3964" s="2">
        <v>990</v>
      </c>
      <c r="F3964" s="2" t="s">
        <v>100</v>
      </c>
      <c r="H3964" s="2" t="s">
        <v>35</v>
      </c>
    </row>
    <row r="3965" spans="1:8" ht="13" hidden="1">
      <c r="A3965" s="15">
        <v>46116.958039849538</v>
      </c>
      <c r="B3965" s="16">
        <v>46101</v>
      </c>
      <c r="C3965" s="2" t="s">
        <v>142</v>
      </c>
      <c r="D3965" s="2" t="s">
        <v>45</v>
      </c>
      <c r="E3965" s="2">
        <v>8140</v>
      </c>
      <c r="F3965" s="2" t="s">
        <v>100</v>
      </c>
      <c r="H3965" s="2" t="s">
        <v>35</v>
      </c>
    </row>
    <row r="3966" spans="1:8" ht="13" hidden="1">
      <c r="A3966" s="15">
        <v>46116.958337569449</v>
      </c>
      <c r="B3966" s="16">
        <v>46101</v>
      </c>
      <c r="C3966" s="2" t="s">
        <v>1374</v>
      </c>
      <c r="D3966" s="2" t="s">
        <v>48</v>
      </c>
      <c r="E3966" s="2">
        <v>3800</v>
      </c>
      <c r="F3966" s="2" t="s">
        <v>100</v>
      </c>
      <c r="H3966" s="2" t="s">
        <v>35</v>
      </c>
    </row>
    <row r="3967" spans="1:8" ht="9" customHeight="1">
      <c r="A3967" s="15">
        <v>46103.627396331023</v>
      </c>
      <c r="B3967" s="16">
        <v>46102</v>
      </c>
      <c r="C3967" s="2" t="s">
        <v>114</v>
      </c>
      <c r="D3967" s="2" t="s">
        <v>38</v>
      </c>
      <c r="E3967" s="2">
        <v>558</v>
      </c>
      <c r="F3967" s="2" t="s">
        <v>102</v>
      </c>
      <c r="H3967" s="2" t="s">
        <v>35</v>
      </c>
    </row>
    <row r="3968" spans="1:8" ht="9" customHeight="1">
      <c r="A3968" s="15">
        <v>46103.627725717597</v>
      </c>
      <c r="B3968" s="16">
        <v>46102</v>
      </c>
      <c r="C3968" s="2" t="s">
        <v>1435</v>
      </c>
      <c r="E3968" s="2">
        <v>6000</v>
      </c>
      <c r="H3968" s="2" t="s">
        <v>34</v>
      </c>
    </row>
    <row r="3969" spans="1:8" ht="13" hidden="1">
      <c r="A3969" s="15">
        <v>46116.958698171293</v>
      </c>
      <c r="B3969" s="16">
        <v>46102</v>
      </c>
      <c r="C3969" s="2" t="s">
        <v>116</v>
      </c>
      <c r="D3969" s="2" t="s">
        <v>38</v>
      </c>
      <c r="E3969" s="2">
        <v>2615</v>
      </c>
      <c r="F3969" s="2" t="s">
        <v>100</v>
      </c>
      <c r="G3969" s="2" t="s">
        <v>145</v>
      </c>
      <c r="H3969" s="2" t="s">
        <v>35</v>
      </c>
    </row>
    <row r="3970" spans="1:8" ht="9" customHeight="1">
      <c r="A3970" s="15">
        <v>46117.700961944443</v>
      </c>
      <c r="B3970" s="16">
        <v>46102</v>
      </c>
      <c r="C3970" s="2" t="s">
        <v>1436</v>
      </c>
      <c r="D3970" s="2" t="s">
        <v>52</v>
      </c>
      <c r="E3970" s="2">
        <v>1500</v>
      </c>
      <c r="F3970" s="2" t="s">
        <v>102</v>
      </c>
      <c r="H3970" s="2" t="s">
        <v>35</v>
      </c>
    </row>
    <row r="3971" spans="1:8" ht="9" customHeight="1">
      <c r="A3971" s="15">
        <v>46103.627987719912</v>
      </c>
      <c r="B3971" s="16">
        <v>46103</v>
      </c>
      <c r="C3971" s="2" t="s">
        <v>116</v>
      </c>
      <c r="D3971" s="2" t="s">
        <v>38</v>
      </c>
      <c r="E3971" s="2">
        <v>1154</v>
      </c>
      <c r="F3971" s="2" t="s">
        <v>102</v>
      </c>
      <c r="G3971" s="2" t="s">
        <v>145</v>
      </c>
      <c r="H3971" s="2" t="s">
        <v>35</v>
      </c>
    </row>
    <row r="3972" spans="1:8" ht="13" hidden="1">
      <c r="A3972" s="15">
        <v>46116.958979097224</v>
      </c>
      <c r="B3972" s="16">
        <v>46103</v>
      </c>
      <c r="C3972" s="2" t="s">
        <v>469</v>
      </c>
      <c r="D3972" s="2" t="s">
        <v>40</v>
      </c>
      <c r="E3972" s="2">
        <v>14390</v>
      </c>
      <c r="F3972" s="2" t="s">
        <v>100</v>
      </c>
      <c r="H3972" s="2" t="s">
        <v>35</v>
      </c>
    </row>
    <row r="3973" spans="1:8" ht="13" hidden="1">
      <c r="A3973" s="15">
        <v>46116.959247372681</v>
      </c>
      <c r="B3973" s="16">
        <v>46103</v>
      </c>
      <c r="C3973" s="2" t="s">
        <v>469</v>
      </c>
      <c r="D3973" s="2" t="s">
        <v>40</v>
      </c>
      <c r="E3973" s="2">
        <v>14390</v>
      </c>
      <c r="F3973" s="2" t="s">
        <v>100</v>
      </c>
      <c r="H3973" s="2" t="s">
        <v>35</v>
      </c>
    </row>
    <row r="3974" spans="1:8" ht="13" hidden="1">
      <c r="A3974" s="15">
        <v>46116.960066701387</v>
      </c>
      <c r="B3974" s="16">
        <v>46104</v>
      </c>
      <c r="C3974" s="2" t="s">
        <v>240</v>
      </c>
      <c r="D3974" s="2" t="s">
        <v>42</v>
      </c>
      <c r="E3974" s="2">
        <v>990</v>
      </c>
      <c r="F3974" s="2" t="s">
        <v>100</v>
      </c>
      <c r="H3974" s="2" t="s">
        <v>35</v>
      </c>
    </row>
    <row r="3975" spans="1:8" ht="9" customHeight="1">
      <c r="A3975" s="15">
        <v>46117.688406365742</v>
      </c>
      <c r="B3975" s="16">
        <v>46104</v>
      </c>
      <c r="C3975" s="2" t="s">
        <v>106</v>
      </c>
      <c r="D3975" s="2" t="s">
        <v>52</v>
      </c>
      <c r="E3975" s="2">
        <v>950</v>
      </c>
      <c r="F3975" s="2" t="s">
        <v>102</v>
      </c>
      <c r="H3975" s="2" t="s">
        <v>35</v>
      </c>
    </row>
    <row r="3976" spans="1:8" ht="9" customHeight="1">
      <c r="A3976" s="15">
        <v>46117.688686851849</v>
      </c>
      <c r="B3976" s="16">
        <v>46104</v>
      </c>
      <c r="C3976" s="2" t="s">
        <v>112</v>
      </c>
      <c r="D3976" s="2" t="s">
        <v>52</v>
      </c>
      <c r="E3976" s="2">
        <v>280</v>
      </c>
      <c r="F3976" s="2" t="s">
        <v>102</v>
      </c>
      <c r="G3976" s="2" t="s">
        <v>113</v>
      </c>
      <c r="H3976" s="2" t="s">
        <v>35</v>
      </c>
    </row>
    <row r="3977" spans="1:8" ht="9" customHeight="1">
      <c r="A3977" s="15">
        <v>46117.689001574079</v>
      </c>
      <c r="B3977" s="16">
        <v>46104</v>
      </c>
      <c r="C3977" s="2" t="s">
        <v>919</v>
      </c>
      <c r="D3977" s="2" t="s">
        <v>38</v>
      </c>
      <c r="E3977" s="2">
        <v>185</v>
      </c>
      <c r="F3977" s="2" t="s">
        <v>102</v>
      </c>
      <c r="G3977" s="2" t="s">
        <v>356</v>
      </c>
      <c r="H3977" s="2" t="s">
        <v>35</v>
      </c>
    </row>
    <row r="3978" spans="1:8" ht="13" hidden="1">
      <c r="A3978" s="15">
        <v>46116.960411446758</v>
      </c>
      <c r="B3978" s="16">
        <v>46105</v>
      </c>
      <c r="C3978" s="2" t="s">
        <v>350</v>
      </c>
      <c r="D3978" s="2" t="s">
        <v>40</v>
      </c>
      <c r="E3978" s="2">
        <v>2000</v>
      </c>
      <c r="F3978" s="2" t="s">
        <v>100</v>
      </c>
      <c r="H3978" s="2" t="s">
        <v>35</v>
      </c>
    </row>
    <row r="3979" spans="1:8" ht="9" customHeight="1">
      <c r="A3979" s="15">
        <v>46117.689354201386</v>
      </c>
      <c r="B3979" s="16">
        <v>46105</v>
      </c>
      <c r="C3979" s="2" t="s">
        <v>241</v>
      </c>
      <c r="D3979" s="2" t="s">
        <v>38</v>
      </c>
      <c r="E3979" s="2">
        <v>410</v>
      </c>
      <c r="F3979" s="2" t="s">
        <v>102</v>
      </c>
      <c r="H3979" s="2" t="s">
        <v>35</v>
      </c>
    </row>
    <row r="3980" spans="1:8" ht="9" customHeight="1">
      <c r="A3980" s="15">
        <v>46117.689596226854</v>
      </c>
      <c r="B3980" s="16">
        <v>46105</v>
      </c>
      <c r="C3980" s="2" t="s">
        <v>1437</v>
      </c>
      <c r="D3980" s="2" t="s">
        <v>38</v>
      </c>
      <c r="E3980" s="2">
        <v>1190</v>
      </c>
      <c r="F3980" s="2" t="s">
        <v>102</v>
      </c>
      <c r="H3980" s="2" t="s">
        <v>35</v>
      </c>
    </row>
    <row r="3981" spans="1:8" ht="9" customHeight="1">
      <c r="A3981" s="15">
        <v>46117.689929456013</v>
      </c>
      <c r="B3981" s="16">
        <v>46105</v>
      </c>
      <c r="C3981" s="2" t="s">
        <v>1438</v>
      </c>
      <c r="D3981" s="2" t="s">
        <v>152</v>
      </c>
      <c r="E3981" s="2">
        <v>500</v>
      </c>
      <c r="F3981" s="2" t="s">
        <v>102</v>
      </c>
      <c r="H3981" s="2" t="s">
        <v>35</v>
      </c>
    </row>
    <row r="3982" spans="1:8" ht="9" customHeight="1">
      <c r="A3982" s="15">
        <v>46117.690220532408</v>
      </c>
      <c r="B3982" s="16">
        <v>46105</v>
      </c>
      <c r="C3982" s="2" t="s">
        <v>207</v>
      </c>
      <c r="D3982" s="2" t="s">
        <v>39</v>
      </c>
      <c r="E3982" s="2">
        <v>1977</v>
      </c>
      <c r="F3982" s="2" t="s">
        <v>102</v>
      </c>
      <c r="H3982" s="2" t="s">
        <v>35</v>
      </c>
    </row>
    <row r="3983" spans="1:8" ht="9" customHeight="1">
      <c r="A3983" s="15">
        <v>46117.690479745375</v>
      </c>
      <c r="B3983" s="16">
        <v>46105</v>
      </c>
      <c r="C3983" s="2" t="s">
        <v>1439</v>
      </c>
      <c r="D3983" s="2" t="s">
        <v>152</v>
      </c>
      <c r="E3983" s="2">
        <v>2000</v>
      </c>
      <c r="F3983" s="2" t="s">
        <v>102</v>
      </c>
      <c r="H3983" s="2" t="s">
        <v>35</v>
      </c>
    </row>
    <row r="3984" spans="1:8" ht="9" customHeight="1">
      <c r="A3984" s="15">
        <v>46117.690885925927</v>
      </c>
      <c r="B3984" s="16">
        <v>46105</v>
      </c>
      <c r="C3984" s="2" t="s">
        <v>708</v>
      </c>
      <c r="D3984" s="2" t="s">
        <v>38</v>
      </c>
      <c r="E3984" s="2">
        <v>993</v>
      </c>
      <c r="F3984" s="2" t="s">
        <v>102</v>
      </c>
      <c r="G3984" s="2" t="s">
        <v>103</v>
      </c>
      <c r="H3984" s="2" t="s">
        <v>35</v>
      </c>
    </row>
    <row r="3985" spans="1:8" ht="13" hidden="1">
      <c r="A3985" s="15">
        <v>46116.960890891205</v>
      </c>
      <c r="B3985" s="16">
        <v>46106</v>
      </c>
      <c r="C3985" s="2" t="s">
        <v>350</v>
      </c>
      <c r="D3985" s="2" t="s">
        <v>40</v>
      </c>
      <c r="E3985" s="2">
        <v>2000</v>
      </c>
      <c r="F3985" s="2" t="s">
        <v>100</v>
      </c>
      <c r="H3985" s="2" t="s">
        <v>35</v>
      </c>
    </row>
    <row r="3986" spans="1:8" ht="13" hidden="1">
      <c r="A3986" s="15">
        <v>46116.961145555557</v>
      </c>
      <c r="B3986" s="16">
        <v>46106</v>
      </c>
      <c r="C3986" s="2" t="s">
        <v>233</v>
      </c>
      <c r="D3986" s="2" t="s">
        <v>39</v>
      </c>
      <c r="E3986" s="2">
        <v>8590</v>
      </c>
      <c r="F3986" s="2" t="s">
        <v>100</v>
      </c>
      <c r="H3986" s="2" t="s">
        <v>35</v>
      </c>
    </row>
    <row r="3987" spans="1:8" ht="13" hidden="1">
      <c r="A3987" s="15">
        <v>46116.961436817131</v>
      </c>
      <c r="B3987" s="16">
        <v>46106</v>
      </c>
      <c r="C3987" s="2" t="s">
        <v>308</v>
      </c>
      <c r="D3987" s="2" t="s">
        <v>40</v>
      </c>
      <c r="E3987" s="2">
        <v>13690</v>
      </c>
      <c r="F3987" s="2" t="s">
        <v>100</v>
      </c>
      <c r="H3987" s="2" t="s">
        <v>35</v>
      </c>
    </row>
    <row r="3988" spans="1:8" ht="13" hidden="1">
      <c r="A3988" s="15">
        <v>46116.961712083328</v>
      </c>
      <c r="B3988" s="16">
        <v>46106</v>
      </c>
      <c r="C3988" s="2" t="s">
        <v>240</v>
      </c>
      <c r="D3988" s="2" t="s">
        <v>42</v>
      </c>
      <c r="E3988" s="2">
        <v>990</v>
      </c>
      <c r="F3988" s="2" t="s">
        <v>100</v>
      </c>
      <c r="H3988" s="2" t="s">
        <v>35</v>
      </c>
    </row>
    <row r="3989" spans="1:8" ht="9" customHeight="1">
      <c r="A3989" s="15">
        <v>46103.639272800923</v>
      </c>
      <c r="B3989" s="16">
        <v>46106</v>
      </c>
      <c r="C3989" s="2" t="s">
        <v>11</v>
      </c>
      <c r="D3989" s="2" t="s">
        <v>47</v>
      </c>
      <c r="E3989" s="2">
        <v>40000</v>
      </c>
      <c r="F3989" s="2" t="s">
        <v>102</v>
      </c>
      <c r="H3989" s="2" t="s">
        <v>35</v>
      </c>
    </row>
    <row r="3990" spans="1:8" ht="9" customHeight="1">
      <c r="A3990" s="15">
        <v>46103.640817118052</v>
      </c>
      <c r="B3990" s="16">
        <v>46106</v>
      </c>
      <c r="C3990" s="2" t="s">
        <v>981</v>
      </c>
      <c r="E3990" s="2">
        <v>391979</v>
      </c>
      <c r="H3990" s="2" t="s">
        <v>34</v>
      </c>
    </row>
    <row r="3991" spans="1:8" ht="13" hidden="1">
      <c r="A3991" s="15">
        <v>46116.961971215278</v>
      </c>
      <c r="B3991" s="16">
        <v>46107</v>
      </c>
      <c r="C3991" s="2" t="s">
        <v>105</v>
      </c>
      <c r="D3991" s="2" t="s">
        <v>40</v>
      </c>
      <c r="E3991" s="2">
        <v>1700</v>
      </c>
      <c r="F3991" s="2" t="s">
        <v>100</v>
      </c>
      <c r="H3991" s="2" t="s">
        <v>35</v>
      </c>
    </row>
    <row r="3992" spans="1:8" ht="9" customHeight="1">
      <c r="A3992" s="15">
        <v>46107.515488680554</v>
      </c>
      <c r="B3992" s="16">
        <v>46107</v>
      </c>
      <c r="C3992" s="2" t="s">
        <v>106</v>
      </c>
      <c r="D3992" s="2" t="s">
        <v>52</v>
      </c>
      <c r="E3992" s="2">
        <v>1200</v>
      </c>
      <c r="F3992" s="2" t="s">
        <v>102</v>
      </c>
      <c r="G3992" s="2" t="s">
        <v>952</v>
      </c>
      <c r="H3992" s="2" t="s">
        <v>35</v>
      </c>
    </row>
    <row r="3993" spans="1:8" ht="9" customHeight="1">
      <c r="A3993" s="15">
        <v>46103.639558900468</v>
      </c>
      <c r="B3993" s="16">
        <v>46108</v>
      </c>
      <c r="C3993" s="2" t="s">
        <v>9</v>
      </c>
      <c r="D3993" s="2" t="s">
        <v>47</v>
      </c>
      <c r="E3993" s="2">
        <v>13600</v>
      </c>
      <c r="F3993" s="2" t="s">
        <v>102</v>
      </c>
      <c r="H3993" s="2" t="s">
        <v>35</v>
      </c>
    </row>
    <row r="3994" spans="1:8" ht="9" customHeight="1">
      <c r="A3994" s="15">
        <v>46103.639838888892</v>
      </c>
      <c r="B3994" s="16">
        <v>46108</v>
      </c>
      <c r="C3994" s="2" t="s">
        <v>529</v>
      </c>
      <c r="D3994" s="2" t="s">
        <v>5</v>
      </c>
      <c r="E3994" s="2">
        <v>93000</v>
      </c>
      <c r="F3994" s="2" t="s">
        <v>102</v>
      </c>
      <c r="H3994" s="2" t="s">
        <v>35</v>
      </c>
    </row>
    <row r="3995" spans="1:8" ht="9" customHeight="1">
      <c r="A3995" s="15">
        <v>46103.640077337965</v>
      </c>
      <c r="B3995" s="16">
        <v>46108</v>
      </c>
      <c r="C3995" s="2" t="s">
        <v>133</v>
      </c>
      <c r="D3995" s="2" t="s">
        <v>47</v>
      </c>
      <c r="E3995" s="2">
        <v>28000</v>
      </c>
      <c r="F3995" s="2" t="s">
        <v>102</v>
      </c>
      <c r="H3995" s="2" t="s">
        <v>35</v>
      </c>
    </row>
    <row r="3996" spans="1:8" ht="9" customHeight="1">
      <c r="A3996" s="15">
        <v>46103.640391145833</v>
      </c>
      <c r="B3996" s="16">
        <v>46108</v>
      </c>
      <c r="C3996" s="2" t="s">
        <v>408</v>
      </c>
      <c r="D3996" s="2" t="s">
        <v>152</v>
      </c>
      <c r="E3996" s="2">
        <v>20000</v>
      </c>
      <c r="F3996" s="2" t="s">
        <v>102</v>
      </c>
      <c r="H3996" s="2" t="s">
        <v>35</v>
      </c>
    </row>
    <row r="3997" spans="1:8" ht="9" customHeight="1">
      <c r="A3997" s="15">
        <v>46117.691202152782</v>
      </c>
      <c r="B3997" s="16">
        <v>46108</v>
      </c>
      <c r="C3997" s="2" t="s">
        <v>436</v>
      </c>
      <c r="D3997" s="2" t="s">
        <v>38</v>
      </c>
      <c r="E3997" s="2">
        <v>160</v>
      </c>
      <c r="F3997" s="2" t="s">
        <v>102</v>
      </c>
      <c r="G3997" s="2" t="s">
        <v>356</v>
      </c>
      <c r="H3997" s="2" t="s">
        <v>35</v>
      </c>
    </row>
    <row r="3998" spans="1:8" ht="9" customHeight="1">
      <c r="A3998" s="15">
        <v>46117.700250231486</v>
      </c>
      <c r="B3998" s="16">
        <v>46108</v>
      </c>
      <c r="C3998" s="2" t="s">
        <v>1440</v>
      </c>
      <c r="D3998" s="2" t="s">
        <v>39</v>
      </c>
      <c r="E3998" s="2">
        <v>1000</v>
      </c>
      <c r="F3998" s="2" t="s">
        <v>102</v>
      </c>
      <c r="H3998" s="2" t="s">
        <v>35</v>
      </c>
    </row>
    <row r="3999" spans="1:8" ht="9" customHeight="1">
      <c r="A3999" s="15">
        <v>46138.710789976853</v>
      </c>
      <c r="B3999" s="16">
        <v>46108</v>
      </c>
      <c r="C3999" s="2" t="s">
        <v>1441</v>
      </c>
      <c r="D3999" s="2" t="s">
        <v>152</v>
      </c>
      <c r="E3999" s="2">
        <v>10000</v>
      </c>
      <c r="F3999" s="2" t="s">
        <v>102</v>
      </c>
      <c r="H3999" s="2" t="s">
        <v>35</v>
      </c>
    </row>
    <row r="4000" spans="1:8" ht="9" customHeight="1">
      <c r="A4000" s="15">
        <v>46117.691520162036</v>
      </c>
      <c r="B4000" s="16">
        <v>46109</v>
      </c>
      <c r="C4000" s="2" t="s">
        <v>116</v>
      </c>
      <c r="D4000" s="2" t="s">
        <v>38</v>
      </c>
      <c r="E4000" s="2">
        <v>812</v>
      </c>
      <c r="F4000" s="2" t="s">
        <v>102</v>
      </c>
      <c r="G4000" s="2" t="s">
        <v>145</v>
      </c>
      <c r="H4000" s="2" t="s">
        <v>35</v>
      </c>
    </row>
    <row r="4001" spans="1:8" ht="9" customHeight="1">
      <c r="A4001" s="15">
        <v>46117.692089421296</v>
      </c>
      <c r="B4001" s="16">
        <v>46109</v>
      </c>
      <c r="C4001" s="2" t="s">
        <v>1442</v>
      </c>
      <c r="D4001" s="2" t="s">
        <v>39</v>
      </c>
      <c r="E4001" s="2">
        <v>1520</v>
      </c>
      <c r="F4001" s="2" t="s">
        <v>102</v>
      </c>
      <c r="G4001" s="2" t="s">
        <v>824</v>
      </c>
      <c r="H4001" s="2" t="s">
        <v>35</v>
      </c>
    </row>
    <row r="4002" spans="1:8" ht="13" hidden="1">
      <c r="A4002" s="15">
        <v>46131.798155185184</v>
      </c>
      <c r="B4002" s="16">
        <v>46109</v>
      </c>
      <c r="C4002" s="2" t="s">
        <v>1443</v>
      </c>
      <c r="D4002" s="2" t="s">
        <v>45</v>
      </c>
      <c r="E4002" s="2">
        <v>2099</v>
      </c>
      <c r="F4002" s="2" t="s">
        <v>100</v>
      </c>
      <c r="G4002" s="2" t="s">
        <v>129</v>
      </c>
      <c r="H4002" s="2" t="s">
        <v>35</v>
      </c>
    </row>
    <row r="4003" spans="1:8" ht="13" hidden="1">
      <c r="A4003" s="15">
        <v>46131.79852369213</v>
      </c>
      <c r="B4003" s="16">
        <v>46109</v>
      </c>
      <c r="C4003" s="2" t="s">
        <v>158</v>
      </c>
      <c r="D4003" s="2" t="s">
        <v>152</v>
      </c>
      <c r="E4003" s="2">
        <v>4980</v>
      </c>
      <c r="F4003" s="2" t="s">
        <v>100</v>
      </c>
      <c r="H4003" s="2" t="s">
        <v>35</v>
      </c>
    </row>
    <row r="4004" spans="1:8" ht="13" hidden="1">
      <c r="A4004" s="15">
        <v>46131.798822789351</v>
      </c>
      <c r="B4004" s="16">
        <v>46109</v>
      </c>
      <c r="C4004" s="2" t="s">
        <v>240</v>
      </c>
      <c r="D4004" s="2" t="s">
        <v>42</v>
      </c>
      <c r="E4004" s="2">
        <v>990</v>
      </c>
      <c r="F4004" s="2" t="s">
        <v>100</v>
      </c>
      <c r="H4004" s="2" t="s">
        <v>35</v>
      </c>
    </row>
    <row r="4005" spans="1:8" ht="13" hidden="1">
      <c r="A4005" s="15">
        <v>46131.799281967593</v>
      </c>
      <c r="B4005" s="16">
        <v>46109</v>
      </c>
      <c r="C4005" s="2" t="s">
        <v>350</v>
      </c>
      <c r="D4005" s="2" t="s">
        <v>40</v>
      </c>
      <c r="E4005" s="2">
        <v>2000</v>
      </c>
      <c r="F4005" s="2" t="s">
        <v>100</v>
      </c>
      <c r="H4005" s="2" t="s">
        <v>35</v>
      </c>
    </row>
    <row r="4006" spans="1:8" ht="13" hidden="1">
      <c r="A4006" s="15">
        <v>46131.799677326388</v>
      </c>
      <c r="B4006" s="16">
        <v>46109</v>
      </c>
      <c r="C4006" s="2" t="s">
        <v>1444</v>
      </c>
      <c r="D4006" s="2" t="s">
        <v>39</v>
      </c>
      <c r="E4006" s="2">
        <v>10740</v>
      </c>
      <c r="F4006" s="2" t="s">
        <v>100</v>
      </c>
      <c r="H4006" s="2" t="s">
        <v>35</v>
      </c>
    </row>
    <row r="4007" spans="1:8" ht="9" customHeight="1">
      <c r="A4007" s="15">
        <v>46117.692444780092</v>
      </c>
      <c r="B4007" s="16">
        <v>46109</v>
      </c>
      <c r="C4007" s="2" t="s">
        <v>1442</v>
      </c>
      <c r="D4007" s="2" t="s">
        <v>39</v>
      </c>
      <c r="E4007" s="2">
        <v>1130</v>
      </c>
      <c r="F4007" s="2" t="s">
        <v>102</v>
      </c>
      <c r="G4007" s="2" t="s">
        <v>824</v>
      </c>
      <c r="H4007" s="2" t="s">
        <v>35</v>
      </c>
    </row>
    <row r="4008" spans="1:8" ht="9" customHeight="1">
      <c r="A4008" s="15">
        <v>46110.866177881944</v>
      </c>
      <c r="B4008" s="16">
        <v>46110</v>
      </c>
      <c r="C4008" s="2" t="s">
        <v>1445</v>
      </c>
      <c r="D4008" s="2" t="s">
        <v>39</v>
      </c>
      <c r="E4008" s="2">
        <v>3200</v>
      </c>
      <c r="F4008" s="2" t="s">
        <v>102</v>
      </c>
      <c r="H4008" s="2" t="s">
        <v>35</v>
      </c>
    </row>
    <row r="4009" spans="1:8" ht="9" customHeight="1">
      <c r="A4009" s="15">
        <v>46117.692713067125</v>
      </c>
      <c r="B4009" s="16">
        <v>46110</v>
      </c>
      <c r="C4009" s="2" t="s">
        <v>1349</v>
      </c>
      <c r="D4009" s="2" t="s">
        <v>52</v>
      </c>
      <c r="E4009" s="2">
        <v>2200</v>
      </c>
      <c r="F4009" s="2" t="s">
        <v>102</v>
      </c>
      <c r="H4009" s="2" t="s">
        <v>35</v>
      </c>
    </row>
    <row r="4010" spans="1:8" ht="9" customHeight="1">
      <c r="A4010" s="15">
        <v>46117.693005150461</v>
      </c>
      <c r="B4010" s="16">
        <v>46110</v>
      </c>
      <c r="C4010" s="2" t="s">
        <v>1107</v>
      </c>
      <c r="D4010" s="2" t="s">
        <v>38</v>
      </c>
      <c r="E4010" s="2">
        <v>292</v>
      </c>
      <c r="F4010" s="2" t="s">
        <v>102</v>
      </c>
      <c r="G4010" s="2" t="s">
        <v>356</v>
      </c>
      <c r="H4010" s="2" t="s">
        <v>35</v>
      </c>
    </row>
    <row r="4011" spans="1:8" ht="9" customHeight="1">
      <c r="A4011" s="15">
        <v>46117.693322754625</v>
      </c>
      <c r="B4011" s="16">
        <v>46110</v>
      </c>
      <c r="C4011" s="2" t="s">
        <v>116</v>
      </c>
      <c r="D4011" s="2" t="s">
        <v>38</v>
      </c>
      <c r="E4011" s="2">
        <v>2060</v>
      </c>
      <c r="F4011" s="2" t="s">
        <v>102</v>
      </c>
      <c r="G4011" s="2" t="s">
        <v>145</v>
      </c>
      <c r="H4011" s="2" t="s">
        <v>35</v>
      </c>
    </row>
    <row r="4012" spans="1:8" ht="9" customHeight="1">
      <c r="A4012" s="15">
        <v>46117.693619733793</v>
      </c>
      <c r="B4012" s="16">
        <v>46110</v>
      </c>
      <c r="C4012" s="2" t="s">
        <v>294</v>
      </c>
      <c r="D4012" s="2" t="s">
        <v>52</v>
      </c>
      <c r="E4012" s="2">
        <v>1000</v>
      </c>
      <c r="F4012" s="2" t="s">
        <v>102</v>
      </c>
      <c r="H4012" s="2" t="s">
        <v>35</v>
      </c>
    </row>
    <row r="4013" spans="1:8" ht="9" customHeight="1">
      <c r="A4013" s="15">
        <v>46117.693983784724</v>
      </c>
      <c r="B4013" s="16">
        <v>46110</v>
      </c>
      <c r="C4013" s="2" t="s">
        <v>1349</v>
      </c>
      <c r="D4013" s="2" t="s">
        <v>52</v>
      </c>
      <c r="E4013" s="2">
        <v>2420</v>
      </c>
      <c r="F4013" s="2" t="s">
        <v>102</v>
      </c>
      <c r="H4013" s="2" t="s">
        <v>35</v>
      </c>
    </row>
    <row r="4014" spans="1:8" ht="13" hidden="1">
      <c r="A4014" s="15">
        <v>46131.800656180552</v>
      </c>
      <c r="B4014" s="16">
        <v>46110</v>
      </c>
      <c r="C4014" s="2" t="s">
        <v>1446</v>
      </c>
      <c r="D4014" s="2" t="s">
        <v>39</v>
      </c>
      <c r="E4014" s="2">
        <v>2788</v>
      </c>
      <c r="F4014" s="2" t="s">
        <v>100</v>
      </c>
      <c r="H4014" s="2" t="s">
        <v>35</v>
      </c>
    </row>
    <row r="4015" spans="1:8" ht="9" customHeight="1">
      <c r="A4015" s="15">
        <v>46117.694488530091</v>
      </c>
      <c r="B4015" s="16">
        <v>46110</v>
      </c>
      <c r="C4015" s="2" t="s">
        <v>895</v>
      </c>
      <c r="D4015" s="2" t="s">
        <v>39</v>
      </c>
      <c r="E4015" s="2">
        <v>1600</v>
      </c>
      <c r="F4015" s="2" t="s">
        <v>102</v>
      </c>
      <c r="H4015" s="2" t="s">
        <v>35</v>
      </c>
    </row>
    <row r="4016" spans="1:8" ht="9" customHeight="1">
      <c r="A4016" s="15">
        <v>46117.694228900466</v>
      </c>
      <c r="B4016" s="16">
        <v>46111</v>
      </c>
      <c r="C4016" s="2" t="s">
        <v>116</v>
      </c>
      <c r="D4016" s="2" t="s">
        <v>38</v>
      </c>
      <c r="E4016" s="2">
        <v>2338</v>
      </c>
      <c r="F4016" s="2" t="s">
        <v>102</v>
      </c>
      <c r="G4016" s="2" t="s">
        <v>145</v>
      </c>
      <c r="H4016" s="2" t="s">
        <v>35</v>
      </c>
    </row>
    <row r="4017" spans="1:8" ht="9" customHeight="1">
      <c r="A4017" s="15">
        <v>46117.694703530091</v>
      </c>
      <c r="B4017" s="16">
        <v>46111</v>
      </c>
      <c r="C4017" s="2" t="s">
        <v>1447</v>
      </c>
      <c r="E4017" s="2">
        <v>6000</v>
      </c>
      <c r="H4017" s="2" t="s">
        <v>34</v>
      </c>
    </row>
    <row r="4018" spans="1:8" ht="9" customHeight="1">
      <c r="A4018" s="15">
        <v>46117.695559513886</v>
      </c>
      <c r="B4018" s="16">
        <v>46112</v>
      </c>
      <c r="C4018" s="2" t="s">
        <v>45</v>
      </c>
      <c r="D4018" s="2" t="s">
        <v>45</v>
      </c>
      <c r="E4018" s="2">
        <v>2759</v>
      </c>
      <c r="F4018" s="2" t="s">
        <v>102</v>
      </c>
      <c r="G4018" s="2" t="s">
        <v>285</v>
      </c>
      <c r="H4018" s="2" t="s">
        <v>35</v>
      </c>
    </row>
    <row r="4019" spans="1:8" ht="9" customHeight="1">
      <c r="A4019" s="15">
        <v>46117.695812152779</v>
      </c>
      <c r="B4019" s="16">
        <v>46112</v>
      </c>
      <c r="C4019" s="2" t="s">
        <v>542</v>
      </c>
      <c r="D4019" s="2" t="s">
        <v>39</v>
      </c>
      <c r="E4019" s="2">
        <v>625</v>
      </c>
      <c r="F4019" s="2" t="s">
        <v>102</v>
      </c>
      <c r="H4019" s="2" t="s">
        <v>35</v>
      </c>
    </row>
    <row r="4020" spans="1:8" ht="13" hidden="1">
      <c r="A4020" s="15">
        <v>46131.800919189816</v>
      </c>
      <c r="B4020" s="16">
        <v>46112</v>
      </c>
      <c r="C4020" s="2" t="s">
        <v>240</v>
      </c>
      <c r="D4020" s="2" t="s">
        <v>42</v>
      </c>
      <c r="E4020" s="2">
        <v>990</v>
      </c>
      <c r="F4020" s="2" t="s">
        <v>100</v>
      </c>
      <c r="H4020" s="2" t="s">
        <v>35</v>
      </c>
    </row>
    <row r="4021" spans="1:8" ht="13" hidden="1">
      <c r="A4021" s="15">
        <v>46131.801353958333</v>
      </c>
      <c r="B4021" s="16">
        <v>46112</v>
      </c>
      <c r="C4021" s="2" t="s">
        <v>277</v>
      </c>
      <c r="D4021" s="2" t="s">
        <v>46</v>
      </c>
      <c r="E4021" s="2">
        <v>3300</v>
      </c>
      <c r="F4021" s="2" t="s">
        <v>100</v>
      </c>
      <c r="H4021" s="2" t="s">
        <v>35</v>
      </c>
    </row>
    <row r="4022" spans="1:8" ht="9" customHeight="1">
      <c r="A4022" s="15">
        <v>46117.696075034721</v>
      </c>
      <c r="B4022" s="16">
        <v>46112</v>
      </c>
      <c r="C4022" s="2" t="s">
        <v>287</v>
      </c>
      <c r="D4022" s="2" t="s">
        <v>52</v>
      </c>
      <c r="E4022" s="2">
        <v>460</v>
      </c>
      <c r="F4022" s="2" t="s">
        <v>102</v>
      </c>
      <c r="G4022" s="2" t="s">
        <v>199</v>
      </c>
      <c r="H4022" s="2" t="s">
        <v>35</v>
      </c>
    </row>
    <row r="4023" spans="1:8" ht="13" hidden="1">
      <c r="A4023" s="15">
        <v>46131.801749907405</v>
      </c>
      <c r="B4023" s="16">
        <v>46113</v>
      </c>
      <c r="C4023" s="2" t="s">
        <v>10</v>
      </c>
      <c r="D4023" s="2" t="s">
        <v>45</v>
      </c>
      <c r="E4023" s="2">
        <v>360</v>
      </c>
      <c r="F4023" s="2" t="s">
        <v>100</v>
      </c>
      <c r="H4023" s="2" t="s">
        <v>35</v>
      </c>
    </row>
    <row r="4024" spans="1:8" ht="13" hidden="1">
      <c r="A4024" s="15">
        <v>46131.801988888888</v>
      </c>
      <c r="B4024" s="16">
        <v>46113</v>
      </c>
      <c r="C4024" s="2" t="s">
        <v>26</v>
      </c>
      <c r="D4024" s="2" t="s">
        <v>41</v>
      </c>
      <c r="E4024" s="2">
        <v>5668</v>
      </c>
      <c r="F4024" s="2" t="s">
        <v>100</v>
      </c>
      <c r="H4024" s="2" t="s">
        <v>35</v>
      </c>
    </row>
    <row r="4025" spans="1:8" ht="13" hidden="1">
      <c r="A4025" s="15">
        <v>46131.802277083334</v>
      </c>
      <c r="B4025" s="16">
        <v>46113</v>
      </c>
      <c r="C4025" s="2" t="s">
        <v>179</v>
      </c>
      <c r="D4025" s="2" t="s">
        <v>49</v>
      </c>
      <c r="E4025" s="2">
        <v>700</v>
      </c>
      <c r="F4025" s="2" t="s">
        <v>100</v>
      </c>
      <c r="H4025" s="2" t="s">
        <v>35</v>
      </c>
    </row>
    <row r="4026" spans="1:8" ht="9" customHeight="1">
      <c r="A4026" s="15">
        <v>46117.696341805553</v>
      </c>
      <c r="B4026" s="16">
        <v>46113</v>
      </c>
      <c r="C4026" s="2" t="s">
        <v>674</v>
      </c>
      <c r="D4026" s="2" t="s">
        <v>52</v>
      </c>
      <c r="E4026" s="2">
        <v>2950</v>
      </c>
      <c r="F4026" s="2" t="s">
        <v>102</v>
      </c>
      <c r="H4026" s="2" t="s">
        <v>35</v>
      </c>
    </row>
    <row r="4027" spans="1:8" ht="9" customHeight="1">
      <c r="A4027" s="15">
        <v>46117.696579085648</v>
      </c>
      <c r="B4027" s="16">
        <v>46114</v>
      </c>
      <c r="C4027" s="2" t="s">
        <v>106</v>
      </c>
      <c r="D4027" s="2" t="s">
        <v>52</v>
      </c>
      <c r="E4027" s="2">
        <v>1380</v>
      </c>
      <c r="F4027" s="2" t="s">
        <v>102</v>
      </c>
      <c r="H4027" s="2" t="s">
        <v>35</v>
      </c>
    </row>
    <row r="4028" spans="1:8" ht="9" customHeight="1">
      <c r="A4028" s="15">
        <v>46117.696918634261</v>
      </c>
      <c r="B4028" s="16">
        <v>46115</v>
      </c>
      <c r="C4028" s="2" t="s">
        <v>106</v>
      </c>
      <c r="D4028" s="2" t="s">
        <v>52</v>
      </c>
      <c r="E4028" s="2">
        <v>980</v>
      </c>
      <c r="F4028" s="2" t="s">
        <v>102</v>
      </c>
      <c r="G4028" s="2" t="s">
        <v>1095</v>
      </c>
      <c r="H4028" s="2" t="s">
        <v>35</v>
      </c>
    </row>
    <row r="4029" spans="1:8" ht="9" customHeight="1">
      <c r="A4029" s="15">
        <v>46117.697368460649</v>
      </c>
      <c r="B4029" s="16">
        <v>46115</v>
      </c>
      <c r="C4029" s="2" t="s">
        <v>1448</v>
      </c>
      <c r="D4029" s="2" t="s">
        <v>52</v>
      </c>
      <c r="E4029" s="2">
        <v>500</v>
      </c>
      <c r="F4029" s="2" t="s">
        <v>102</v>
      </c>
      <c r="H4029" s="2" t="s">
        <v>35</v>
      </c>
    </row>
    <row r="4030" spans="1:8" ht="9" customHeight="1">
      <c r="A4030" s="15">
        <v>46117.697808310186</v>
      </c>
      <c r="B4030" s="16">
        <v>46115</v>
      </c>
      <c r="C4030" s="2" t="s">
        <v>112</v>
      </c>
      <c r="D4030" s="2" t="s">
        <v>52</v>
      </c>
      <c r="E4030" s="2">
        <v>490</v>
      </c>
      <c r="F4030" s="2" t="s">
        <v>102</v>
      </c>
      <c r="G4030" s="2" t="s">
        <v>1449</v>
      </c>
      <c r="H4030" s="2" t="s">
        <v>35</v>
      </c>
    </row>
    <row r="4031" spans="1:8" ht="9" customHeight="1">
      <c r="A4031" s="15">
        <v>46117.698310219908</v>
      </c>
      <c r="B4031" s="16">
        <v>46115</v>
      </c>
      <c r="C4031" s="2" t="s">
        <v>1094</v>
      </c>
      <c r="D4031" s="2" t="s">
        <v>52</v>
      </c>
      <c r="E4031" s="2">
        <v>1300</v>
      </c>
      <c r="F4031" s="2" t="s">
        <v>102</v>
      </c>
      <c r="H4031" s="2" t="s">
        <v>35</v>
      </c>
    </row>
    <row r="4032" spans="1:8" ht="13" hidden="1">
      <c r="A4032" s="15">
        <v>46131.802596805559</v>
      </c>
      <c r="B4032" s="16">
        <v>46115</v>
      </c>
      <c r="C4032" s="2" t="s">
        <v>350</v>
      </c>
      <c r="D4032" s="2" t="s">
        <v>40</v>
      </c>
      <c r="E4032" s="2">
        <v>2000</v>
      </c>
      <c r="F4032" s="2" t="s">
        <v>100</v>
      </c>
      <c r="H4032" s="2" t="s">
        <v>35</v>
      </c>
    </row>
    <row r="4033" spans="1:8" ht="9" customHeight="1">
      <c r="A4033" s="15">
        <v>46117.698557314812</v>
      </c>
      <c r="B4033" s="16">
        <v>46115</v>
      </c>
      <c r="C4033" s="2" t="s">
        <v>452</v>
      </c>
      <c r="D4033" s="2" t="s">
        <v>39</v>
      </c>
      <c r="E4033" s="2">
        <v>3000</v>
      </c>
      <c r="F4033" s="2" t="s">
        <v>102</v>
      </c>
      <c r="H4033" s="2" t="s">
        <v>35</v>
      </c>
    </row>
    <row r="4034" spans="1:8" ht="9" customHeight="1">
      <c r="A4034" s="15">
        <v>46117.699046851849</v>
      </c>
      <c r="B4034" s="16">
        <v>46116</v>
      </c>
      <c r="C4034" s="2" t="s">
        <v>116</v>
      </c>
      <c r="D4034" s="2" t="s">
        <v>38</v>
      </c>
      <c r="E4034" s="2">
        <v>2802</v>
      </c>
      <c r="F4034" s="2" t="s">
        <v>102</v>
      </c>
      <c r="G4034" s="2" t="s">
        <v>145</v>
      </c>
      <c r="H4034" s="2" t="s">
        <v>35</v>
      </c>
    </row>
    <row r="4035" spans="1:8" ht="13" hidden="1">
      <c r="A4035" s="15">
        <v>46131.804548298613</v>
      </c>
      <c r="B4035" s="16">
        <v>46116</v>
      </c>
      <c r="C4035" s="2" t="s">
        <v>240</v>
      </c>
      <c r="D4035" s="2" t="s">
        <v>42</v>
      </c>
      <c r="E4035" s="2">
        <v>990</v>
      </c>
      <c r="F4035" s="2" t="s">
        <v>100</v>
      </c>
      <c r="H4035" s="2" t="s">
        <v>35</v>
      </c>
    </row>
    <row r="4036" spans="1:8" ht="9" customHeight="1">
      <c r="A4036" s="15">
        <v>46117.699323391207</v>
      </c>
      <c r="B4036" s="16">
        <v>46116</v>
      </c>
      <c r="C4036" s="2" t="s">
        <v>1349</v>
      </c>
      <c r="D4036" s="2" t="s">
        <v>52</v>
      </c>
      <c r="E4036" s="2">
        <v>3080</v>
      </c>
      <c r="F4036" s="2" t="s">
        <v>102</v>
      </c>
      <c r="H4036" s="2" t="s">
        <v>35</v>
      </c>
    </row>
    <row r="4037" spans="1:8" ht="9" customHeight="1">
      <c r="A4037" s="15">
        <v>46117.699602291672</v>
      </c>
      <c r="B4037" s="16">
        <v>46117</v>
      </c>
      <c r="C4037" s="2" t="s">
        <v>912</v>
      </c>
      <c r="D4037" s="2" t="s">
        <v>38</v>
      </c>
      <c r="E4037" s="2">
        <v>315</v>
      </c>
      <c r="F4037" s="2" t="s">
        <v>102</v>
      </c>
      <c r="G4037" s="2" t="s">
        <v>356</v>
      </c>
      <c r="H4037" s="2" t="s">
        <v>35</v>
      </c>
    </row>
    <row r="4038" spans="1:8" ht="9" customHeight="1">
      <c r="A4038" s="15">
        <v>46117.699892002318</v>
      </c>
      <c r="B4038" s="16">
        <v>46117</v>
      </c>
      <c r="C4038" s="2" t="s">
        <v>1005</v>
      </c>
      <c r="D4038" s="2" t="s">
        <v>45</v>
      </c>
      <c r="E4038" s="2">
        <v>529</v>
      </c>
      <c r="F4038" s="2" t="s">
        <v>102</v>
      </c>
      <c r="G4038" s="2" t="s">
        <v>285</v>
      </c>
      <c r="H4038" s="2" t="s">
        <v>35</v>
      </c>
    </row>
    <row r="4039" spans="1:8" ht="13" hidden="1">
      <c r="A4039" s="15">
        <v>46131.804823761573</v>
      </c>
      <c r="B4039" s="16">
        <v>46117</v>
      </c>
      <c r="C4039" s="2" t="s">
        <v>1450</v>
      </c>
      <c r="D4039" s="2" t="s">
        <v>39</v>
      </c>
      <c r="E4039" s="2">
        <v>11500</v>
      </c>
      <c r="F4039" s="2" t="s">
        <v>100</v>
      </c>
      <c r="H4039" s="2" t="s">
        <v>35</v>
      </c>
    </row>
    <row r="4040" spans="1:8" ht="13" hidden="1">
      <c r="A4040" s="15">
        <v>46131.805094062496</v>
      </c>
      <c r="B4040" s="16">
        <v>46117</v>
      </c>
      <c r="C4040" s="2" t="s">
        <v>556</v>
      </c>
      <c r="D4040" s="2" t="s">
        <v>53</v>
      </c>
      <c r="E4040" s="2">
        <v>1400</v>
      </c>
      <c r="F4040" s="2" t="s">
        <v>100</v>
      </c>
      <c r="H4040" s="2" t="s">
        <v>35</v>
      </c>
    </row>
    <row r="4041" spans="1:8" ht="9" customHeight="1">
      <c r="A4041" s="15">
        <v>46131.785326365745</v>
      </c>
      <c r="B4041" s="16">
        <v>46117</v>
      </c>
      <c r="C4041" s="2" t="s">
        <v>1451</v>
      </c>
      <c r="E4041" s="2">
        <v>5000</v>
      </c>
      <c r="H4041" s="2" t="s">
        <v>34</v>
      </c>
    </row>
    <row r="4042" spans="1:8" ht="13" hidden="1">
      <c r="A4042" s="15">
        <v>46131.805446157407</v>
      </c>
      <c r="B4042" s="16">
        <v>46118</v>
      </c>
      <c r="C4042" s="2" t="s">
        <v>176</v>
      </c>
      <c r="D4042" s="2" t="s">
        <v>41</v>
      </c>
      <c r="E4042" s="2">
        <v>3220</v>
      </c>
      <c r="F4042" s="2" t="s">
        <v>100</v>
      </c>
      <c r="H4042" s="2" t="s">
        <v>35</v>
      </c>
    </row>
    <row r="4043" spans="1:8" ht="9" customHeight="1">
      <c r="A4043" s="15">
        <v>46118.52208174768</v>
      </c>
      <c r="B4043" s="16">
        <v>46118</v>
      </c>
      <c r="C4043" s="2" t="s">
        <v>106</v>
      </c>
      <c r="D4043" s="2" t="s">
        <v>52</v>
      </c>
      <c r="E4043" s="2">
        <v>1650</v>
      </c>
      <c r="F4043" s="2" t="s">
        <v>102</v>
      </c>
      <c r="H4043" s="2" t="s">
        <v>35</v>
      </c>
    </row>
    <row r="4044" spans="1:8" ht="13" hidden="1">
      <c r="A4044" s="15">
        <v>46131.805775613422</v>
      </c>
      <c r="B4044" s="16">
        <v>46119</v>
      </c>
      <c r="C4044" s="2" t="s">
        <v>409</v>
      </c>
      <c r="D4044" s="2" t="s">
        <v>40</v>
      </c>
      <c r="E4044" s="2">
        <v>11860</v>
      </c>
      <c r="F4044" s="2" t="s">
        <v>100</v>
      </c>
      <c r="H4044" s="2" t="s">
        <v>35</v>
      </c>
    </row>
    <row r="4045" spans="1:8" ht="9" customHeight="1">
      <c r="A4045" s="15">
        <v>46131.785712974539</v>
      </c>
      <c r="B4045" s="16">
        <v>46119</v>
      </c>
      <c r="C4045" s="2" t="s">
        <v>116</v>
      </c>
      <c r="D4045" s="2" t="s">
        <v>38</v>
      </c>
      <c r="E4045" s="2">
        <v>791</v>
      </c>
      <c r="F4045" s="2" t="s">
        <v>102</v>
      </c>
      <c r="G4045" s="2" t="s">
        <v>145</v>
      </c>
      <c r="H4045" s="2" t="s">
        <v>35</v>
      </c>
    </row>
    <row r="4046" spans="1:8" ht="9" customHeight="1">
      <c r="A4046" s="15">
        <v>46138.711538159725</v>
      </c>
      <c r="B4046" s="16">
        <v>46119</v>
      </c>
      <c r="C4046" s="2" t="s">
        <v>258</v>
      </c>
      <c r="E4046" s="2">
        <v>45605</v>
      </c>
      <c r="H4046" s="2" t="s">
        <v>34</v>
      </c>
    </row>
    <row r="4047" spans="1:8" ht="9" customHeight="1">
      <c r="A4047" s="15">
        <v>46131.786124675928</v>
      </c>
      <c r="B4047" s="16">
        <v>46120</v>
      </c>
      <c r="C4047" s="2" t="s">
        <v>112</v>
      </c>
      <c r="D4047" s="2" t="s">
        <v>38</v>
      </c>
      <c r="E4047" s="2">
        <v>195</v>
      </c>
      <c r="F4047" s="2" t="s">
        <v>102</v>
      </c>
      <c r="G4047" s="2" t="s">
        <v>356</v>
      </c>
      <c r="H4047" s="2" t="s">
        <v>35</v>
      </c>
    </row>
    <row r="4048" spans="1:8" ht="13" hidden="1">
      <c r="A4048" s="15">
        <v>46131.806068877311</v>
      </c>
      <c r="B4048" s="16">
        <v>46120</v>
      </c>
      <c r="C4048" s="2" t="s">
        <v>12</v>
      </c>
      <c r="D4048" s="2" t="s">
        <v>53</v>
      </c>
      <c r="E4048" s="2">
        <v>1520</v>
      </c>
      <c r="F4048" s="2" t="s">
        <v>100</v>
      </c>
      <c r="H4048" s="2" t="s">
        <v>35</v>
      </c>
    </row>
    <row r="4049" spans="1:8" ht="13" hidden="1">
      <c r="A4049" s="15">
        <v>46131.806520914353</v>
      </c>
      <c r="B4049" s="16">
        <v>46120</v>
      </c>
      <c r="C4049" s="2" t="s">
        <v>654</v>
      </c>
      <c r="D4049" s="2" t="s">
        <v>48</v>
      </c>
      <c r="E4049" s="2">
        <v>150</v>
      </c>
      <c r="F4049" s="2" t="s">
        <v>100</v>
      </c>
      <c r="H4049" s="2" t="s">
        <v>35</v>
      </c>
    </row>
    <row r="4050" spans="1:8" ht="13" hidden="1">
      <c r="A4050" s="15">
        <v>46131.806765243055</v>
      </c>
      <c r="B4050" s="16">
        <v>46120</v>
      </c>
      <c r="C4050" s="2" t="s">
        <v>1127</v>
      </c>
      <c r="D4050" s="2" t="s">
        <v>152</v>
      </c>
      <c r="E4050" s="2">
        <v>1155</v>
      </c>
      <c r="F4050" s="2" t="s">
        <v>100</v>
      </c>
      <c r="H4050" s="2" t="s">
        <v>35</v>
      </c>
    </row>
    <row r="4051" spans="1:8" ht="13" hidden="1">
      <c r="A4051" s="15">
        <v>46131.807737013893</v>
      </c>
      <c r="B4051" s="16">
        <v>46120</v>
      </c>
      <c r="C4051" s="2" t="s">
        <v>240</v>
      </c>
      <c r="D4051" s="2" t="s">
        <v>42</v>
      </c>
      <c r="E4051" s="2">
        <v>990</v>
      </c>
      <c r="F4051" s="2" t="s">
        <v>100</v>
      </c>
      <c r="H4051" s="2" t="s">
        <v>35</v>
      </c>
    </row>
    <row r="4052" spans="1:8" ht="13" hidden="1">
      <c r="A4052" s="15">
        <v>46131.80808560185</v>
      </c>
      <c r="B4052" s="16">
        <v>46121</v>
      </c>
      <c r="C4052" s="2" t="s">
        <v>15</v>
      </c>
      <c r="D4052" s="2" t="s">
        <v>48</v>
      </c>
      <c r="E4052" s="2">
        <v>880</v>
      </c>
      <c r="F4052" s="2" t="s">
        <v>100</v>
      </c>
      <c r="H4052" s="2" t="s">
        <v>35</v>
      </c>
    </row>
    <row r="4053" spans="1:8" ht="13" hidden="1">
      <c r="A4053" s="15">
        <v>46131.810616261573</v>
      </c>
      <c r="B4053" s="16">
        <v>46121</v>
      </c>
      <c r="C4053" s="2" t="s">
        <v>409</v>
      </c>
      <c r="D4053" s="2" t="s">
        <v>40</v>
      </c>
      <c r="E4053" s="2">
        <v>13860</v>
      </c>
      <c r="F4053" s="2" t="s">
        <v>100</v>
      </c>
      <c r="H4053" s="2" t="s">
        <v>35</v>
      </c>
    </row>
    <row r="4054" spans="1:8" ht="9" customHeight="1">
      <c r="A4054" s="15">
        <v>46131.786521550923</v>
      </c>
      <c r="B4054" s="16">
        <v>46120</v>
      </c>
      <c r="C4054" s="2" t="s">
        <v>1452</v>
      </c>
      <c r="D4054" s="2" t="s">
        <v>52</v>
      </c>
      <c r="E4054" s="2">
        <v>3150</v>
      </c>
      <c r="F4054" s="2" t="s">
        <v>102</v>
      </c>
      <c r="H4054" s="2" t="s">
        <v>35</v>
      </c>
    </row>
    <row r="4055" spans="1:8" ht="9" customHeight="1">
      <c r="A4055" s="15">
        <v>46131.786834895829</v>
      </c>
      <c r="B4055" s="16">
        <v>46120</v>
      </c>
      <c r="C4055" s="2" t="s">
        <v>294</v>
      </c>
      <c r="D4055" s="2" t="s">
        <v>38</v>
      </c>
      <c r="E4055" s="2">
        <v>540</v>
      </c>
      <c r="F4055" s="2" t="s">
        <v>102</v>
      </c>
      <c r="G4055" s="2" t="s">
        <v>145</v>
      </c>
      <c r="H4055" s="2" t="s">
        <v>35</v>
      </c>
    </row>
    <row r="4056" spans="1:8" ht="9" customHeight="1">
      <c r="A4056" s="15">
        <v>46131.78717354167</v>
      </c>
      <c r="B4056" s="16">
        <v>46122</v>
      </c>
      <c r="C4056" s="2" t="s">
        <v>112</v>
      </c>
      <c r="D4056" s="2" t="s">
        <v>38</v>
      </c>
      <c r="E4056" s="2">
        <v>170</v>
      </c>
      <c r="F4056" s="2" t="s">
        <v>102</v>
      </c>
      <c r="G4056" s="2" t="s">
        <v>356</v>
      </c>
      <c r="H4056" s="2" t="s">
        <v>35</v>
      </c>
    </row>
    <row r="4057" spans="1:8" ht="9" customHeight="1">
      <c r="A4057" s="15">
        <v>46131.787412476857</v>
      </c>
      <c r="B4057" s="16">
        <v>46122</v>
      </c>
      <c r="C4057" s="2" t="s">
        <v>106</v>
      </c>
      <c r="D4057" s="2" t="s">
        <v>52</v>
      </c>
      <c r="E4057" s="2">
        <v>950</v>
      </c>
      <c r="F4057" s="2" t="s">
        <v>102</v>
      </c>
      <c r="H4057" s="2" t="s">
        <v>35</v>
      </c>
    </row>
    <row r="4058" spans="1:8" ht="13" hidden="1">
      <c r="A4058" s="15">
        <v>46131.808325717589</v>
      </c>
      <c r="B4058" s="16">
        <v>46122</v>
      </c>
      <c r="C4058" s="2" t="s">
        <v>240</v>
      </c>
      <c r="D4058" s="2" t="s">
        <v>42</v>
      </c>
      <c r="E4058" s="2">
        <v>990</v>
      </c>
      <c r="F4058" s="2" t="s">
        <v>100</v>
      </c>
      <c r="H4058" s="2" t="s">
        <v>35</v>
      </c>
    </row>
    <row r="4059" spans="1:8" ht="13" hidden="1">
      <c r="A4059" s="15">
        <v>46131.809960451385</v>
      </c>
      <c r="B4059" s="16">
        <v>46122</v>
      </c>
      <c r="C4059" s="2" t="s">
        <v>1453</v>
      </c>
      <c r="D4059" s="2" t="s">
        <v>39</v>
      </c>
      <c r="E4059" s="2">
        <v>10472</v>
      </c>
      <c r="F4059" s="2" t="s">
        <v>100</v>
      </c>
      <c r="H4059" s="2" t="s">
        <v>35</v>
      </c>
    </row>
    <row r="4060" spans="1:8" ht="13" hidden="1">
      <c r="A4060" s="15">
        <v>46131.811010520832</v>
      </c>
      <c r="B4060" s="16">
        <v>46122</v>
      </c>
      <c r="C4060" s="2" t="s">
        <v>1127</v>
      </c>
      <c r="D4060" s="2" t="s">
        <v>152</v>
      </c>
      <c r="E4060" s="2">
        <v>1320</v>
      </c>
      <c r="F4060" s="2" t="s">
        <v>100</v>
      </c>
      <c r="H4060" s="2" t="s">
        <v>35</v>
      </c>
    </row>
    <row r="4061" spans="1:8" ht="9" customHeight="1">
      <c r="A4061" s="15">
        <v>46131.787829363428</v>
      </c>
      <c r="B4061" s="16">
        <v>46122</v>
      </c>
      <c r="C4061" s="2" t="s">
        <v>1454</v>
      </c>
      <c r="E4061" s="2">
        <v>5000</v>
      </c>
      <c r="H4061" s="2" t="s">
        <v>34</v>
      </c>
    </row>
    <row r="4062" spans="1:8" ht="9" customHeight="1">
      <c r="A4062" s="15">
        <v>46131.788230648148</v>
      </c>
      <c r="B4062" s="16">
        <v>46122</v>
      </c>
      <c r="C4062" s="2" t="s">
        <v>987</v>
      </c>
      <c r="D4062" s="2" t="s">
        <v>38</v>
      </c>
      <c r="E4062" s="2">
        <v>348</v>
      </c>
      <c r="F4062" s="2" t="s">
        <v>102</v>
      </c>
      <c r="G4062" s="2" t="s">
        <v>356</v>
      </c>
      <c r="H4062" s="2" t="s">
        <v>35</v>
      </c>
    </row>
    <row r="4063" spans="1:8" ht="13" hidden="1">
      <c r="A4063" s="15">
        <v>46131.811320590277</v>
      </c>
      <c r="B4063" s="16">
        <v>46123</v>
      </c>
      <c r="C4063" s="2" t="s">
        <v>1455</v>
      </c>
      <c r="D4063" s="2" t="s">
        <v>39</v>
      </c>
      <c r="E4063" s="2">
        <v>8390</v>
      </c>
      <c r="F4063" s="2" t="s">
        <v>100</v>
      </c>
      <c r="H4063" s="2" t="s">
        <v>35</v>
      </c>
    </row>
    <row r="4064" spans="1:8" ht="13" hidden="1">
      <c r="A4064" s="15">
        <v>46131.811945601847</v>
      </c>
      <c r="B4064" s="16">
        <v>46123</v>
      </c>
      <c r="C4064" s="2" t="s">
        <v>247</v>
      </c>
      <c r="D4064" s="2" t="s">
        <v>53</v>
      </c>
      <c r="E4064" s="2">
        <v>2900</v>
      </c>
      <c r="F4064" s="2" t="s">
        <v>100</v>
      </c>
      <c r="H4064" s="2" t="s">
        <v>35</v>
      </c>
    </row>
    <row r="4065" spans="1:8" ht="13" hidden="1">
      <c r="A4065" s="15">
        <v>46131.812237233797</v>
      </c>
      <c r="B4065" s="16">
        <v>46123</v>
      </c>
      <c r="C4065" s="2" t="s">
        <v>240</v>
      </c>
      <c r="D4065" s="2" t="s">
        <v>42</v>
      </c>
      <c r="E4065" s="2">
        <v>990</v>
      </c>
      <c r="F4065" s="2" t="s">
        <v>100</v>
      </c>
      <c r="H4065" s="2" t="s">
        <v>35</v>
      </c>
    </row>
    <row r="4066" spans="1:8" ht="13" hidden="1">
      <c r="A4066" s="15">
        <v>46131.812610578709</v>
      </c>
      <c r="B4066" s="16">
        <v>46123</v>
      </c>
      <c r="C4066" s="2" t="s">
        <v>350</v>
      </c>
      <c r="D4066" s="2" t="s">
        <v>40</v>
      </c>
      <c r="E4066" s="2">
        <v>2000</v>
      </c>
      <c r="F4066" s="2" t="s">
        <v>100</v>
      </c>
      <c r="H4066" s="2" t="s">
        <v>35</v>
      </c>
    </row>
    <row r="4067" spans="1:8" ht="13" hidden="1">
      <c r="A4067" s="15">
        <v>46131.813644733797</v>
      </c>
      <c r="B4067" s="16">
        <v>46123</v>
      </c>
      <c r="C4067" s="2" t="s">
        <v>18</v>
      </c>
      <c r="D4067" s="2" t="s">
        <v>41</v>
      </c>
      <c r="E4067" s="2">
        <v>5868</v>
      </c>
      <c r="F4067" s="2" t="s">
        <v>100</v>
      </c>
      <c r="H4067" s="2" t="s">
        <v>35</v>
      </c>
    </row>
    <row r="4068" spans="1:8" ht="13" hidden="1">
      <c r="A4068" s="15">
        <v>46131.814030497684</v>
      </c>
      <c r="B4068" s="16">
        <v>46123</v>
      </c>
      <c r="C4068" s="2" t="s">
        <v>247</v>
      </c>
      <c r="D4068" s="2" t="s">
        <v>53</v>
      </c>
      <c r="E4068" s="2">
        <v>10400</v>
      </c>
      <c r="F4068" s="2" t="s">
        <v>100</v>
      </c>
      <c r="H4068" s="2" t="s">
        <v>35</v>
      </c>
    </row>
    <row r="4069" spans="1:8" ht="9" customHeight="1">
      <c r="A4069" s="15">
        <v>46131.788588229167</v>
      </c>
      <c r="B4069" s="16">
        <v>46123</v>
      </c>
      <c r="C4069" s="2" t="s">
        <v>1456</v>
      </c>
      <c r="D4069" s="2" t="s">
        <v>52</v>
      </c>
      <c r="E4069" s="2">
        <v>1660</v>
      </c>
      <c r="F4069" s="2" t="s">
        <v>102</v>
      </c>
      <c r="H4069" s="2" t="s">
        <v>35</v>
      </c>
    </row>
    <row r="4070" spans="1:8" ht="9" customHeight="1">
      <c r="A4070" s="15">
        <v>46131.788874097227</v>
      </c>
      <c r="B4070" s="16">
        <v>46123</v>
      </c>
      <c r="C4070" s="2" t="s">
        <v>114</v>
      </c>
      <c r="D4070" s="2" t="s">
        <v>38</v>
      </c>
      <c r="E4070" s="2">
        <v>178</v>
      </c>
      <c r="F4070" s="2" t="s">
        <v>102</v>
      </c>
      <c r="G4070" s="2" t="s">
        <v>356</v>
      </c>
      <c r="H4070" s="2" t="s">
        <v>35</v>
      </c>
    </row>
    <row r="4071" spans="1:8" ht="9" customHeight="1">
      <c r="A4071" s="15">
        <v>46131.789180763888</v>
      </c>
      <c r="B4071" s="16">
        <v>46124</v>
      </c>
      <c r="C4071" s="2" t="s">
        <v>280</v>
      </c>
      <c r="D4071" s="2" t="s">
        <v>46</v>
      </c>
      <c r="E4071" s="2">
        <v>869</v>
      </c>
      <c r="F4071" s="2" t="s">
        <v>102</v>
      </c>
      <c r="H4071" s="2" t="s">
        <v>35</v>
      </c>
    </row>
    <row r="4072" spans="1:8" ht="9" customHeight="1">
      <c r="A4072" s="15">
        <v>46131.789399814814</v>
      </c>
      <c r="B4072" s="16">
        <v>46124</v>
      </c>
      <c r="C4072" s="2" t="s">
        <v>1457</v>
      </c>
      <c r="E4072" s="2">
        <v>3000</v>
      </c>
      <c r="H4072" s="2" t="s">
        <v>34</v>
      </c>
    </row>
    <row r="4073" spans="1:8" ht="9" customHeight="1">
      <c r="A4073" s="15">
        <v>46131.789706331023</v>
      </c>
      <c r="B4073" s="16">
        <v>46124</v>
      </c>
      <c r="C4073" s="2" t="s">
        <v>163</v>
      </c>
      <c r="D4073" s="2" t="s">
        <v>38</v>
      </c>
      <c r="E4073" s="2">
        <v>2060</v>
      </c>
      <c r="F4073" s="2" t="s">
        <v>102</v>
      </c>
      <c r="G4073" s="2" t="s">
        <v>164</v>
      </c>
      <c r="H4073" s="2" t="s">
        <v>35</v>
      </c>
    </row>
    <row r="4074" spans="1:8" ht="13" hidden="1">
      <c r="A4074" s="15">
        <v>46131.814318020828</v>
      </c>
      <c r="B4074" s="16">
        <v>46124</v>
      </c>
      <c r="C4074" s="2" t="s">
        <v>556</v>
      </c>
      <c r="D4074" s="2" t="s">
        <v>53</v>
      </c>
      <c r="E4074" s="2">
        <v>1400</v>
      </c>
      <c r="F4074" s="2" t="s">
        <v>100</v>
      </c>
      <c r="H4074" s="2" t="s">
        <v>35</v>
      </c>
    </row>
    <row r="4075" spans="1:8" ht="13" hidden="1">
      <c r="A4075" s="15">
        <v>46131.814687986116</v>
      </c>
      <c r="B4075" s="16">
        <v>46124</v>
      </c>
      <c r="C4075" s="2" t="s">
        <v>1349</v>
      </c>
      <c r="D4075" s="2" t="s">
        <v>52</v>
      </c>
      <c r="E4075" s="2">
        <v>4270</v>
      </c>
      <c r="F4075" s="2" t="s">
        <v>100</v>
      </c>
      <c r="H4075" s="2" t="s">
        <v>35</v>
      </c>
    </row>
    <row r="4076" spans="1:8" ht="13" hidden="1">
      <c r="A4076" s="15">
        <v>46131.81497619213</v>
      </c>
      <c r="B4076" s="16">
        <v>46125</v>
      </c>
      <c r="C4076" s="2" t="s">
        <v>469</v>
      </c>
      <c r="D4076" s="2" t="s">
        <v>40</v>
      </c>
      <c r="E4076" s="2">
        <v>8250</v>
      </c>
      <c r="F4076" s="2" t="s">
        <v>100</v>
      </c>
      <c r="H4076" s="2" t="s">
        <v>35</v>
      </c>
    </row>
    <row r="4077" spans="1:8" ht="9" customHeight="1">
      <c r="A4077" s="15">
        <v>46131.790162222227</v>
      </c>
      <c r="B4077" s="16">
        <v>46124</v>
      </c>
      <c r="C4077" s="2" t="s">
        <v>294</v>
      </c>
      <c r="D4077" s="2" t="s">
        <v>38</v>
      </c>
      <c r="E4077" s="2">
        <v>1164</v>
      </c>
      <c r="F4077" s="2" t="s">
        <v>102</v>
      </c>
      <c r="G4077" s="2" t="s">
        <v>103</v>
      </c>
      <c r="H4077" s="2" t="s">
        <v>35</v>
      </c>
    </row>
    <row r="4078" spans="1:8" ht="9" customHeight="1">
      <c r="A4078" s="15">
        <v>46131.790512685184</v>
      </c>
      <c r="B4078" s="16">
        <v>46124</v>
      </c>
      <c r="C4078" s="2" t="s">
        <v>116</v>
      </c>
      <c r="D4078" s="2" t="s">
        <v>38</v>
      </c>
      <c r="E4078" s="2">
        <v>2552</v>
      </c>
      <c r="F4078" s="2" t="s">
        <v>102</v>
      </c>
      <c r="G4078" s="2" t="s">
        <v>145</v>
      </c>
      <c r="H4078" s="2" t="s">
        <v>35</v>
      </c>
    </row>
    <row r="4079" spans="1:8" ht="9" customHeight="1">
      <c r="A4079" s="15">
        <v>46131.790810497681</v>
      </c>
      <c r="B4079" s="16">
        <v>46126</v>
      </c>
      <c r="C4079" s="2" t="s">
        <v>871</v>
      </c>
      <c r="D4079" s="2" t="s">
        <v>46</v>
      </c>
      <c r="E4079" s="2">
        <v>2199</v>
      </c>
      <c r="F4079" s="2" t="s">
        <v>102</v>
      </c>
      <c r="H4079" s="2" t="s">
        <v>35</v>
      </c>
    </row>
    <row r="4080" spans="1:8" ht="9" customHeight="1">
      <c r="A4080" s="15">
        <v>46131.791164791663</v>
      </c>
      <c r="B4080" s="16">
        <v>46126</v>
      </c>
      <c r="C4080" s="2" t="s">
        <v>114</v>
      </c>
      <c r="D4080" s="2" t="s">
        <v>38</v>
      </c>
      <c r="E4080" s="2">
        <v>561</v>
      </c>
      <c r="F4080" s="2" t="s">
        <v>102</v>
      </c>
      <c r="H4080" s="2" t="s">
        <v>35</v>
      </c>
    </row>
    <row r="4081" spans="1:8" ht="13" hidden="1">
      <c r="A4081" s="15">
        <v>46131.815301122682</v>
      </c>
      <c r="B4081" s="16">
        <v>46126</v>
      </c>
      <c r="C4081" s="2" t="s">
        <v>736</v>
      </c>
      <c r="D4081" s="2" t="s">
        <v>53</v>
      </c>
      <c r="E4081" s="2">
        <v>2530</v>
      </c>
      <c r="F4081" s="2" t="s">
        <v>100</v>
      </c>
      <c r="H4081" s="2" t="s">
        <v>35</v>
      </c>
    </row>
    <row r="4082" spans="1:8" ht="13" hidden="1">
      <c r="A4082" s="15">
        <v>46131.815733773146</v>
      </c>
      <c r="B4082" s="16">
        <v>46126</v>
      </c>
      <c r="C4082" s="2" t="s">
        <v>736</v>
      </c>
      <c r="D4082" s="2" t="s">
        <v>53</v>
      </c>
      <c r="E4082" s="2">
        <v>2310</v>
      </c>
      <c r="F4082" s="2" t="s">
        <v>100</v>
      </c>
      <c r="H4082" s="2" t="s">
        <v>35</v>
      </c>
    </row>
    <row r="4083" spans="1:8" ht="13" hidden="1">
      <c r="A4083" s="15">
        <v>46131.816062592596</v>
      </c>
      <c r="B4083" s="16">
        <v>46126</v>
      </c>
      <c r="C4083" s="2" t="s">
        <v>418</v>
      </c>
      <c r="D4083" s="2" t="s">
        <v>152</v>
      </c>
      <c r="E4083" s="2">
        <v>8180</v>
      </c>
      <c r="F4083" s="2" t="s">
        <v>100</v>
      </c>
      <c r="H4083" s="2" t="s">
        <v>35</v>
      </c>
    </row>
    <row r="4084" spans="1:8" ht="13" hidden="1">
      <c r="A4084" s="15">
        <v>46131.816292129632</v>
      </c>
      <c r="B4084" s="16">
        <v>46126</v>
      </c>
      <c r="C4084" s="2" t="s">
        <v>469</v>
      </c>
      <c r="D4084" s="2" t="s">
        <v>40</v>
      </c>
      <c r="E4084" s="2">
        <v>8250</v>
      </c>
      <c r="F4084" s="2" t="s">
        <v>100</v>
      </c>
      <c r="H4084" s="2" t="s">
        <v>35</v>
      </c>
    </row>
    <row r="4085" spans="1:8" ht="13" hidden="1">
      <c r="A4085" s="15">
        <v>46131.816581134262</v>
      </c>
      <c r="B4085" s="16">
        <v>46126</v>
      </c>
      <c r="C4085" s="2" t="s">
        <v>240</v>
      </c>
      <c r="D4085" s="2" t="s">
        <v>42</v>
      </c>
      <c r="E4085" s="2">
        <v>990</v>
      </c>
      <c r="F4085" s="2" t="s">
        <v>100</v>
      </c>
      <c r="H4085" s="2" t="s">
        <v>35</v>
      </c>
    </row>
    <row r="4086" spans="1:8" ht="9" customHeight="1">
      <c r="A4086" s="15">
        <v>46131.791485555557</v>
      </c>
      <c r="B4086" s="16">
        <v>46126</v>
      </c>
      <c r="C4086" s="2" t="s">
        <v>1455</v>
      </c>
      <c r="D4086" s="2" t="s">
        <v>52</v>
      </c>
      <c r="E4086" s="2">
        <v>3405</v>
      </c>
      <c r="F4086" s="2" t="s">
        <v>102</v>
      </c>
      <c r="H4086" s="2" t="s">
        <v>35</v>
      </c>
    </row>
    <row r="4087" spans="1:8" ht="9" customHeight="1">
      <c r="A4087" s="15">
        <v>46131.791731921301</v>
      </c>
      <c r="B4087" s="16">
        <v>46126</v>
      </c>
      <c r="C4087" s="2" t="s">
        <v>1135</v>
      </c>
      <c r="D4087" s="2" t="s">
        <v>38</v>
      </c>
      <c r="E4087" s="2">
        <v>674</v>
      </c>
      <c r="F4087" s="2" t="s">
        <v>102</v>
      </c>
      <c r="G4087" s="2" t="s">
        <v>107</v>
      </c>
      <c r="H4087" s="2" t="s">
        <v>35</v>
      </c>
    </row>
    <row r="4088" spans="1:8" ht="9" customHeight="1">
      <c r="A4088" s="15">
        <v>46131.791940300929</v>
      </c>
      <c r="B4088" s="16">
        <v>46127</v>
      </c>
      <c r="C4088" s="2" t="s">
        <v>105</v>
      </c>
      <c r="D4088" s="2" t="s">
        <v>40</v>
      </c>
      <c r="E4088" s="2">
        <v>1300</v>
      </c>
      <c r="F4088" s="2" t="s">
        <v>102</v>
      </c>
      <c r="H4088" s="2" t="s">
        <v>35</v>
      </c>
    </row>
    <row r="4089" spans="1:8" ht="13" hidden="1">
      <c r="A4089" s="15">
        <v>46131.81684511574</v>
      </c>
      <c r="B4089" s="16">
        <v>46127</v>
      </c>
      <c r="C4089" s="2" t="s">
        <v>240</v>
      </c>
      <c r="D4089" s="2" t="s">
        <v>42</v>
      </c>
      <c r="E4089" s="2">
        <v>330</v>
      </c>
      <c r="F4089" s="2" t="s">
        <v>100</v>
      </c>
      <c r="H4089" s="2" t="s">
        <v>35</v>
      </c>
    </row>
    <row r="4090" spans="1:8" ht="13" hidden="1">
      <c r="A4090" s="15">
        <v>46131.817117337967</v>
      </c>
      <c r="B4090" s="16">
        <v>46127</v>
      </c>
      <c r="C4090" s="2" t="s">
        <v>1458</v>
      </c>
      <c r="D4090" s="2" t="s">
        <v>40</v>
      </c>
      <c r="E4090" s="2">
        <v>870</v>
      </c>
      <c r="F4090" s="2" t="s">
        <v>100</v>
      </c>
      <c r="H4090" s="2" t="s">
        <v>35</v>
      </c>
    </row>
    <row r="4091" spans="1:8" ht="9" customHeight="1">
      <c r="A4091" s="15">
        <v>46131.792297233798</v>
      </c>
      <c r="B4091" s="16">
        <v>46127</v>
      </c>
      <c r="C4091" s="2" t="s">
        <v>207</v>
      </c>
      <c r="D4091" s="2" t="s">
        <v>39</v>
      </c>
      <c r="E4091" s="2">
        <v>1879</v>
      </c>
      <c r="F4091" s="2" t="s">
        <v>102</v>
      </c>
      <c r="H4091" s="2" t="s">
        <v>35</v>
      </c>
    </row>
    <row r="4092" spans="1:8" ht="9" customHeight="1">
      <c r="A4092" s="15">
        <v>46131.792770949076</v>
      </c>
      <c r="B4092" s="16">
        <v>46127</v>
      </c>
      <c r="C4092" s="2" t="s">
        <v>45</v>
      </c>
      <c r="D4092" s="2" t="s">
        <v>45</v>
      </c>
      <c r="E4092" s="2">
        <v>1208</v>
      </c>
      <c r="F4092" s="2" t="s">
        <v>102</v>
      </c>
      <c r="G4092" s="2" t="s">
        <v>285</v>
      </c>
      <c r="H4092" s="2" t="s">
        <v>35</v>
      </c>
    </row>
    <row r="4093" spans="1:8" ht="9" customHeight="1">
      <c r="A4093" s="15">
        <v>46131.793110763887</v>
      </c>
      <c r="B4093" s="16">
        <v>46128</v>
      </c>
      <c r="C4093" s="2" t="s">
        <v>1349</v>
      </c>
      <c r="D4093" s="2" t="s">
        <v>52</v>
      </c>
      <c r="E4093" s="2">
        <v>1100</v>
      </c>
      <c r="F4093" s="2" t="s">
        <v>102</v>
      </c>
      <c r="H4093" s="2" t="s">
        <v>35</v>
      </c>
    </row>
    <row r="4094" spans="1:8" ht="13" hidden="1">
      <c r="A4094" s="15">
        <v>46131.817400775464</v>
      </c>
      <c r="B4094" s="16">
        <v>46128</v>
      </c>
      <c r="C4094" s="2" t="s">
        <v>20</v>
      </c>
      <c r="D4094" s="2" t="s">
        <v>53</v>
      </c>
      <c r="E4094" s="2">
        <v>1590</v>
      </c>
      <c r="F4094" s="2" t="s">
        <v>100</v>
      </c>
      <c r="H4094" s="2" t="s">
        <v>35</v>
      </c>
    </row>
    <row r="4095" spans="1:8" ht="13" hidden="1">
      <c r="A4095" s="15">
        <v>46131.817735104167</v>
      </c>
      <c r="B4095" s="16">
        <v>46128</v>
      </c>
      <c r="C4095" s="2" t="s">
        <v>1349</v>
      </c>
      <c r="D4095" s="2" t="s">
        <v>52</v>
      </c>
      <c r="E4095" s="2">
        <v>4490</v>
      </c>
      <c r="F4095" s="2" t="s">
        <v>100</v>
      </c>
      <c r="H4095" s="2" t="s">
        <v>35</v>
      </c>
    </row>
    <row r="4096" spans="1:8" ht="9" customHeight="1">
      <c r="A4096" s="15">
        <v>46131.793422337963</v>
      </c>
      <c r="B4096" s="16">
        <v>46128</v>
      </c>
      <c r="C4096" s="2" t="s">
        <v>116</v>
      </c>
      <c r="D4096" s="2" t="s">
        <v>38</v>
      </c>
      <c r="E4096" s="2">
        <v>631</v>
      </c>
      <c r="F4096" s="2" t="s">
        <v>102</v>
      </c>
      <c r="G4096" s="2" t="s">
        <v>145</v>
      </c>
      <c r="H4096" s="2" t="s">
        <v>35</v>
      </c>
    </row>
    <row r="4097" spans="1:8" ht="9" customHeight="1">
      <c r="A4097" s="15">
        <v>46131.793912499998</v>
      </c>
      <c r="B4097" s="16">
        <v>46128</v>
      </c>
      <c r="C4097" s="2" t="s">
        <v>713</v>
      </c>
      <c r="D4097" s="2" t="s">
        <v>38</v>
      </c>
      <c r="E4097" s="2">
        <v>523</v>
      </c>
      <c r="F4097" s="2" t="s">
        <v>102</v>
      </c>
      <c r="G4097" s="2" t="s">
        <v>356</v>
      </c>
      <c r="H4097" s="2" t="s">
        <v>35</v>
      </c>
    </row>
    <row r="4098" spans="1:8" ht="13" hidden="1">
      <c r="A4098" s="15">
        <v>46131.818038634257</v>
      </c>
      <c r="B4098" s="16">
        <v>46129</v>
      </c>
      <c r="C4098" s="2" t="s">
        <v>368</v>
      </c>
      <c r="D4098" s="2" t="s">
        <v>48</v>
      </c>
      <c r="E4098" s="2">
        <v>1280</v>
      </c>
      <c r="F4098" s="2" t="s">
        <v>100</v>
      </c>
      <c r="H4098" s="2" t="s">
        <v>35</v>
      </c>
    </row>
    <row r="4099" spans="1:8" ht="13" hidden="1">
      <c r="A4099" s="15">
        <v>46137.863965937504</v>
      </c>
      <c r="B4099" s="16">
        <v>46129</v>
      </c>
      <c r="C4099" s="2" t="s">
        <v>240</v>
      </c>
      <c r="D4099" s="2" t="s">
        <v>42</v>
      </c>
      <c r="E4099" s="2">
        <v>990</v>
      </c>
      <c r="F4099" s="2" t="s">
        <v>100</v>
      </c>
      <c r="H4099" s="2" t="s">
        <v>35</v>
      </c>
    </row>
    <row r="4100" spans="1:8" ht="9" customHeight="1">
      <c r="A4100" s="15">
        <v>46131.794238020833</v>
      </c>
      <c r="B4100" s="16">
        <v>46129</v>
      </c>
      <c r="C4100" s="2" t="s">
        <v>112</v>
      </c>
      <c r="D4100" s="2" t="s">
        <v>52</v>
      </c>
      <c r="E4100" s="2">
        <v>280</v>
      </c>
      <c r="F4100" s="2" t="s">
        <v>102</v>
      </c>
      <c r="G4100" s="2" t="s">
        <v>113</v>
      </c>
      <c r="H4100" s="2" t="s">
        <v>35</v>
      </c>
    </row>
    <row r="4101" spans="1:8" ht="9" customHeight="1">
      <c r="A4101" s="15">
        <v>46131.794629097218</v>
      </c>
      <c r="B4101" s="16">
        <v>46129</v>
      </c>
      <c r="C4101" s="2" t="s">
        <v>715</v>
      </c>
      <c r="D4101" s="2" t="s">
        <v>45</v>
      </c>
      <c r="E4101" s="2">
        <v>403</v>
      </c>
      <c r="F4101" s="2" t="s">
        <v>102</v>
      </c>
      <c r="G4101" s="2" t="s">
        <v>285</v>
      </c>
      <c r="H4101" s="2" t="s">
        <v>35</v>
      </c>
    </row>
    <row r="4102" spans="1:8" ht="9" customHeight="1">
      <c r="A4102" s="15">
        <v>46131.794931990742</v>
      </c>
      <c r="B4102" s="16">
        <v>46130</v>
      </c>
      <c r="C4102" s="2" t="s">
        <v>116</v>
      </c>
      <c r="D4102" s="2" t="s">
        <v>38</v>
      </c>
      <c r="E4102" s="2">
        <v>2640</v>
      </c>
      <c r="F4102" s="2" t="s">
        <v>102</v>
      </c>
      <c r="G4102" s="2" t="s">
        <v>145</v>
      </c>
      <c r="H4102" s="2" t="s">
        <v>35</v>
      </c>
    </row>
    <row r="4103" spans="1:8" ht="9" customHeight="1">
      <c r="A4103" s="15">
        <v>46131.795495960643</v>
      </c>
      <c r="B4103" s="16">
        <v>46131</v>
      </c>
      <c r="C4103" s="2" t="s">
        <v>1349</v>
      </c>
      <c r="D4103" s="2" t="s">
        <v>52</v>
      </c>
      <c r="E4103" s="2">
        <v>6140</v>
      </c>
      <c r="F4103" s="2" t="s">
        <v>102</v>
      </c>
      <c r="H4103" s="2" t="s">
        <v>35</v>
      </c>
    </row>
    <row r="4104" spans="1:8" ht="13" hidden="1">
      <c r="A4104" s="15">
        <v>46137.864188020831</v>
      </c>
      <c r="B4104" s="16">
        <v>46131</v>
      </c>
      <c r="C4104" s="2" t="s">
        <v>240</v>
      </c>
      <c r="D4104" s="2" t="s">
        <v>42</v>
      </c>
      <c r="E4104" s="2">
        <v>330</v>
      </c>
      <c r="F4104" s="2" t="s">
        <v>100</v>
      </c>
      <c r="H4104" s="2" t="s">
        <v>35</v>
      </c>
    </row>
    <row r="4105" spans="1:8" ht="13" hidden="1">
      <c r="A4105" s="15">
        <v>46137.864451458328</v>
      </c>
      <c r="B4105" s="16">
        <v>46131</v>
      </c>
      <c r="C4105" s="2" t="s">
        <v>556</v>
      </c>
      <c r="D4105" s="2" t="s">
        <v>53</v>
      </c>
      <c r="E4105" s="2">
        <v>1600</v>
      </c>
      <c r="F4105" s="2" t="s">
        <v>100</v>
      </c>
      <c r="H4105" s="2" t="s">
        <v>35</v>
      </c>
    </row>
    <row r="4106" spans="1:8" ht="13" hidden="1">
      <c r="A4106" s="15">
        <v>46137.864781620374</v>
      </c>
      <c r="B4106" s="16">
        <v>46131</v>
      </c>
      <c r="C4106" s="2" t="s">
        <v>247</v>
      </c>
      <c r="D4106" s="2" t="s">
        <v>53</v>
      </c>
      <c r="E4106" s="2">
        <v>1100</v>
      </c>
      <c r="F4106" s="2" t="s">
        <v>100</v>
      </c>
      <c r="H4106" s="2" t="s">
        <v>35</v>
      </c>
    </row>
    <row r="4107" spans="1:8" ht="13" hidden="1">
      <c r="A4107" s="15">
        <v>46137.864997500001</v>
      </c>
      <c r="B4107" s="16">
        <v>46132</v>
      </c>
      <c r="C4107" s="2" t="s">
        <v>1374</v>
      </c>
      <c r="D4107" s="2" t="s">
        <v>48</v>
      </c>
      <c r="E4107" s="2">
        <v>3800</v>
      </c>
      <c r="F4107" s="2" t="s">
        <v>100</v>
      </c>
      <c r="H4107" s="2" t="s">
        <v>35</v>
      </c>
    </row>
    <row r="4108" spans="1:8" ht="13" hidden="1">
      <c r="A4108" s="15">
        <v>46137.865222141205</v>
      </c>
      <c r="B4108" s="16">
        <v>46132</v>
      </c>
      <c r="C4108" s="2" t="s">
        <v>142</v>
      </c>
      <c r="D4108" s="2" t="s">
        <v>45</v>
      </c>
      <c r="E4108" s="2">
        <v>8140</v>
      </c>
      <c r="F4108" s="2" t="s">
        <v>100</v>
      </c>
      <c r="H4108" s="2" t="s">
        <v>35</v>
      </c>
    </row>
    <row r="4109" spans="1:8" ht="13" hidden="1">
      <c r="A4109" s="15">
        <v>46137.865493090278</v>
      </c>
      <c r="B4109" s="16">
        <v>46132</v>
      </c>
      <c r="C4109" s="2" t="s">
        <v>24</v>
      </c>
      <c r="D4109" s="2" t="s">
        <v>49</v>
      </c>
      <c r="E4109" s="2">
        <v>1100</v>
      </c>
      <c r="F4109" s="2" t="s">
        <v>100</v>
      </c>
      <c r="H4109" s="2" t="s">
        <v>35</v>
      </c>
    </row>
    <row r="4110" spans="1:8" ht="13" hidden="1">
      <c r="A4110" s="15">
        <v>46137.865865370375</v>
      </c>
      <c r="B4110" s="16">
        <v>46133</v>
      </c>
      <c r="C4110" s="2" t="s">
        <v>240</v>
      </c>
      <c r="D4110" s="2" t="s">
        <v>42</v>
      </c>
      <c r="E4110" s="2">
        <v>990</v>
      </c>
      <c r="F4110" s="2" t="s">
        <v>100</v>
      </c>
      <c r="H4110" s="2" t="s">
        <v>35</v>
      </c>
    </row>
    <row r="4111" spans="1:8" ht="13" hidden="1">
      <c r="A4111" s="15">
        <v>46116.959583009258</v>
      </c>
      <c r="B4111" s="16">
        <v>46135</v>
      </c>
      <c r="C4111" s="2" t="s">
        <v>1127</v>
      </c>
      <c r="D4111" s="2" t="s">
        <v>152</v>
      </c>
      <c r="E4111" s="2">
        <v>990</v>
      </c>
      <c r="F4111" s="2" t="s">
        <v>100</v>
      </c>
      <c r="H4111" s="2" t="s">
        <v>35</v>
      </c>
    </row>
    <row r="4112" spans="1:8" ht="9" customHeight="1">
      <c r="A4112" s="15">
        <v>46131.795851990741</v>
      </c>
      <c r="B4112" s="16">
        <v>46131</v>
      </c>
      <c r="C4112" s="2" t="s">
        <v>1459</v>
      </c>
      <c r="D4112" s="2" t="s">
        <v>46</v>
      </c>
      <c r="E4112" s="2">
        <v>2607</v>
      </c>
      <c r="F4112" s="2" t="s">
        <v>102</v>
      </c>
      <c r="H4112" s="2" t="s">
        <v>35</v>
      </c>
    </row>
    <row r="4113" spans="1:8" ht="9" customHeight="1">
      <c r="A4113" s="15">
        <v>46131.79623359954</v>
      </c>
      <c r="B4113" s="16">
        <v>46131</v>
      </c>
      <c r="C4113" s="2" t="s">
        <v>116</v>
      </c>
      <c r="D4113" s="2" t="s">
        <v>38</v>
      </c>
      <c r="E4113" s="2">
        <v>1543</v>
      </c>
      <c r="F4113" s="2" t="s">
        <v>102</v>
      </c>
      <c r="G4113" s="2" t="s">
        <v>145</v>
      </c>
      <c r="H4113" s="2" t="s">
        <v>35</v>
      </c>
    </row>
    <row r="4114" spans="1:8" ht="9" customHeight="1">
      <c r="A4114" s="15">
        <v>46138.661504456017</v>
      </c>
      <c r="B4114" s="16">
        <v>46133</v>
      </c>
      <c r="C4114" s="2" t="s">
        <v>1187</v>
      </c>
      <c r="D4114" s="2" t="s">
        <v>52</v>
      </c>
      <c r="E4114" s="2">
        <v>999</v>
      </c>
      <c r="F4114" s="2" t="s">
        <v>102</v>
      </c>
      <c r="H4114" s="2" t="s">
        <v>35</v>
      </c>
    </row>
    <row r="4115" spans="1:8" ht="9" customHeight="1">
      <c r="A4115" s="15">
        <v>46138.661826585652</v>
      </c>
      <c r="B4115" s="16">
        <v>46133</v>
      </c>
      <c r="C4115" s="2" t="s">
        <v>974</v>
      </c>
      <c r="D4115" s="2" t="s">
        <v>45</v>
      </c>
      <c r="E4115" s="2">
        <v>1749</v>
      </c>
      <c r="F4115" s="2" t="s">
        <v>102</v>
      </c>
      <c r="G4115" s="2" t="s">
        <v>285</v>
      </c>
      <c r="H4115" s="2" t="s">
        <v>35</v>
      </c>
    </row>
    <row r="4116" spans="1:8" ht="9" customHeight="1">
      <c r="A4116" s="15">
        <v>46138.662076759254</v>
      </c>
      <c r="B4116" s="16">
        <v>46134</v>
      </c>
      <c r="C4116" s="2" t="s">
        <v>1349</v>
      </c>
      <c r="D4116" s="2" t="s">
        <v>52</v>
      </c>
      <c r="E4116" s="2">
        <v>2200</v>
      </c>
      <c r="F4116" s="2" t="s">
        <v>102</v>
      </c>
      <c r="H4116" s="2" t="s">
        <v>35</v>
      </c>
    </row>
    <row r="4117" spans="1:8" ht="9" customHeight="1">
      <c r="A4117" s="15">
        <v>46138.662352685184</v>
      </c>
      <c r="B4117" s="16">
        <v>46134</v>
      </c>
      <c r="C4117" s="2" t="s">
        <v>112</v>
      </c>
      <c r="D4117" s="2" t="s">
        <v>38</v>
      </c>
      <c r="E4117" s="2">
        <v>258</v>
      </c>
      <c r="F4117" s="2" t="s">
        <v>102</v>
      </c>
      <c r="G4117" s="2" t="s">
        <v>356</v>
      </c>
      <c r="H4117" s="2" t="s">
        <v>35</v>
      </c>
    </row>
    <row r="4118" spans="1:8" ht="9" customHeight="1">
      <c r="A4118" s="15">
        <v>46138.662599675925</v>
      </c>
      <c r="B4118" s="16">
        <v>46134</v>
      </c>
      <c r="C4118" s="2" t="s">
        <v>1349</v>
      </c>
      <c r="D4118" s="2" t="s">
        <v>52</v>
      </c>
      <c r="E4118" s="2">
        <v>2200</v>
      </c>
      <c r="F4118" s="2" t="s">
        <v>102</v>
      </c>
      <c r="H4118" s="2" t="s">
        <v>35</v>
      </c>
    </row>
    <row r="4119" spans="1:8" ht="9" customHeight="1">
      <c r="A4119" s="15">
        <v>46138.663753252316</v>
      </c>
      <c r="B4119" s="16">
        <v>46135</v>
      </c>
      <c r="C4119" s="2" t="s">
        <v>1460</v>
      </c>
      <c r="D4119" s="2" t="s">
        <v>43</v>
      </c>
      <c r="E4119" s="2">
        <v>1097</v>
      </c>
      <c r="F4119" s="2" t="s">
        <v>102</v>
      </c>
      <c r="H4119" s="2" t="s">
        <v>35</v>
      </c>
    </row>
    <row r="4120" spans="1:8" ht="9" customHeight="1">
      <c r="A4120" s="15">
        <v>46138.664125601848</v>
      </c>
      <c r="B4120" s="16">
        <v>46135</v>
      </c>
      <c r="C4120" s="2" t="s">
        <v>1461</v>
      </c>
      <c r="D4120" s="2" t="s">
        <v>52</v>
      </c>
      <c r="E4120" s="2">
        <v>1300</v>
      </c>
      <c r="F4120" s="2" t="s">
        <v>102</v>
      </c>
      <c r="G4120" s="2" t="s">
        <v>1462</v>
      </c>
      <c r="H4120" s="2" t="s">
        <v>35</v>
      </c>
    </row>
    <row r="4121" spans="1:8" ht="9" customHeight="1">
      <c r="A4121" s="15">
        <v>46138.664353981483</v>
      </c>
      <c r="B4121" s="16">
        <v>46136</v>
      </c>
      <c r="C4121" s="2" t="s">
        <v>650</v>
      </c>
      <c r="D4121" s="2" t="s">
        <v>52</v>
      </c>
      <c r="E4121" s="2">
        <v>640</v>
      </c>
      <c r="F4121" s="2" t="s">
        <v>102</v>
      </c>
      <c r="H4121" s="2" t="s">
        <v>35</v>
      </c>
    </row>
    <row r="4122" spans="1:8" ht="9" customHeight="1">
      <c r="A4122" s="15">
        <v>46138.664776041667</v>
      </c>
      <c r="B4122" s="16">
        <v>46136</v>
      </c>
      <c r="C4122" s="2" t="s">
        <v>106</v>
      </c>
      <c r="D4122" s="2" t="s">
        <v>52</v>
      </c>
      <c r="E4122" s="2">
        <v>1050</v>
      </c>
      <c r="F4122" s="2" t="s">
        <v>102</v>
      </c>
      <c r="G4122" s="2" t="s">
        <v>1095</v>
      </c>
      <c r="H4122" s="2" t="s">
        <v>35</v>
      </c>
    </row>
    <row r="4123" spans="1:8" ht="9" customHeight="1">
      <c r="A4123" s="15">
        <v>46138.707802418983</v>
      </c>
      <c r="B4123" s="16">
        <v>46136</v>
      </c>
      <c r="C4123" s="2" t="s">
        <v>112</v>
      </c>
      <c r="D4123" s="2" t="s">
        <v>52</v>
      </c>
      <c r="E4123" s="2">
        <v>280</v>
      </c>
      <c r="F4123" s="2" t="s">
        <v>102</v>
      </c>
      <c r="G4123" s="2" t="s">
        <v>113</v>
      </c>
      <c r="H4123" s="2" t="s">
        <v>35</v>
      </c>
    </row>
    <row r="4124" spans="1:8" ht="9" customHeight="1">
      <c r="A4124" s="15">
        <v>46138.708070231485</v>
      </c>
      <c r="B4124" s="16">
        <v>46136</v>
      </c>
      <c r="C4124" s="2" t="s">
        <v>112</v>
      </c>
      <c r="D4124" s="2" t="s">
        <v>38</v>
      </c>
      <c r="E4124" s="2">
        <v>160</v>
      </c>
      <c r="F4124" s="2" t="s">
        <v>102</v>
      </c>
      <c r="G4124" s="2" t="s">
        <v>103</v>
      </c>
      <c r="H4124" s="2" t="s">
        <v>35</v>
      </c>
    </row>
    <row r="4125" spans="1:8" ht="9" customHeight="1">
      <c r="A4125" s="15">
        <v>46138.711877928239</v>
      </c>
      <c r="B4125" s="16">
        <v>46136</v>
      </c>
      <c r="C4125" s="2" t="s">
        <v>1019</v>
      </c>
      <c r="E4125" s="2">
        <v>392228</v>
      </c>
      <c r="H4125" s="2" t="s">
        <v>34</v>
      </c>
    </row>
    <row r="4126" spans="1:8" ht="9" customHeight="1">
      <c r="A4126" s="15">
        <v>46138.708381284727</v>
      </c>
      <c r="B4126" s="16">
        <v>46137</v>
      </c>
      <c r="C4126" s="2" t="s">
        <v>116</v>
      </c>
      <c r="D4126" s="2" t="s">
        <v>38</v>
      </c>
      <c r="E4126" s="2">
        <v>2421</v>
      </c>
      <c r="F4126" s="2" t="s">
        <v>102</v>
      </c>
      <c r="G4126" s="2" t="s">
        <v>145</v>
      </c>
      <c r="H4126" s="2" t="s">
        <v>35</v>
      </c>
    </row>
    <row r="4127" spans="1:8" ht="9" customHeight="1">
      <c r="A4127" s="15">
        <v>46138.708623680555</v>
      </c>
      <c r="B4127" s="16">
        <v>46137</v>
      </c>
      <c r="C4127" s="2" t="s">
        <v>204</v>
      </c>
      <c r="D4127" s="2" t="s">
        <v>45</v>
      </c>
      <c r="E4127" s="2">
        <v>6600</v>
      </c>
      <c r="F4127" s="2" t="s">
        <v>102</v>
      </c>
      <c r="H4127" s="2" t="s">
        <v>35</v>
      </c>
    </row>
    <row r="4128" spans="1:8" ht="9" customHeight="1">
      <c r="A4128" s="15">
        <v>46138.708893483796</v>
      </c>
      <c r="B4128" s="16">
        <v>46137</v>
      </c>
      <c r="C4128" s="2" t="s">
        <v>1349</v>
      </c>
      <c r="D4128" s="2" t="s">
        <v>52</v>
      </c>
      <c r="E4128" s="2">
        <v>4070</v>
      </c>
      <c r="F4128" s="2" t="s">
        <v>102</v>
      </c>
      <c r="H4128" s="2" t="s">
        <v>35</v>
      </c>
    </row>
    <row r="4129" spans="1:8" ht="9" customHeight="1">
      <c r="A4129" s="15">
        <v>46138.70912028935</v>
      </c>
      <c r="B4129" s="16">
        <v>46138</v>
      </c>
      <c r="C4129" s="2" t="s">
        <v>871</v>
      </c>
      <c r="D4129" s="2" t="s">
        <v>46</v>
      </c>
      <c r="E4129" s="2">
        <v>1300</v>
      </c>
      <c r="F4129" s="2" t="s">
        <v>102</v>
      </c>
      <c r="H4129" s="2" t="s">
        <v>35</v>
      </c>
    </row>
    <row r="4130" spans="1:8" ht="9" customHeight="1">
      <c r="A4130" s="15">
        <v>46138.709371701392</v>
      </c>
      <c r="B4130" s="16">
        <v>46138</v>
      </c>
      <c r="C4130" s="2" t="s">
        <v>116</v>
      </c>
      <c r="D4130" s="2" t="s">
        <v>38</v>
      </c>
      <c r="E4130" s="2">
        <v>1504</v>
      </c>
      <c r="F4130" s="2" t="s">
        <v>102</v>
      </c>
      <c r="G4130" s="2" t="s">
        <v>145</v>
      </c>
      <c r="H4130" s="2" t="s">
        <v>35</v>
      </c>
    </row>
    <row r="4131" spans="1:8" ht="9" customHeight="1">
      <c r="A4131" s="15">
        <v>46138.709590370374</v>
      </c>
      <c r="B4131" s="16">
        <v>46138</v>
      </c>
      <c r="C4131" s="2" t="s">
        <v>400</v>
      </c>
      <c r="D4131" s="2" t="s">
        <v>38</v>
      </c>
      <c r="E4131" s="2">
        <v>1315</v>
      </c>
      <c r="F4131" s="2" t="s">
        <v>102</v>
      </c>
      <c r="G4131" s="2" t="s">
        <v>1463</v>
      </c>
      <c r="H4131" s="2" t="s">
        <v>35</v>
      </c>
    </row>
    <row r="4132" spans="1:8" ht="15" customHeight="1">
      <c r="A4132" s="15">
        <v>46138.732393240745</v>
      </c>
      <c r="B4132" s="16">
        <v>46139</v>
      </c>
      <c r="C4132" s="2" t="s">
        <v>11</v>
      </c>
      <c r="D4132" s="2" t="s">
        <v>47</v>
      </c>
      <c r="E4132" s="2">
        <v>40000</v>
      </c>
      <c r="F4132" s="2" t="s">
        <v>102</v>
      </c>
      <c r="H4132" s="2" t="s">
        <v>35</v>
      </c>
    </row>
    <row r="4133" spans="1:8" ht="15" customHeight="1">
      <c r="A4133" s="15">
        <v>46138.732713657402</v>
      </c>
      <c r="B4133" s="16">
        <v>46139</v>
      </c>
      <c r="C4133" s="2" t="s">
        <v>9</v>
      </c>
      <c r="D4133" s="2" t="s">
        <v>47</v>
      </c>
      <c r="E4133" s="2">
        <v>13600</v>
      </c>
      <c r="F4133" s="2" t="s">
        <v>102</v>
      </c>
      <c r="H4133" s="2" t="s">
        <v>35</v>
      </c>
    </row>
    <row r="4134" spans="1:8" ht="9" hidden="1" customHeight="1">
      <c r="A4134" s="15">
        <v>46138.73375881945</v>
      </c>
      <c r="B4134" s="16">
        <v>46139</v>
      </c>
      <c r="C4134" s="2" t="s">
        <v>133</v>
      </c>
      <c r="D4134" s="2" t="s">
        <v>47</v>
      </c>
      <c r="E4134" s="2">
        <v>28000</v>
      </c>
      <c r="F4134" s="2" t="s">
        <v>102</v>
      </c>
      <c r="H4134" s="2" t="s">
        <v>35</v>
      </c>
    </row>
    <row r="4135" spans="1:8" ht="9" hidden="1" customHeight="1">
      <c r="A4135" s="15">
        <v>46138.73399212963</v>
      </c>
      <c r="B4135" s="16">
        <v>46139</v>
      </c>
      <c r="C4135" s="2" t="s">
        <v>408</v>
      </c>
      <c r="D4135" s="2" t="s">
        <v>152</v>
      </c>
      <c r="E4135" s="2">
        <v>20000</v>
      </c>
      <c r="F4135" s="2" t="s">
        <v>102</v>
      </c>
      <c r="H4135" s="2" t="s">
        <v>35</v>
      </c>
    </row>
    <row r="4136" spans="1:8" ht="18" hidden="1" customHeight="1">
      <c r="A4136" s="15">
        <v>46138.73433126157</v>
      </c>
      <c r="B4136" s="16">
        <v>46139</v>
      </c>
      <c r="C4136" s="2" t="s">
        <v>561</v>
      </c>
      <c r="D4136" s="2" t="s">
        <v>5</v>
      </c>
      <c r="E4136" s="2">
        <v>93000</v>
      </c>
      <c r="F4136" s="2" t="s">
        <v>102</v>
      </c>
      <c r="H4136" s="2" t="s">
        <v>35</v>
      </c>
    </row>
    <row r="4137" spans="1:8" ht="13" hidden="1">
      <c r="E4137" s="1"/>
    </row>
    <row r="4138" spans="1:8" ht="13" hidden="1">
      <c r="E4138" s="1"/>
    </row>
    <row r="4139" spans="1:8" ht="13" hidden="1">
      <c r="E4139" s="1"/>
    </row>
    <row r="4140" spans="1:8" ht="13" hidden="1">
      <c r="E4140" s="1"/>
    </row>
    <row r="4141" spans="1:8" ht="13" hidden="1">
      <c r="E4141" s="1"/>
    </row>
    <row r="4142" spans="1:8" ht="13" hidden="1">
      <c r="E4142" s="1"/>
    </row>
    <row r="4143" spans="1:8" ht="13" hidden="1">
      <c r="E4143" s="1"/>
    </row>
    <row r="4144" spans="1:8" ht="13" hidden="1">
      <c r="E4144" s="1"/>
    </row>
    <row r="4145" spans="5:5" ht="13" hidden="1">
      <c r="E4145" s="1"/>
    </row>
    <row r="4146" spans="5:5" ht="13" hidden="1">
      <c r="E4146" s="1"/>
    </row>
    <row r="4147" spans="5:5" ht="13" hidden="1">
      <c r="E4147" s="1"/>
    </row>
    <row r="4148" spans="5:5" ht="13" hidden="1">
      <c r="E4148" s="1"/>
    </row>
    <row r="4149" spans="5:5" ht="13" hidden="1">
      <c r="E4149" s="1"/>
    </row>
    <row r="4150" spans="5:5" ht="13" hidden="1">
      <c r="E4150" s="1"/>
    </row>
    <row r="4151" spans="5:5" ht="13" hidden="1">
      <c r="E4151" s="1"/>
    </row>
    <row r="4152" spans="5:5" ht="13" hidden="1">
      <c r="E4152" s="1"/>
    </row>
    <row r="4153" spans="5:5" ht="13" hidden="1">
      <c r="E4153" s="1"/>
    </row>
    <row r="4154" spans="5:5" ht="13" hidden="1">
      <c r="E4154" s="1"/>
    </row>
    <row r="4155" spans="5:5" ht="13" hidden="1">
      <c r="E4155" s="1"/>
    </row>
    <row r="4156" spans="5:5" ht="13" hidden="1">
      <c r="E4156" s="1"/>
    </row>
    <row r="4157" spans="5:5" ht="13" hidden="1">
      <c r="E4157" s="1"/>
    </row>
    <row r="4158" spans="5:5" ht="13" hidden="1">
      <c r="E4158" s="1"/>
    </row>
    <row r="4159" spans="5:5" ht="13" hidden="1">
      <c r="E4159" s="1"/>
    </row>
    <row r="4160" spans="5:5" ht="13" hidden="1">
      <c r="E4160" s="1"/>
    </row>
    <row r="4161" spans="5:5" ht="13" hidden="1">
      <c r="E4161" s="1"/>
    </row>
    <row r="4162" spans="5:5" ht="13" hidden="1">
      <c r="E4162" s="1"/>
    </row>
    <row r="4163" spans="5:5" ht="13" hidden="1">
      <c r="E4163" s="1"/>
    </row>
    <row r="4164" spans="5:5" ht="13" hidden="1">
      <c r="E4164" s="1"/>
    </row>
    <row r="4165" spans="5:5" ht="13" hidden="1">
      <c r="E4165" s="1"/>
    </row>
    <row r="4166" spans="5:5" ht="13" hidden="1">
      <c r="E4166" s="1"/>
    </row>
    <row r="4167" spans="5:5" ht="13" hidden="1">
      <c r="E4167" s="1"/>
    </row>
    <row r="4168" spans="5:5" ht="13" hidden="1">
      <c r="E4168" s="1"/>
    </row>
    <row r="4169" spans="5:5" ht="13" hidden="1">
      <c r="E4169" s="1"/>
    </row>
    <row r="4170" spans="5:5" ht="13" hidden="1">
      <c r="E4170" s="1"/>
    </row>
    <row r="4171" spans="5:5" ht="13" hidden="1">
      <c r="E4171" s="1"/>
    </row>
    <row r="4172" spans="5:5" ht="13" hidden="1">
      <c r="E4172" s="1"/>
    </row>
    <row r="4173" spans="5:5" ht="13" hidden="1">
      <c r="E4173" s="1"/>
    </row>
    <row r="4174" spans="5:5" ht="13" hidden="1">
      <c r="E4174" s="1"/>
    </row>
    <row r="4175" spans="5:5" ht="13" hidden="1">
      <c r="E4175" s="1"/>
    </row>
    <row r="4176" spans="5:5" ht="13" hidden="1">
      <c r="E4176" s="1"/>
    </row>
    <row r="4177" spans="5:5" ht="13" hidden="1">
      <c r="E4177" s="1"/>
    </row>
    <row r="4178" spans="5:5" ht="13" hidden="1">
      <c r="E4178" s="1"/>
    </row>
    <row r="4179" spans="5:5" ht="13" hidden="1">
      <c r="E4179" s="1"/>
    </row>
    <row r="4180" spans="5:5" ht="13" hidden="1">
      <c r="E4180" s="1"/>
    </row>
    <row r="4181" spans="5:5" ht="13" hidden="1">
      <c r="E4181" s="1"/>
    </row>
    <row r="4182" spans="5:5" ht="13" hidden="1">
      <c r="E4182" s="1"/>
    </row>
    <row r="4183" spans="5:5" ht="13" hidden="1">
      <c r="E4183" s="1"/>
    </row>
    <row r="4184" spans="5:5" ht="13" hidden="1">
      <c r="E4184" s="1"/>
    </row>
    <row r="4185" spans="5:5" ht="13" hidden="1">
      <c r="E4185" s="1"/>
    </row>
    <row r="4186" spans="5:5" ht="13" hidden="1">
      <c r="E4186" s="1"/>
    </row>
    <row r="4187" spans="5:5" ht="13" hidden="1">
      <c r="E4187" s="1"/>
    </row>
    <row r="4188" spans="5:5" ht="13" hidden="1">
      <c r="E4188" s="1"/>
    </row>
    <row r="4189" spans="5:5" ht="13" hidden="1">
      <c r="E4189" s="1"/>
    </row>
    <row r="4190" spans="5:5" ht="13" hidden="1">
      <c r="E4190" s="1"/>
    </row>
    <row r="4191" spans="5:5" ht="13" hidden="1">
      <c r="E4191" s="1"/>
    </row>
    <row r="4192" spans="5:5" ht="13" hidden="1">
      <c r="E4192" s="1"/>
    </row>
    <row r="4193" spans="5:5" ht="13" hidden="1">
      <c r="E4193" s="1"/>
    </row>
    <row r="4194" spans="5:5" ht="13" hidden="1">
      <c r="E4194" s="1"/>
    </row>
    <row r="4195" spans="5:5" ht="13" hidden="1">
      <c r="E4195" s="1"/>
    </row>
    <row r="4196" spans="5:5" ht="13" hidden="1">
      <c r="E4196" s="1"/>
    </row>
    <row r="4197" spans="5:5" ht="13" hidden="1">
      <c r="E4197" s="1"/>
    </row>
    <row r="4198" spans="5:5" ht="13" hidden="1">
      <c r="E4198" s="1"/>
    </row>
    <row r="4199" spans="5:5" ht="13" hidden="1">
      <c r="E4199" s="1"/>
    </row>
    <row r="4200" spans="5:5" ht="13" hidden="1">
      <c r="E4200" s="1"/>
    </row>
    <row r="4201" spans="5:5" ht="13" hidden="1">
      <c r="E4201" s="1"/>
    </row>
    <row r="4202" spans="5:5" ht="13" hidden="1">
      <c r="E4202" s="1"/>
    </row>
    <row r="4203" spans="5:5" ht="13" hidden="1">
      <c r="E4203" s="1"/>
    </row>
    <row r="4204" spans="5:5" ht="13" hidden="1">
      <c r="E4204" s="1"/>
    </row>
    <row r="4205" spans="5:5" ht="13" hidden="1">
      <c r="E4205" s="1"/>
    </row>
    <row r="4206" spans="5:5" ht="13" hidden="1">
      <c r="E4206" s="1"/>
    </row>
    <row r="4207" spans="5:5" ht="13" hidden="1">
      <c r="E4207" s="1"/>
    </row>
    <row r="4208" spans="5:5" ht="13" hidden="1">
      <c r="E4208" s="1"/>
    </row>
    <row r="4209" spans="5:5" ht="13" hidden="1">
      <c r="E4209" s="1"/>
    </row>
    <row r="4210" spans="5:5" ht="13" hidden="1">
      <c r="E4210" s="1"/>
    </row>
    <row r="4211" spans="5:5" ht="13" hidden="1">
      <c r="E4211" s="1"/>
    </row>
    <row r="4212" spans="5:5" ht="13" hidden="1">
      <c r="E4212" s="1"/>
    </row>
    <row r="4213" spans="5:5" ht="13" hidden="1">
      <c r="E4213" s="1"/>
    </row>
    <row r="4214" spans="5:5" ht="13" hidden="1">
      <c r="E4214" s="1"/>
    </row>
    <row r="4215" spans="5:5" ht="13" hidden="1">
      <c r="E4215" s="1"/>
    </row>
    <row r="4216" spans="5:5" ht="13" hidden="1">
      <c r="E4216" s="1"/>
    </row>
    <row r="4217" spans="5:5" ht="13" hidden="1">
      <c r="E4217" s="1"/>
    </row>
    <row r="4218" spans="5:5" ht="13" hidden="1">
      <c r="E4218" s="1"/>
    </row>
    <row r="4219" spans="5:5" ht="13" hidden="1">
      <c r="E4219" s="1"/>
    </row>
    <row r="4220" spans="5:5" ht="22" customHeight="1">
      <c r="E4220" s="1"/>
    </row>
    <row r="4221" spans="5:5" ht="25" customHeight="1">
      <c r="E4221" s="1"/>
    </row>
    <row r="4222" spans="5:5" ht="33" customHeight="1">
      <c r="E4222" s="1"/>
    </row>
    <row r="4223" spans="5:5" ht="71" customHeight="1">
      <c r="E4223" s="1"/>
    </row>
    <row r="4224" spans="5:5" ht="37" customHeight="1">
      <c r="E4224" s="1"/>
    </row>
    <row r="4225" spans="5:5" ht="27" customHeight="1">
      <c r="E4225" s="1"/>
    </row>
    <row r="4226" spans="5:5" ht="53" customHeight="1">
      <c r="E4226" s="1"/>
    </row>
    <row r="4227" spans="5:5" ht="41" customHeight="1">
      <c r="E4227" s="1"/>
    </row>
    <row r="4228" spans="5:5" ht="29" customHeight="1">
      <c r="E4228" s="1"/>
    </row>
    <row r="4229" spans="5:5" ht="15" customHeight="1">
      <c r="E4229" s="1"/>
    </row>
    <row r="4230" spans="5:5" ht="23" customHeight="1">
      <c r="E4230" s="1"/>
    </row>
    <row r="4231" spans="5:5" ht="43" customHeight="1">
      <c r="E4231" s="1"/>
    </row>
    <row r="4232" spans="5:5" ht="22" customHeight="1">
      <c r="E4232" s="1"/>
    </row>
    <row r="4233" spans="5:5" ht="25" customHeight="1">
      <c r="E4233" s="1"/>
    </row>
    <row r="4234" spans="5:5" ht="15" customHeight="1">
      <c r="E4234" s="1"/>
    </row>
  </sheetData>
  <autoFilter ref="A1:H4234" xr:uid="{00000000-0009-0000-0000-000009000000}">
    <filterColumn colId="1">
      <filters>
        <filter val="2/26/2026"/>
        <filter val="2/27/2026"/>
        <filter val="2/28/2026"/>
        <filter val="3/1/2026"/>
        <filter val="3/10/2026"/>
        <filter val="3/11/2026"/>
        <filter val="3/12/2026"/>
        <filter val="3/13/2026"/>
        <filter val="3/14/2026"/>
        <filter val="3/15/2026"/>
        <filter val="3/16/2026"/>
        <filter val="3/17/2026"/>
        <filter val="3/18/2026"/>
        <filter val="3/19/2026"/>
        <filter val="3/2/2026"/>
        <filter val="3/20/2026"/>
        <filter val="3/21/2026"/>
        <filter val="3/22/2026"/>
        <filter val="3/23/2026"/>
        <filter val="3/24/2026"/>
        <filter val="3/25/2026"/>
        <filter val="3/26/2026"/>
        <filter val="3/27/2026"/>
        <filter val="3/28/2026"/>
        <filter val="3/29/2026"/>
        <filter val="3/30/2026"/>
        <filter val="3/31/2026"/>
        <filter val="3/4/2026"/>
        <filter val="3/5/2026"/>
        <filter val="3/6/2026"/>
        <filter val="3/7/2026"/>
        <filter val="3/8/2026"/>
        <filter val="3/9/2026"/>
        <filter val="4/1/2026"/>
        <filter val="4/10/2026"/>
        <filter val="4/11/2026"/>
        <filter val="4/12/2026"/>
        <filter val="4/13/2026"/>
        <filter val="4/14/2026"/>
        <filter val="4/15/2026"/>
        <filter val="4/16/2026"/>
        <filter val="4/17/2026"/>
        <filter val="4/18/2026"/>
        <filter val="4/19/2026"/>
        <filter val="4/2/2026"/>
        <filter val="4/20/2026"/>
        <filter val="4/21/2026"/>
        <filter val="4/22/2026"/>
        <filter val="4/23/2026"/>
        <filter val="4/24/2026"/>
        <filter val="4/25/2026"/>
        <filter val="4/26/2026"/>
        <filter val="4/27/2026"/>
        <filter val="4/3/2026"/>
        <filter val="4/4/2026"/>
        <filter val="4/5/2026"/>
        <filter val="4/6/2026"/>
        <filter val="4/7/2026"/>
        <filter val="4/8/2026"/>
        <filter val="4/9/2026"/>
      </filters>
    </filterColumn>
    <filterColumn colId="5">
      <filters blank="1">
        <filter val="Cash"/>
      </filters>
    </filterColumn>
  </autoFilter>
  <customSheetViews>
    <customSheetView guid="{4AC04177-0205-49AE-A2A8-15D7FA119C60}" filter="1" showAutoFilter="1">
      <pageMargins left="0.7" right="0.7" top="0.75" bottom="0.75" header="0.3" footer="0.3"/>
      <autoFilter ref="A1:H4137" xr:uid="{05167D72-2F60-3643-ADB2-61E2BBF45969}">
        <filterColumn colId="1">
          <filters>
            <filter val="1/1/2024"/>
            <filter val="1/1/2025"/>
            <filter val="1/1/2026"/>
            <filter val="1/10/2024"/>
            <filter val="1/10/2025"/>
            <filter val="1/10/2026"/>
            <filter val="1/11/2024"/>
            <filter val="1/11/2025"/>
            <filter val="1/11/2026"/>
            <filter val="1/12/2024"/>
            <filter val="1/12/2025"/>
            <filter val="1/12/2026"/>
            <filter val="1/13/2024"/>
            <filter val="1/13/2025"/>
            <filter val="1/14/2024"/>
            <filter val="1/14/2025"/>
            <filter val="1/14/2026"/>
            <filter val="1/15/2024"/>
            <filter val="1/15/2026"/>
            <filter val="1/16/2024"/>
            <filter val="1/16/2025"/>
            <filter val="1/16/2026"/>
            <filter val="1/17/2024"/>
            <filter val="1/17/2025"/>
            <filter val="1/17/2026"/>
            <filter val="1/18/2024"/>
            <filter val="1/18/2025"/>
            <filter val="1/18/2026"/>
            <filter val="1/19/2024"/>
            <filter val="1/19/2025"/>
            <filter val="1/19/2026"/>
            <filter val="1/2/2024"/>
            <filter val="1/2/2025"/>
            <filter val="1/2/2026"/>
            <filter val="1/20/2024"/>
            <filter val="1/20/2025"/>
            <filter val="1/20/2026"/>
            <filter val="1/21/2024"/>
            <filter val="1/21/2025"/>
            <filter val="1/21/2026"/>
            <filter val="1/22/2024"/>
            <filter val="1/22/2025"/>
            <filter val="1/22/2026"/>
            <filter val="1/23/2024"/>
            <filter val="1/23/2026"/>
            <filter val="1/24/2024"/>
            <filter val="1/24/2025"/>
            <filter val="1/24/2026"/>
            <filter val="1/25/2024"/>
            <filter val="1/25/2025"/>
            <filter val="1/25/2026"/>
            <filter val="1/26/2024"/>
            <filter val="1/26/2025"/>
            <filter val="1/26/2026"/>
            <filter val="1/27/2024"/>
            <filter val="1/27/2025"/>
            <filter val="1/27/2026"/>
            <filter val="1/28/2024"/>
            <filter val="1/28/2025"/>
            <filter val="1/28/2026"/>
            <filter val="1/29/2024"/>
            <filter val="1/29/2025"/>
            <filter val="1/29/2026"/>
            <filter val="1/3/2024"/>
            <filter val="1/3/2025"/>
            <filter val="1/3/2026"/>
            <filter val="1/30/2024"/>
            <filter val="1/30/2025"/>
            <filter val="1/30/2026"/>
            <filter val="1/31/2024"/>
            <filter val="1/31/2025"/>
            <filter val="1/31/2026"/>
            <filter val="1/4/2024"/>
            <filter val="1/4/2025"/>
            <filter val="1/4/2026"/>
            <filter val="1/5/2024"/>
            <filter val="1/5/2025"/>
            <filter val="1/5/2026"/>
            <filter val="1/6/2024"/>
            <filter val="1/6/2025"/>
            <filter val="1/6/2026"/>
            <filter val="1/7/2024"/>
            <filter val="1/7/2025"/>
            <filter val="1/7/2026"/>
            <filter val="1/8/2024"/>
            <filter val="1/8/2025"/>
            <filter val="1/8/2026"/>
            <filter val="1/9/2024"/>
            <filter val="1/9/2025"/>
            <filter val="1/9/2026"/>
            <filter val="10/1/2023"/>
            <filter val="10/1/2024"/>
            <filter val="10/1/2025"/>
            <filter val="10/10/2023"/>
            <filter val="10/10/2024"/>
            <filter val="10/10/2025"/>
            <filter val="10/11/2023"/>
            <filter val="10/11/2024"/>
            <filter val="10/11/2025"/>
            <filter val="10/12/2023"/>
            <filter val="10/12/2024"/>
            <filter val="10/12/2025"/>
            <filter val="10/13/2023"/>
            <filter val="10/13/2024"/>
            <filter val="10/13/2025"/>
            <filter val="10/14/2023"/>
            <filter val="10/14/2024"/>
            <filter val="10/14/2025"/>
            <filter val="10/15/2023"/>
            <filter val="10/15/2024"/>
            <filter val="10/15/2025"/>
            <filter val="10/16/2023"/>
            <filter val="10/16/2024"/>
            <filter val="10/16/2025"/>
            <filter val="10/17/2023"/>
            <filter val="10/17/2024"/>
            <filter val="10/17/2025"/>
            <filter val="10/18/2023"/>
            <filter val="10/18/2024"/>
            <filter val="10/18/2025"/>
            <filter val="10/19/2023"/>
            <filter val="10/19/2024"/>
            <filter val="10/19/2025"/>
            <filter val="10/2/2023"/>
            <filter val="10/2/2024"/>
            <filter val="10/2/2025"/>
            <filter val="10/20/2023"/>
            <filter val="10/20/2024"/>
            <filter val="10/20/2025"/>
            <filter val="10/21/2023"/>
            <filter val="10/21/2025"/>
            <filter val="10/22/2023"/>
            <filter val="10/22/2024"/>
            <filter val="10/22/2025"/>
            <filter val="10/23/2023"/>
            <filter val="10/23/2024"/>
            <filter val="10/23/2025"/>
            <filter val="10/24/2023"/>
            <filter val="10/24/2024"/>
            <filter val="10/24/2025"/>
            <filter val="10/25/2023"/>
            <filter val="10/25/2024"/>
            <filter val="10/25/2025"/>
            <filter val="10/26/2023"/>
            <filter val="10/26/2024"/>
            <filter val="10/26/2025"/>
            <filter val="10/27/2023"/>
            <filter val="10/27/2024"/>
            <filter val="10/27/2025"/>
            <filter val="10/28/2023"/>
            <filter val="10/28/2024"/>
            <filter val="10/28/2025"/>
            <filter val="10/29/2023"/>
            <filter val="10/29/2024"/>
            <filter val="10/29/2025"/>
            <filter val="10/3/2023"/>
            <filter val="10/3/2024"/>
            <filter val="10/3/2025"/>
            <filter val="10/30/2023"/>
            <filter val="10/30/2024"/>
            <filter val="10/30/2025"/>
            <filter val="10/31/2023"/>
            <filter val="10/31/2024"/>
            <filter val="10/31/2025"/>
            <filter val="10/4/2023"/>
            <filter val="10/4/2025"/>
            <filter val="10/5/2023"/>
            <filter val="10/5/2024"/>
            <filter val="10/5/2025"/>
            <filter val="10/6/2023"/>
            <filter val="10/6/2024"/>
            <filter val="10/6/2025"/>
            <filter val="10/7/2023"/>
            <filter val="10/7/2024"/>
            <filter val="10/7/2025"/>
            <filter val="10/8/2023"/>
            <filter val="10/8/2024"/>
            <filter val="10/8/2025"/>
            <filter val="10/9/2023"/>
            <filter val="10/9/2024"/>
            <filter val="10/9/2025"/>
            <filter val="11/1/2023"/>
            <filter val="11/1/2024"/>
            <filter val="11/1/2025"/>
            <filter val="11/10/2023"/>
            <filter val="11/10/2024"/>
            <filter val="11/10/2025"/>
            <filter val="11/11/2023"/>
            <filter val="11/11/2024"/>
            <filter val="11/11/2025"/>
            <filter val="11/12/2023"/>
            <filter val="11/12/2024"/>
            <filter val="11/12/2025"/>
            <filter val="11/13/2023"/>
            <filter val="11/13/2024"/>
            <filter val="11/13/2025"/>
            <filter val="11/14/2023"/>
            <filter val="11/14/2024"/>
            <filter val="11/14/2025"/>
            <filter val="11/15/2023"/>
            <filter val="11/15/2024"/>
            <filter val="11/15/2025"/>
            <filter val="11/16/2023"/>
            <filter val="11/16/2024"/>
            <filter val="11/16/2025"/>
            <filter val="11/17/2023"/>
            <filter val="11/17/2024"/>
            <filter val="11/17/2025"/>
            <filter val="11/18/2023"/>
            <filter val="11/18/2024"/>
            <filter val="11/18/2025"/>
            <filter val="11/19/2023"/>
            <filter val="11/19/2024"/>
            <filter val="11/19/2025"/>
            <filter val="11/2/2023"/>
            <filter val="11/2/2024"/>
            <filter val="11/2/2025"/>
            <filter val="11/20/2023"/>
            <filter val="11/20/2024"/>
            <filter val="11/20/2025"/>
            <filter val="11/21/2023"/>
            <filter val="11/21/2024"/>
            <filter val="11/21/2025"/>
            <filter val="11/22/2023"/>
            <filter val="11/22/2024"/>
            <filter val="11/22/2025"/>
            <filter val="11/23/2023"/>
            <filter val="11/23/2024"/>
            <filter val="11/23/2025"/>
            <filter val="11/24/2023"/>
            <filter val="11/24/2024"/>
            <filter val="11/24/2025"/>
            <filter val="11/25/2023"/>
            <filter val="11/25/2024"/>
            <filter val="11/25/2025"/>
            <filter val="11/26/2023"/>
            <filter val="11/26/2024"/>
            <filter val="11/26/2025"/>
            <filter val="11/27/2023"/>
            <filter val="11/27/2024"/>
            <filter val="11/27/2025"/>
            <filter val="11/28/2023"/>
            <filter val="11/28/2024"/>
            <filter val="11/28/2025"/>
            <filter val="11/29/2023"/>
            <filter val="11/29/2024"/>
            <filter val="11/29/2025"/>
            <filter val="11/3/2023"/>
            <filter val="11/3/2024"/>
            <filter val="11/3/2025"/>
            <filter val="11/30/2023"/>
            <filter val="11/30/2024"/>
            <filter val="11/30/2025"/>
            <filter val="11/4/2023"/>
            <filter val="11/4/2024"/>
            <filter val="11/4/2025"/>
            <filter val="11/5/2023"/>
            <filter val="11/5/2024"/>
            <filter val="11/5/2025"/>
            <filter val="11/6/2023"/>
            <filter val="11/6/2024"/>
            <filter val="11/6/2025"/>
            <filter val="11/7/2023"/>
            <filter val="11/7/2024"/>
            <filter val="11/7/2025"/>
            <filter val="11/8/2023"/>
            <filter val="11/8/2024"/>
            <filter val="11/8/2025"/>
            <filter val="11/9/2023"/>
            <filter val="11/9/2024"/>
            <filter val="11/9/2025"/>
            <filter val="12/1/2023"/>
            <filter val="12/1/2024"/>
            <filter val="12/1/2025"/>
            <filter val="12/10/2023"/>
            <filter val="12/10/2024"/>
            <filter val="12/10/2025"/>
            <filter val="12/11/2023"/>
            <filter val="12/11/2024"/>
            <filter val="12/11/2025"/>
            <filter val="12/12/2023"/>
            <filter val="12/12/2024"/>
            <filter val="12/12/2025"/>
            <filter val="12/13/2023"/>
            <filter val="12/13/2024"/>
            <filter val="12/13/2025"/>
            <filter val="12/14/2023"/>
            <filter val="12/14/2024"/>
            <filter val="12/14/2025"/>
            <filter val="12/15/2023"/>
            <filter val="12/15/2024"/>
            <filter val="12/15/2025"/>
            <filter val="12/16/2023"/>
            <filter val="12/16/2024"/>
            <filter val="12/16/2025"/>
            <filter val="12/17/2023"/>
            <filter val="12/17/2024"/>
            <filter val="12/17/2025"/>
            <filter val="12/18/2023"/>
            <filter val="12/18/2024"/>
            <filter val="12/18/2025"/>
            <filter val="12/19/2023"/>
            <filter val="12/19/2024"/>
            <filter val="12/19/2025"/>
            <filter val="12/2/2023"/>
            <filter val="12/2/2024"/>
            <filter val="12/2/2025"/>
            <filter val="12/20/2023"/>
            <filter val="12/20/2024"/>
            <filter val="12/20/2025"/>
            <filter val="12/21/2023"/>
            <filter val="12/21/2024"/>
            <filter val="12/21/2025"/>
            <filter val="12/22/2023"/>
            <filter val="12/22/2024"/>
            <filter val="12/22/2025"/>
            <filter val="12/23/2023"/>
            <filter val="12/23/2025"/>
            <filter val="12/24/2023"/>
            <filter val="12/24/2024"/>
            <filter val="12/24/2025"/>
            <filter val="12/25/2023"/>
            <filter val="12/25/2024"/>
            <filter val="12/25/2025"/>
            <filter val="12/26/2023"/>
            <filter val="12/26/2024"/>
            <filter val="12/26/2025"/>
            <filter val="12/27/2023"/>
            <filter val="12/27/2024"/>
            <filter val="12/27/2025"/>
            <filter val="12/28/2023"/>
            <filter val="12/28/2024"/>
            <filter val="12/28/2025"/>
            <filter val="12/29/2023"/>
            <filter val="12/29/2024"/>
            <filter val="12/29/2025"/>
            <filter val="12/3/2023"/>
            <filter val="12/3/2024"/>
            <filter val="12/3/2025"/>
            <filter val="12/30/2023"/>
            <filter val="12/30/2024"/>
            <filter val="12/30/2025"/>
            <filter val="12/31/2023"/>
            <filter val="12/31/2024"/>
            <filter val="12/31/2025"/>
            <filter val="12/4/2023"/>
            <filter val="12/4/2024"/>
            <filter val="12/4/2025"/>
            <filter val="12/5/2023"/>
            <filter val="12/5/2024"/>
            <filter val="12/5/2025"/>
            <filter val="12/6/2023"/>
            <filter val="12/6/2024"/>
            <filter val="12/6/2025"/>
            <filter val="12/7/2023"/>
            <filter val="12/7/2024"/>
            <filter val="12/7/2025"/>
            <filter val="12/8/2023"/>
            <filter val="12/8/2024"/>
            <filter val="12/8/2025"/>
            <filter val="12/9/2023"/>
            <filter val="12/9/2024"/>
            <filter val="12/9/2025"/>
            <filter val="2/1/2024"/>
            <filter val="2/1/2025"/>
            <filter val="2/1/2026"/>
            <filter val="2/10/2024"/>
            <filter val="2/10/2025"/>
            <filter val="2/10/2026"/>
            <filter val="2/11/2024"/>
            <filter val="2/11/2025"/>
            <filter val="2/11/2026"/>
            <filter val="2/12/2024"/>
            <filter val="2/12/2025"/>
            <filter val="2/12/2026"/>
            <filter val="2/13/2024"/>
            <filter val="2/13/2025"/>
            <filter val="2/13/2026"/>
            <filter val="2/14/2024"/>
            <filter val="2/14/2025"/>
            <filter val="2/14/2026"/>
            <filter val="2/15/2024"/>
            <filter val="2/15/2025"/>
            <filter val="2/15/2026"/>
            <filter val="2/16/2024"/>
            <filter val="2/16/2025"/>
            <filter val="2/16/2026"/>
            <filter val="2/17/2024"/>
            <filter val="2/17/2025"/>
            <filter val="2/17/2026"/>
            <filter val="2/18/2024"/>
            <filter val="2/18/2025"/>
            <filter val="2/18/2026"/>
            <filter val="2/19/2024"/>
            <filter val="2/19/2025"/>
            <filter val="2/19/2026"/>
            <filter val="2/2/2024"/>
            <filter val="2/2/2025"/>
            <filter val="2/2/2026"/>
            <filter val="2/20/2024"/>
            <filter val="2/20/2025"/>
            <filter val="2/20/2026"/>
            <filter val="2/21/2025"/>
            <filter val="2/21/2026"/>
            <filter val="2/22/2024"/>
            <filter val="2/22/2025"/>
            <filter val="2/22/2026"/>
            <filter val="2/23/2024"/>
            <filter val="2/23/2025"/>
            <filter val="2/23/2026"/>
            <filter val="2/24/2024"/>
            <filter val="2/24/2025"/>
            <filter val="2/25/2024"/>
            <filter val="2/25/2025"/>
            <filter val="2/25/2026"/>
            <filter val="2/26/2024"/>
            <filter val="2/26/2025"/>
            <filter val="2/26/2026"/>
            <filter val="2/27/2024"/>
            <filter val="2/27/2025"/>
            <filter val="2/27/2026"/>
            <filter val="2/28/2024"/>
            <filter val="2/28/2025"/>
            <filter val="2/28/2026"/>
            <filter val="2/29/2024"/>
            <filter val="2/3/2024"/>
            <filter val="2/3/2025"/>
            <filter val="2/3/2026"/>
            <filter val="2/4/2024"/>
            <filter val="2/4/2026"/>
            <filter val="2/5/2024"/>
            <filter val="2/5/2025"/>
            <filter val="2/5/2026"/>
            <filter val="2/6/2024"/>
            <filter val="2/6/2025"/>
            <filter val="2/6/2026"/>
            <filter val="2/7/2024"/>
            <filter val="2/7/2025"/>
            <filter val="2/7/2026"/>
            <filter val="2/8/2024"/>
            <filter val="2/8/2025"/>
            <filter val="2/8/2026"/>
            <filter val="2/9/2024"/>
            <filter val="2/9/2025"/>
            <filter val="2/9/2026"/>
            <filter val="3/1/2024"/>
            <filter val="3/1/2025"/>
            <filter val="3/1/2026"/>
            <filter val="3/10/2024"/>
            <filter val="3/10/2025"/>
            <filter val="3/10/2026"/>
            <filter val="3/11/2024"/>
            <filter val="3/11/2025"/>
            <filter val="3/11/2026"/>
            <filter val="3/12/2024"/>
            <filter val="3/12/2025"/>
            <filter val="3/12/2026"/>
            <filter val="3/13/2024"/>
            <filter val="3/13/2025"/>
            <filter val="3/13/2026"/>
            <filter val="3/14/2024"/>
            <filter val="3/14/2025"/>
            <filter val="3/14/2026"/>
            <filter val="3/15/2024"/>
            <filter val="3/15/2025"/>
            <filter val="3/15/2026"/>
            <filter val="3/16/2024"/>
            <filter val="3/16/2025"/>
            <filter val="3/16/2026"/>
            <filter val="3/17/2024"/>
            <filter val="3/17/2025"/>
            <filter val="3/17/2026"/>
            <filter val="3/18/2024"/>
            <filter val="3/18/2025"/>
            <filter val="3/18/2026"/>
            <filter val="3/19/2024"/>
            <filter val="3/19/2025"/>
            <filter val="3/19/2026"/>
            <filter val="3/2/2024"/>
            <filter val="3/2/2025"/>
            <filter val="3/2/2026"/>
            <filter val="3/20/2024"/>
            <filter val="3/20/2025"/>
            <filter val="3/20/2026"/>
            <filter val="3/21/2025"/>
            <filter val="3/21/2026"/>
            <filter val="3/22/2024"/>
            <filter val="3/22/2025"/>
            <filter val="3/22/2026"/>
            <filter val="3/23/2024"/>
            <filter val="3/23/2025"/>
            <filter val="3/23/2026"/>
            <filter val="3/24/2024"/>
            <filter val="3/24/2025"/>
            <filter val="3/24/2026"/>
            <filter val="3/25/2024"/>
            <filter val="3/25/2025"/>
            <filter val="3/25/2026"/>
            <filter val="3/26/2024"/>
            <filter val="3/26/2025"/>
            <filter val="3/26/2026"/>
            <filter val="3/27/2024"/>
            <filter val="3/27/2025"/>
            <filter val="3/27/2026"/>
            <filter val="3/28/2024"/>
            <filter val="3/28/2025"/>
            <filter val="3/28/2026"/>
            <filter val="3/29/2024"/>
            <filter val="3/29/2025"/>
            <filter val="3/29/2026"/>
            <filter val="3/3/2024"/>
            <filter val="3/3/2025"/>
            <filter val="3/30/2024"/>
            <filter val="3/30/2025"/>
            <filter val="3/30/2026"/>
            <filter val="3/31/2024"/>
            <filter val="3/31/2025"/>
            <filter val="3/31/2026"/>
            <filter val="3/4/2025"/>
            <filter val="3/4/2026"/>
            <filter val="3/5/2024"/>
            <filter val="3/5/2025"/>
            <filter val="3/5/2026"/>
            <filter val="3/6/2024"/>
            <filter val="3/6/2025"/>
            <filter val="3/6/2026"/>
            <filter val="3/7/2024"/>
            <filter val="3/7/2025"/>
            <filter val="3/7/2026"/>
            <filter val="3/8/2024"/>
            <filter val="3/8/2025"/>
            <filter val="3/8/2026"/>
            <filter val="3/9/2024"/>
            <filter val="3/9/2025"/>
            <filter val="3/9/2026"/>
            <filter val="4/1/2024"/>
            <filter val="4/1/2025"/>
            <filter val="4/1/2026"/>
            <filter val="4/10/2024"/>
            <filter val="4/10/2025"/>
            <filter val="4/10/2026"/>
            <filter val="4/11/2024"/>
            <filter val="4/11/2025"/>
            <filter val="4/11/2026"/>
            <filter val="4/12/2024"/>
            <filter val="4/12/2025"/>
            <filter val="4/12/2026"/>
            <filter val="4/13/2024"/>
            <filter val="4/13/2025"/>
            <filter val="4/13/2026"/>
            <filter val="4/14/2024"/>
            <filter val="4/14/2025"/>
            <filter val="4/14/2026"/>
            <filter val="4/15/2024"/>
            <filter val="4/15/2025"/>
            <filter val="4/15/2026"/>
            <filter val="4/16/2024"/>
            <filter val="4/16/2025"/>
            <filter val="4/16/2026"/>
            <filter val="4/17/2024"/>
            <filter val="4/17/2025"/>
            <filter val="4/17/2026"/>
            <filter val="4/18/2024"/>
            <filter val="4/18/2025"/>
            <filter val="4/18/2026"/>
            <filter val="4/19/2024"/>
            <filter val="4/19/2025"/>
            <filter val="4/19/2026"/>
            <filter val="4/2/2024"/>
            <filter val="4/2/2025"/>
            <filter val="4/2/2026"/>
            <filter val="4/20/2024"/>
            <filter val="4/20/2025"/>
            <filter val="4/20/2026"/>
            <filter val="4/21/2024"/>
            <filter val="4/21/2026"/>
            <filter val="4/22/2024"/>
            <filter val="4/22/2025"/>
            <filter val="4/22/2026"/>
            <filter val="4/23/2024"/>
            <filter val="4/23/2025"/>
            <filter val="4/23/2026"/>
            <filter val="4/24/2024"/>
            <filter val="4/24/2025"/>
            <filter val="4/24/2026"/>
            <filter val="4/25/2024"/>
            <filter val="4/25/2025"/>
            <filter val="4/25/2026"/>
            <filter val="4/26/2024"/>
            <filter val="4/26/2025"/>
            <filter val="4/26/2026"/>
            <filter val="4/27/2024"/>
            <filter val="4/27/2025"/>
            <filter val="4/27/2026"/>
            <filter val="4/28/2024"/>
            <filter val="4/28/2025"/>
            <filter val="4/29/2024"/>
            <filter val="4/29/2025"/>
            <filter val="4/3/2024"/>
            <filter val="4/3/2025"/>
            <filter val="4/3/2026"/>
            <filter val="4/30/2024"/>
            <filter val="4/30/2025"/>
            <filter val="4/4/2024"/>
            <filter val="4/4/2025"/>
            <filter val="4/4/2026"/>
            <filter val="4/5/2024"/>
            <filter val="4/5/2025"/>
            <filter val="4/5/2026"/>
            <filter val="4/6/2024"/>
            <filter val="4/6/2025"/>
            <filter val="4/6/2026"/>
            <filter val="4/7/2024"/>
            <filter val="4/7/2025"/>
            <filter val="4/7/2026"/>
            <filter val="4/8/2024"/>
            <filter val="4/8/2025"/>
            <filter val="4/8/2026"/>
            <filter val="4/9/2024"/>
            <filter val="4/9/2025"/>
            <filter val="4/9/2026"/>
            <filter val="5/1/2024"/>
            <filter val="5/1/2025"/>
            <filter val="5/10/2024"/>
            <filter val="5/10/2025"/>
            <filter val="5/11/2024"/>
            <filter val="5/11/2025"/>
            <filter val="5/12/2024"/>
            <filter val="5/12/2025"/>
            <filter val="5/13/2024"/>
            <filter val="5/13/2025"/>
            <filter val="5/14/2024"/>
            <filter val="5/14/2025"/>
            <filter val="5/15/2024"/>
            <filter val="5/15/2025"/>
            <filter val="5/16/2024"/>
            <filter val="5/16/2025"/>
            <filter val="5/17/2024"/>
            <filter val="5/17/2025"/>
            <filter val="5/18/2024"/>
            <filter val="5/18/2025"/>
            <filter val="5/19/2024"/>
            <filter val="5/19/2025"/>
            <filter val="5/2/2024"/>
            <filter val="5/2/2025"/>
            <filter val="5/20/2024"/>
            <filter val="5/20/2025"/>
            <filter val="5/21/2024"/>
            <filter val="5/21/2025"/>
            <filter val="5/22/2024"/>
            <filter val="5/22/2025"/>
            <filter val="5/23/2024"/>
            <filter val="5/23/2025"/>
            <filter val="5/24/2024"/>
            <filter val="5/24/2025"/>
            <filter val="5/25/2024"/>
            <filter val="5/25/2025"/>
            <filter val="5/26/2024"/>
            <filter val="5/26/2025"/>
            <filter val="5/27/2024"/>
            <filter val="5/27/2025"/>
            <filter val="5/28/2024"/>
            <filter val="5/28/2025"/>
            <filter val="5/29/2024"/>
            <filter val="5/29/2025"/>
            <filter val="5/3/2024"/>
            <filter val="5/3/2025"/>
            <filter val="5/30/2024"/>
            <filter val="5/30/2025"/>
            <filter val="5/31/2024"/>
            <filter val="5/31/2025"/>
            <filter val="5/4/2024"/>
            <filter val="5/4/2025"/>
            <filter val="5/5/2024"/>
            <filter val="5/5/2025"/>
            <filter val="5/6/2024"/>
            <filter val="5/6/2025"/>
            <filter val="5/7/2024"/>
            <filter val="5/7/2025"/>
            <filter val="5/8/2024"/>
            <filter val="5/8/2025"/>
            <filter val="5/9/2024"/>
            <filter val="5/9/2025"/>
            <filter val="6/1/2024"/>
            <filter val="6/1/2025"/>
            <filter val="6/10/2024"/>
            <filter val="6/10/2025"/>
            <filter val="6/11/2024"/>
            <filter val="6/11/2025"/>
            <filter val="6/12/2024"/>
            <filter val="6/12/2025"/>
            <filter val="6/13/2024"/>
            <filter val="6/13/2025"/>
            <filter val="6/14/2024"/>
            <filter val="6/14/2025"/>
            <filter val="6/15/2024"/>
            <filter val="6/15/2025"/>
            <filter val="6/16/2024"/>
            <filter val="6/16/2025"/>
            <filter val="6/17/2024"/>
            <filter val="6/17/2025"/>
            <filter val="6/18/2024"/>
            <filter val="6/18/2025"/>
            <filter val="6/19/2024"/>
            <filter val="6/19/2025"/>
            <filter val="6/2/2024"/>
            <filter val="6/2/2025"/>
            <filter val="6/20/2024"/>
            <filter val="6/20/2025"/>
            <filter val="6/21/2024"/>
            <filter val="6/21/2025"/>
            <filter val="6/22/2024"/>
            <filter val="6/22/2025"/>
            <filter val="6/23/2024"/>
            <filter val="6/23/2025"/>
            <filter val="6/24/2024"/>
            <filter val="6/24/2025"/>
            <filter val="6/25/2024"/>
            <filter val="6/25/2025"/>
            <filter val="6/26/2024"/>
            <filter val="6/26/2025"/>
            <filter val="6/27/2024"/>
            <filter val="6/27/2025"/>
            <filter val="6/28/2024"/>
            <filter val="6/28/2025"/>
            <filter val="6/29/2024"/>
            <filter val="6/29/2025"/>
            <filter val="6/3/2024"/>
            <filter val="6/3/2025"/>
            <filter val="6/30/2024"/>
            <filter val="6/4/2024"/>
            <filter val="6/4/2025"/>
            <filter val="6/5/2024"/>
            <filter val="6/5/2025"/>
            <filter val="6/6/2024"/>
            <filter val="6/6/2025"/>
            <filter val="6/7/2024"/>
            <filter val="6/7/2025"/>
            <filter val="6/8/2024"/>
            <filter val="6/8/2025"/>
            <filter val="6/9/2024"/>
            <filter val="6/9/2025"/>
            <filter val="7/1/2024"/>
            <filter val="7/1/2025"/>
            <filter val="7/10/2024"/>
            <filter val="7/10/2025"/>
            <filter val="7/11/2024"/>
            <filter val="7/11/2025"/>
            <filter val="7/12/2024"/>
            <filter val="7/12/2025"/>
            <filter val="7/13/2024"/>
            <filter val="7/13/2025"/>
            <filter val="7/14/2024"/>
            <filter val="7/14/2025"/>
            <filter val="7/15/2024"/>
            <filter val="7/15/2025"/>
            <filter val="7/16/2024"/>
            <filter val="7/16/2025"/>
            <filter val="7/17/2024"/>
            <filter val="7/17/2025"/>
            <filter val="7/18/2024"/>
            <filter val="7/18/2025"/>
            <filter val="7/19/2024"/>
            <filter val="7/19/2025"/>
            <filter val="7/2/2024"/>
            <filter val="7/2/2025"/>
            <filter val="7/20/2024"/>
            <filter val="7/20/2025"/>
            <filter val="7/21/2024"/>
            <filter val="7/21/2025"/>
            <filter val="7/22/2024"/>
            <filter val="7/22/2025"/>
            <filter val="7/23/2024"/>
            <filter val="7/23/2025"/>
            <filter val="7/24/2024"/>
            <filter val="7/24/2025"/>
            <filter val="7/25/2024"/>
            <filter val="7/25/2025"/>
            <filter val="7/26/2024"/>
            <filter val="7/26/2025"/>
            <filter val="7/27/2024"/>
            <filter val="7/27/2025"/>
            <filter val="7/28/2023"/>
            <filter val="7/28/2024"/>
            <filter val="7/28/2025"/>
            <filter val="7/29/2023"/>
            <filter val="7/29/2025"/>
            <filter val="7/3/2024"/>
            <filter val="7/3/2025"/>
            <filter val="7/30/2023"/>
            <filter val="7/30/2024"/>
            <filter val="7/30/2025"/>
            <filter val="7/31/2023"/>
            <filter val="7/31/2025"/>
            <filter val="7/4/2024"/>
            <filter val="7/4/2025"/>
            <filter val="7/5/2024"/>
            <filter val="7/5/2025"/>
            <filter val="7/6/2024"/>
            <filter val="7/6/2025"/>
            <filter val="7/7/2024"/>
            <filter val="7/7/2025"/>
            <filter val="7/8/2024"/>
            <filter val="7/8/2025"/>
            <filter val="7/9/2024"/>
            <filter val="7/9/2025"/>
            <filter val="8/1/2023"/>
            <filter val="8/1/2024"/>
            <filter val="8/1/2025"/>
            <filter val="8/10/2023"/>
            <filter val="8/10/2024"/>
            <filter val="8/10/2025"/>
            <filter val="8/11/2023"/>
            <filter val="8/11/2024"/>
            <filter val="8/11/2025"/>
            <filter val="8/12/2023"/>
            <filter val="8/12/2024"/>
            <filter val="8/12/2025"/>
            <filter val="8/13/2023"/>
            <filter val="8/13/2024"/>
            <filter val="8/13/2025"/>
            <filter val="8/14/2023"/>
            <filter val="8/14/2024"/>
            <filter val="8/14/2025"/>
            <filter val="8/15/2023"/>
            <filter val="8/15/2024"/>
            <filter val="8/15/2025"/>
            <filter val="8/16/2023"/>
            <filter val="8/16/2024"/>
            <filter val="8/16/2025"/>
            <filter val="8/17/2023"/>
            <filter val="8/17/2024"/>
            <filter val="8/17/2025"/>
            <filter val="8/18/2023"/>
            <filter val="8/18/2024"/>
            <filter val="8/18/2025"/>
            <filter val="8/19/2023"/>
            <filter val="8/19/2024"/>
            <filter val="8/19/2025"/>
            <filter val="8/2/2023"/>
            <filter val="8/2/2024"/>
            <filter val="8/2/2025"/>
            <filter val="8/20/2023"/>
            <filter val="8/20/2024"/>
            <filter val="8/20/2025"/>
            <filter val="8/21/2023"/>
            <filter val="8/21/2024"/>
            <filter val="8/21/2025"/>
            <filter val="8/22/2023"/>
            <filter val="8/22/2024"/>
            <filter val="8/22/2025"/>
            <filter val="8/23/2023"/>
            <filter val="8/23/2024"/>
            <filter val="8/23/2025"/>
            <filter val="8/24/2023"/>
            <filter val="8/24/2024"/>
            <filter val="8/24/2025"/>
            <filter val="8/25/2023"/>
            <filter val="8/25/2024"/>
            <filter val="8/25/2025"/>
            <filter val="8/26/2023"/>
            <filter val="8/26/2024"/>
            <filter val="8/26/2025"/>
            <filter val="8/27/2023"/>
            <filter val="8/27/2024"/>
            <filter val="8/27/2025"/>
            <filter val="8/28/2023"/>
            <filter val="8/28/2024"/>
            <filter val="8/28/2025"/>
            <filter val="8/29/2023"/>
            <filter val="8/29/2024"/>
            <filter val="8/29/2025"/>
            <filter val="8/3/2023"/>
            <filter val="8/3/2024"/>
            <filter val="8/3/2025"/>
            <filter val="8/30/2023"/>
            <filter val="8/30/2024"/>
            <filter val="8/30/2025"/>
            <filter val="8/31/2023"/>
            <filter val="8/31/2024"/>
            <filter val="8/31/2025"/>
            <filter val="8/4/2023"/>
            <filter val="8/4/2024"/>
            <filter val="8/4/2025"/>
            <filter val="8/5/2023"/>
            <filter val="8/5/2024"/>
            <filter val="8/5/2025"/>
            <filter val="8/6/2023"/>
            <filter val="8/6/2024"/>
            <filter val="8/6/2025"/>
            <filter val="8/7/2023"/>
            <filter val="8/7/2025"/>
            <filter val="8/8/2023"/>
            <filter val="8/8/2024"/>
            <filter val="8/8/2025"/>
            <filter val="8/9/2023"/>
            <filter val="8/9/2024"/>
            <filter val="8/9/2025"/>
            <filter val="9/1/2023"/>
            <filter val="9/1/2024"/>
            <filter val="9/1/2025"/>
            <filter val="9/10/2023"/>
            <filter val="9/10/2024"/>
            <filter val="9/10/2025"/>
            <filter val="9/11/2023"/>
            <filter val="9/11/2024"/>
            <filter val="9/11/2025"/>
            <filter val="9/12/2023"/>
            <filter val="9/12/2024"/>
            <filter val="9/12/2025"/>
            <filter val="9/13/2023"/>
            <filter val="9/13/2024"/>
            <filter val="9/13/2025"/>
            <filter val="9/14/2023"/>
            <filter val="9/14/2024"/>
            <filter val="9/14/2025"/>
            <filter val="9/15/2023"/>
            <filter val="9/15/2024"/>
            <filter val="9/15/2025"/>
            <filter val="9/16/2023"/>
            <filter val="9/16/2024"/>
            <filter val="9/16/2025"/>
            <filter val="9/17/2023"/>
            <filter val="9/17/2024"/>
            <filter val="9/17/2025"/>
            <filter val="9/18/2023"/>
            <filter val="9/18/2025"/>
            <filter val="9/19/2023"/>
            <filter val="9/19/2025"/>
            <filter val="9/2/2023"/>
            <filter val="9/2/2024"/>
            <filter val="9/2/2025"/>
            <filter val="9/20/2023"/>
            <filter val="9/20/2024"/>
            <filter val="9/20/2025"/>
            <filter val="9/21/2023"/>
            <filter val="9/21/2024"/>
            <filter val="9/22/2023"/>
            <filter val="9/22/2024"/>
            <filter val="9/22/2025"/>
            <filter val="9/23/2023"/>
            <filter val="9/23/2024"/>
            <filter val="9/23/2025"/>
            <filter val="9/24/2023"/>
            <filter val="9/24/2024"/>
            <filter val="9/24/2025"/>
            <filter val="9/25/2023"/>
            <filter val="9/25/2024"/>
            <filter val="9/25/2025"/>
            <filter val="9/26/2023"/>
            <filter val="9/26/2024"/>
            <filter val="9/26/2025"/>
            <filter val="9/27/2023"/>
            <filter val="9/27/2024"/>
            <filter val="9/27/2025"/>
            <filter val="9/28/2023"/>
            <filter val="9/28/2024"/>
            <filter val="9/28/2025"/>
            <filter val="9/29/2023"/>
            <filter val="9/29/2024"/>
            <filter val="9/29/2025"/>
            <filter val="9/3/2023"/>
            <filter val="9/3/2024"/>
            <filter val="9/3/2025"/>
            <filter val="9/30/2023"/>
            <filter val="9/30/2024"/>
            <filter val="9/30/2025"/>
            <filter val="9/4/2023"/>
            <filter val="9/4/2024"/>
            <filter val="9/4/2025"/>
            <filter val="9/5/2023"/>
            <filter val="9/5/2024"/>
            <filter val="9/5/2025"/>
            <filter val="9/6/2023"/>
            <filter val="9/6/2024"/>
            <filter val="9/6/2025"/>
            <filter val="9/7/2023"/>
            <filter val="9/7/2024"/>
            <filter val="9/7/2025"/>
            <filter val="9/8/2023"/>
            <filter val="9/8/2024"/>
            <filter val="9/8/2025"/>
            <filter val="9/9/2023"/>
            <filter val="9/9/2024"/>
            <filter val="9/9/2025"/>
          </filters>
        </filterColumn>
        <filterColumn colId="5">
          <filters>
            <filter val="Credit"/>
          </filters>
        </filterColumn>
      </autoFilter>
    </customSheetView>
    <customSheetView guid="{755AF0B3-EF3A-438D-9767-ED6BEEFE37B1}" filter="1" showAutoFilter="1">
      <pageMargins left="0.7" right="0.7" top="0.75" bottom="0.75" header="0.3" footer="0.3"/>
      <autoFilter ref="A1:H4137" xr:uid="{3B451E3D-A9E5-354F-B1CC-5FA2AAD29AAB}">
        <filterColumn colId="1">
          <filters>
            <filter val="1/1/2024"/>
            <filter val="1/1/2025"/>
            <filter val="1/1/2026"/>
            <filter val="1/10/2024"/>
            <filter val="1/10/2025"/>
            <filter val="1/10/2026"/>
            <filter val="1/11/2024"/>
            <filter val="1/11/2025"/>
            <filter val="1/11/2026"/>
            <filter val="1/12/2024"/>
            <filter val="1/12/2025"/>
            <filter val="1/12/2026"/>
            <filter val="1/13/2024"/>
            <filter val="1/13/2025"/>
            <filter val="1/14/2024"/>
            <filter val="1/14/2025"/>
            <filter val="1/14/2026"/>
            <filter val="1/15/2024"/>
            <filter val="1/15/2026"/>
            <filter val="1/16/2024"/>
            <filter val="1/16/2025"/>
            <filter val="1/16/2026"/>
            <filter val="1/17/2024"/>
            <filter val="1/17/2025"/>
            <filter val="1/17/2026"/>
            <filter val="1/18/2024"/>
            <filter val="1/18/2025"/>
            <filter val="1/18/2026"/>
            <filter val="1/19/2024"/>
            <filter val="1/19/2025"/>
            <filter val="1/19/2026"/>
            <filter val="1/2/2024"/>
            <filter val="1/2/2025"/>
            <filter val="1/2/2026"/>
            <filter val="1/20/2024"/>
            <filter val="1/20/2025"/>
            <filter val="1/20/2026"/>
            <filter val="1/21/2024"/>
            <filter val="1/21/2025"/>
            <filter val="1/21/2026"/>
            <filter val="1/22/2024"/>
            <filter val="1/22/2025"/>
            <filter val="1/22/2026"/>
            <filter val="1/23/2024"/>
            <filter val="1/23/2026"/>
            <filter val="1/24/2024"/>
            <filter val="1/24/2025"/>
            <filter val="1/24/2026"/>
            <filter val="1/25/2024"/>
            <filter val="1/25/2025"/>
            <filter val="1/25/2026"/>
            <filter val="1/26/2024"/>
            <filter val="1/26/2025"/>
            <filter val="1/26/2026"/>
            <filter val="1/27/2024"/>
            <filter val="1/27/2025"/>
            <filter val="1/27/2026"/>
            <filter val="1/28/2024"/>
            <filter val="1/28/2025"/>
            <filter val="1/28/2026"/>
            <filter val="1/29/2024"/>
            <filter val="1/29/2025"/>
            <filter val="1/29/2026"/>
            <filter val="1/3/2024"/>
            <filter val="1/3/2025"/>
            <filter val="1/3/2026"/>
            <filter val="1/30/2024"/>
            <filter val="1/30/2025"/>
            <filter val="1/30/2026"/>
            <filter val="1/31/2024"/>
            <filter val="1/31/2025"/>
            <filter val="1/31/2026"/>
            <filter val="1/4/2024"/>
            <filter val="1/4/2025"/>
            <filter val="1/4/2026"/>
            <filter val="1/5/2024"/>
            <filter val="1/5/2025"/>
            <filter val="1/5/2026"/>
            <filter val="1/6/2024"/>
            <filter val="1/6/2025"/>
            <filter val="1/6/2026"/>
            <filter val="1/7/2024"/>
            <filter val="1/7/2025"/>
            <filter val="1/7/2026"/>
            <filter val="1/8/2024"/>
            <filter val="1/8/2025"/>
            <filter val="1/8/2026"/>
            <filter val="1/9/2024"/>
            <filter val="1/9/2025"/>
            <filter val="1/9/2026"/>
            <filter val="10/1/2023"/>
            <filter val="10/1/2024"/>
            <filter val="10/1/2025"/>
            <filter val="10/10/2023"/>
            <filter val="10/10/2024"/>
            <filter val="10/10/2025"/>
            <filter val="10/11/2023"/>
            <filter val="10/11/2024"/>
            <filter val="10/11/2025"/>
            <filter val="10/12/2023"/>
            <filter val="10/12/2024"/>
            <filter val="10/12/2025"/>
            <filter val="10/13/2023"/>
            <filter val="10/13/2024"/>
            <filter val="10/13/2025"/>
            <filter val="10/14/2023"/>
            <filter val="10/14/2024"/>
            <filter val="10/14/2025"/>
            <filter val="10/15/2023"/>
            <filter val="10/15/2024"/>
            <filter val="10/15/2025"/>
            <filter val="10/16/2023"/>
            <filter val="10/16/2024"/>
            <filter val="10/16/2025"/>
            <filter val="10/17/2023"/>
            <filter val="10/17/2024"/>
            <filter val="10/17/2025"/>
            <filter val="10/18/2023"/>
            <filter val="10/18/2024"/>
            <filter val="10/18/2025"/>
            <filter val="10/19/2023"/>
            <filter val="10/19/2024"/>
            <filter val="10/19/2025"/>
            <filter val="10/2/2023"/>
            <filter val="10/2/2024"/>
            <filter val="10/2/2025"/>
            <filter val="10/20/2023"/>
            <filter val="10/20/2024"/>
            <filter val="10/20/2025"/>
            <filter val="10/21/2023"/>
            <filter val="10/21/2025"/>
            <filter val="10/22/2023"/>
            <filter val="10/22/2024"/>
            <filter val="10/22/2025"/>
            <filter val="10/23/2023"/>
            <filter val="10/23/2024"/>
            <filter val="10/23/2025"/>
            <filter val="10/24/2023"/>
            <filter val="10/24/2024"/>
            <filter val="10/24/2025"/>
            <filter val="10/25/2023"/>
            <filter val="10/25/2024"/>
            <filter val="10/25/2025"/>
            <filter val="10/26/2023"/>
            <filter val="10/26/2024"/>
            <filter val="10/26/2025"/>
            <filter val="10/27/2023"/>
            <filter val="10/27/2024"/>
            <filter val="10/27/2025"/>
            <filter val="10/28/2023"/>
            <filter val="10/28/2024"/>
            <filter val="10/28/2025"/>
            <filter val="10/29/2023"/>
            <filter val="10/29/2024"/>
            <filter val="10/29/2025"/>
            <filter val="10/3/2023"/>
            <filter val="10/3/2024"/>
            <filter val="10/3/2025"/>
            <filter val="10/30/2023"/>
            <filter val="10/30/2024"/>
            <filter val="10/30/2025"/>
            <filter val="10/31/2023"/>
            <filter val="10/31/2024"/>
            <filter val="10/31/2025"/>
            <filter val="10/4/2023"/>
            <filter val="10/4/2025"/>
            <filter val="10/5/2023"/>
            <filter val="10/5/2024"/>
            <filter val="10/5/2025"/>
            <filter val="10/6/2023"/>
            <filter val="10/6/2024"/>
            <filter val="10/6/2025"/>
            <filter val="10/7/2023"/>
            <filter val="10/7/2024"/>
            <filter val="10/7/2025"/>
            <filter val="10/8/2023"/>
            <filter val="10/8/2024"/>
            <filter val="10/8/2025"/>
            <filter val="10/9/2023"/>
            <filter val="10/9/2024"/>
            <filter val="10/9/2025"/>
            <filter val="11/1/2023"/>
            <filter val="11/1/2024"/>
            <filter val="11/1/2025"/>
            <filter val="11/10/2023"/>
            <filter val="11/10/2024"/>
            <filter val="11/10/2025"/>
            <filter val="11/11/2023"/>
            <filter val="11/11/2024"/>
            <filter val="11/11/2025"/>
            <filter val="11/12/2023"/>
            <filter val="11/12/2024"/>
            <filter val="11/12/2025"/>
            <filter val="11/13/2023"/>
            <filter val="11/13/2024"/>
            <filter val="11/13/2025"/>
            <filter val="11/14/2023"/>
            <filter val="11/14/2024"/>
            <filter val="11/14/2025"/>
            <filter val="11/15/2023"/>
            <filter val="11/15/2024"/>
            <filter val="11/15/2025"/>
            <filter val="11/16/2023"/>
            <filter val="11/16/2024"/>
            <filter val="11/16/2025"/>
            <filter val="11/17/2023"/>
            <filter val="11/17/2024"/>
            <filter val="11/17/2025"/>
            <filter val="11/18/2023"/>
            <filter val="11/18/2024"/>
            <filter val="11/18/2025"/>
            <filter val="11/19/2023"/>
            <filter val="11/19/2024"/>
            <filter val="11/19/2025"/>
            <filter val="11/2/2023"/>
            <filter val="11/2/2024"/>
            <filter val="11/2/2025"/>
            <filter val="11/20/2023"/>
            <filter val="11/20/2024"/>
            <filter val="11/20/2025"/>
            <filter val="11/21/2023"/>
            <filter val="11/21/2024"/>
            <filter val="11/21/2025"/>
            <filter val="11/22/2023"/>
            <filter val="11/22/2024"/>
            <filter val="11/22/2025"/>
            <filter val="11/23/2023"/>
            <filter val="11/23/2024"/>
            <filter val="11/23/2025"/>
            <filter val="11/24/2023"/>
            <filter val="11/24/2024"/>
            <filter val="11/24/2025"/>
            <filter val="11/25/2023"/>
            <filter val="11/25/2024"/>
            <filter val="11/25/2025"/>
            <filter val="11/26/2023"/>
            <filter val="11/26/2024"/>
            <filter val="11/26/2025"/>
            <filter val="11/27/2023"/>
            <filter val="11/27/2024"/>
            <filter val="11/27/2025"/>
            <filter val="11/28/2023"/>
            <filter val="11/28/2024"/>
            <filter val="11/28/2025"/>
            <filter val="11/29/2023"/>
            <filter val="11/29/2024"/>
            <filter val="11/29/2025"/>
            <filter val="11/3/2023"/>
            <filter val="11/3/2024"/>
            <filter val="11/3/2025"/>
            <filter val="11/30/2023"/>
            <filter val="11/30/2024"/>
            <filter val="11/30/2025"/>
            <filter val="11/4/2023"/>
            <filter val="11/4/2024"/>
            <filter val="11/4/2025"/>
            <filter val="11/5/2023"/>
            <filter val="11/5/2024"/>
            <filter val="11/5/2025"/>
            <filter val="11/6/2023"/>
            <filter val="11/6/2024"/>
            <filter val="11/6/2025"/>
            <filter val="11/7/2023"/>
            <filter val="11/7/2024"/>
            <filter val="11/7/2025"/>
            <filter val="11/8/2023"/>
            <filter val="11/8/2024"/>
            <filter val="11/8/2025"/>
            <filter val="11/9/2023"/>
            <filter val="11/9/2024"/>
            <filter val="11/9/2025"/>
            <filter val="12/1/2023"/>
            <filter val="12/1/2024"/>
            <filter val="12/1/2025"/>
            <filter val="12/10/2023"/>
            <filter val="12/10/2024"/>
            <filter val="12/10/2025"/>
            <filter val="12/11/2023"/>
            <filter val="12/11/2024"/>
            <filter val="12/11/2025"/>
            <filter val="12/12/2023"/>
            <filter val="12/12/2024"/>
            <filter val="12/12/2025"/>
            <filter val="12/13/2023"/>
            <filter val="12/13/2024"/>
            <filter val="12/13/2025"/>
            <filter val="12/14/2023"/>
            <filter val="12/14/2024"/>
            <filter val="12/14/2025"/>
            <filter val="12/15/2023"/>
            <filter val="12/15/2024"/>
            <filter val="12/15/2025"/>
            <filter val="12/16/2023"/>
            <filter val="12/16/2024"/>
            <filter val="12/16/2025"/>
            <filter val="12/17/2023"/>
            <filter val="12/17/2024"/>
            <filter val="12/17/2025"/>
            <filter val="12/18/2023"/>
            <filter val="12/18/2024"/>
            <filter val="12/18/2025"/>
            <filter val="12/19/2023"/>
            <filter val="12/19/2024"/>
            <filter val="12/19/2025"/>
            <filter val="12/2/2023"/>
            <filter val="12/2/2024"/>
            <filter val="12/2/2025"/>
            <filter val="12/20/2023"/>
            <filter val="12/20/2024"/>
            <filter val="12/20/2025"/>
            <filter val="12/21/2023"/>
            <filter val="12/21/2024"/>
            <filter val="12/21/2025"/>
            <filter val="12/22/2023"/>
            <filter val="12/22/2024"/>
            <filter val="12/22/2025"/>
            <filter val="12/23/2023"/>
            <filter val="12/23/2025"/>
            <filter val="12/24/2023"/>
            <filter val="12/24/2024"/>
            <filter val="12/24/2025"/>
            <filter val="12/25/2023"/>
            <filter val="12/25/2024"/>
            <filter val="12/25/2025"/>
            <filter val="12/26/2023"/>
            <filter val="12/26/2024"/>
            <filter val="12/26/2025"/>
            <filter val="12/27/2023"/>
            <filter val="12/27/2024"/>
            <filter val="12/27/2025"/>
            <filter val="12/28/2023"/>
            <filter val="12/28/2024"/>
            <filter val="12/28/2025"/>
            <filter val="12/29/2023"/>
            <filter val="12/29/2024"/>
            <filter val="12/29/2025"/>
            <filter val="12/3/2023"/>
            <filter val="12/3/2024"/>
            <filter val="12/3/2025"/>
            <filter val="12/30/2023"/>
            <filter val="12/30/2024"/>
            <filter val="12/30/2025"/>
            <filter val="12/31/2023"/>
            <filter val="12/31/2024"/>
            <filter val="12/31/2025"/>
            <filter val="12/4/2023"/>
            <filter val="12/4/2024"/>
            <filter val="12/4/2025"/>
            <filter val="12/5/2023"/>
            <filter val="12/5/2024"/>
            <filter val="12/5/2025"/>
            <filter val="12/6/2023"/>
            <filter val="12/6/2024"/>
            <filter val="12/6/2025"/>
            <filter val="12/7/2023"/>
            <filter val="12/7/2024"/>
            <filter val="12/7/2025"/>
            <filter val="12/8/2023"/>
            <filter val="12/8/2024"/>
            <filter val="12/8/2025"/>
            <filter val="12/9/2023"/>
            <filter val="12/9/2024"/>
            <filter val="12/9/2025"/>
            <filter val="2/1/2024"/>
            <filter val="2/1/2025"/>
            <filter val="2/1/2026"/>
            <filter val="2/10/2024"/>
            <filter val="2/10/2025"/>
            <filter val="2/10/2026"/>
            <filter val="2/11/2024"/>
            <filter val="2/11/2025"/>
            <filter val="2/11/2026"/>
            <filter val="2/12/2024"/>
            <filter val="2/12/2025"/>
            <filter val="2/12/2026"/>
            <filter val="2/13/2024"/>
            <filter val="2/13/2025"/>
            <filter val="2/13/2026"/>
            <filter val="2/14/2024"/>
            <filter val="2/14/2025"/>
            <filter val="2/14/2026"/>
            <filter val="2/15/2024"/>
            <filter val="2/15/2025"/>
            <filter val="2/15/2026"/>
            <filter val="2/16/2024"/>
            <filter val="2/16/2025"/>
            <filter val="2/16/2026"/>
            <filter val="2/17/2024"/>
            <filter val="2/17/2025"/>
            <filter val="2/17/2026"/>
            <filter val="2/18/2024"/>
            <filter val="2/18/2025"/>
            <filter val="2/18/2026"/>
            <filter val="2/19/2024"/>
            <filter val="2/19/2025"/>
            <filter val="2/19/2026"/>
            <filter val="2/2/2024"/>
            <filter val="2/2/2025"/>
            <filter val="2/2/2026"/>
            <filter val="2/20/2024"/>
            <filter val="2/20/2025"/>
            <filter val="2/20/2026"/>
            <filter val="2/21/2025"/>
            <filter val="2/21/2026"/>
            <filter val="2/22/2024"/>
            <filter val="2/22/2025"/>
            <filter val="2/22/2026"/>
            <filter val="2/23/2024"/>
            <filter val="2/23/2025"/>
            <filter val="2/23/2026"/>
            <filter val="2/24/2024"/>
            <filter val="2/24/2025"/>
            <filter val="2/25/2024"/>
            <filter val="2/25/2025"/>
            <filter val="2/25/2026"/>
            <filter val="2/26/2024"/>
            <filter val="2/26/2025"/>
            <filter val="2/26/2026"/>
            <filter val="2/27/2024"/>
            <filter val="2/27/2025"/>
            <filter val="2/27/2026"/>
            <filter val="2/28/2024"/>
            <filter val="2/28/2025"/>
            <filter val="2/28/2026"/>
            <filter val="2/29/2024"/>
            <filter val="2/3/2024"/>
            <filter val="2/3/2025"/>
            <filter val="2/3/2026"/>
            <filter val="2/4/2024"/>
            <filter val="2/4/2026"/>
            <filter val="2/5/2024"/>
            <filter val="2/5/2025"/>
            <filter val="2/5/2026"/>
            <filter val="2/6/2024"/>
            <filter val="2/6/2025"/>
            <filter val="2/6/2026"/>
            <filter val="2/7/2024"/>
            <filter val="2/7/2025"/>
            <filter val="2/7/2026"/>
            <filter val="2/8/2024"/>
            <filter val="2/8/2025"/>
            <filter val="2/8/2026"/>
            <filter val="2/9/2024"/>
            <filter val="2/9/2025"/>
            <filter val="2/9/2026"/>
            <filter val="3/1/2024"/>
            <filter val="3/1/2025"/>
            <filter val="3/1/2026"/>
            <filter val="3/10/2024"/>
            <filter val="3/10/2025"/>
            <filter val="3/10/2026"/>
            <filter val="3/11/2024"/>
            <filter val="3/11/2025"/>
            <filter val="3/11/2026"/>
            <filter val="3/12/2024"/>
            <filter val="3/12/2025"/>
            <filter val="3/12/2026"/>
            <filter val="3/13/2024"/>
            <filter val="3/13/2025"/>
            <filter val="3/13/2026"/>
            <filter val="3/14/2024"/>
            <filter val="3/14/2025"/>
            <filter val="3/14/2026"/>
            <filter val="3/15/2024"/>
            <filter val="3/15/2025"/>
            <filter val="3/15/2026"/>
            <filter val="3/16/2024"/>
            <filter val="3/16/2025"/>
            <filter val="3/16/2026"/>
            <filter val="3/17/2024"/>
            <filter val="3/17/2025"/>
            <filter val="3/17/2026"/>
            <filter val="3/18/2024"/>
            <filter val="3/18/2025"/>
            <filter val="3/18/2026"/>
            <filter val="3/19/2024"/>
            <filter val="3/19/2025"/>
            <filter val="3/19/2026"/>
            <filter val="3/2/2024"/>
            <filter val="3/2/2025"/>
            <filter val="3/2/2026"/>
            <filter val="3/20/2024"/>
            <filter val="3/20/2025"/>
            <filter val="3/20/2026"/>
            <filter val="3/21/2025"/>
            <filter val="3/21/2026"/>
            <filter val="3/22/2024"/>
            <filter val="3/22/2025"/>
            <filter val="3/22/2026"/>
            <filter val="3/23/2024"/>
            <filter val="3/23/2025"/>
            <filter val="3/23/2026"/>
            <filter val="3/24/2024"/>
            <filter val="3/24/2025"/>
            <filter val="3/24/2026"/>
            <filter val="3/25/2024"/>
            <filter val="3/25/2025"/>
            <filter val="3/25/2026"/>
            <filter val="3/26/2024"/>
            <filter val="3/26/2025"/>
            <filter val="3/26/2026"/>
            <filter val="3/27/2024"/>
            <filter val="3/27/2025"/>
            <filter val="3/27/2026"/>
            <filter val="3/28/2024"/>
            <filter val="3/28/2025"/>
            <filter val="3/28/2026"/>
            <filter val="3/29/2024"/>
            <filter val="3/29/2025"/>
            <filter val="3/29/2026"/>
            <filter val="3/3/2024"/>
            <filter val="3/3/2025"/>
            <filter val="3/30/2024"/>
            <filter val="3/30/2025"/>
            <filter val="3/30/2026"/>
            <filter val="3/31/2024"/>
            <filter val="3/31/2025"/>
            <filter val="3/31/2026"/>
            <filter val="3/4/2025"/>
            <filter val="3/4/2026"/>
            <filter val="3/5/2024"/>
            <filter val="3/5/2025"/>
            <filter val="3/5/2026"/>
            <filter val="3/6/2024"/>
            <filter val="3/6/2025"/>
            <filter val="3/6/2026"/>
            <filter val="3/7/2024"/>
            <filter val="3/7/2025"/>
            <filter val="3/7/2026"/>
            <filter val="3/8/2024"/>
            <filter val="3/8/2025"/>
            <filter val="3/8/2026"/>
            <filter val="3/9/2024"/>
            <filter val="3/9/2025"/>
            <filter val="3/9/2026"/>
            <filter val="4/1/2024"/>
            <filter val="4/1/2025"/>
            <filter val="4/1/2026"/>
            <filter val="4/10/2024"/>
            <filter val="4/10/2025"/>
            <filter val="4/10/2026"/>
            <filter val="4/11/2024"/>
            <filter val="4/11/2025"/>
            <filter val="4/11/2026"/>
            <filter val="4/12/2024"/>
            <filter val="4/12/2025"/>
            <filter val="4/12/2026"/>
            <filter val="4/13/2024"/>
            <filter val="4/13/2025"/>
            <filter val="4/13/2026"/>
            <filter val="4/14/2024"/>
            <filter val="4/14/2025"/>
            <filter val="4/14/2026"/>
            <filter val="4/15/2024"/>
            <filter val="4/15/2025"/>
            <filter val="4/15/2026"/>
            <filter val="4/16/2024"/>
            <filter val="4/16/2025"/>
            <filter val="4/16/2026"/>
            <filter val="4/17/2024"/>
            <filter val="4/17/2025"/>
            <filter val="4/17/2026"/>
            <filter val="4/18/2024"/>
            <filter val="4/18/2025"/>
            <filter val="4/18/2026"/>
            <filter val="4/19/2024"/>
            <filter val="4/19/2025"/>
            <filter val="4/19/2026"/>
            <filter val="4/2/2024"/>
            <filter val="4/2/2025"/>
            <filter val="4/2/2026"/>
            <filter val="4/20/2024"/>
            <filter val="4/20/2025"/>
            <filter val="4/20/2026"/>
            <filter val="4/21/2024"/>
            <filter val="4/21/2026"/>
            <filter val="4/22/2024"/>
            <filter val="4/22/2025"/>
            <filter val="4/22/2026"/>
            <filter val="4/23/2024"/>
            <filter val="4/23/2025"/>
            <filter val="4/23/2026"/>
            <filter val="4/24/2024"/>
            <filter val="4/24/2025"/>
            <filter val="4/24/2026"/>
            <filter val="4/25/2024"/>
            <filter val="4/25/2025"/>
            <filter val="4/25/2026"/>
            <filter val="4/26/2024"/>
            <filter val="4/26/2025"/>
            <filter val="4/26/2026"/>
            <filter val="4/27/2024"/>
            <filter val="4/27/2025"/>
            <filter val="4/27/2026"/>
            <filter val="4/28/2024"/>
            <filter val="4/28/2025"/>
            <filter val="4/29/2024"/>
            <filter val="4/29/2025"/>
            <filter val="4/3/2024"/>
            <filter val="4/3/2025"/>
            <filter val="4/3/2026"/>
            <filter val="4/30/2024"/>
            <filter val="4/30/2025"/>
            <filter val="4/4/2024"/>
            <filter val="4/4/2025"/>
            <filter val="4/4/2026"/>
            <filter val="4/5/2024"/>
            <filter val="4/5/2025"/>
            <filter val="4/5/2026"/>
            <filter val="4/6/2024"/>
            <filter val="4/6/2025"/>
            <filter val="4/6/2026"/>
            <filter val="4/7/2024"/>
            <filter val="4/7/2025"/>
            <filter val="4/7/2026"/>
            <filter val="4/8/2024"/>
            <filter val="4/8/2025"/>
            <filter val="4/8/2026"/>
            <filter val="4/9/2024"/>
            <filter val="4/9/2025"/>
            <filter val="4/9/2026"/>
            <filter val="5/1/2024"/>
            <filter val="5/1/2025"/>
            <filter val="5/10/2024"/>
            <filter val="5/10/2025"/>
            <filter val="5/11/2024"/>
            <filter val="5/11/2025"/>
            <filter val="5/12/2024"/>
            <filter val="5/12/2025"/>
            <filter val="5/13/2024"/>
            <filter val="5/13/2025"/>
            <filter val="5/14/2024"/>
            <filter val="5/14/2025"/>
            <filter val="5/15/2024"/>
            <filter val="5/15/2025"/>
            <filter val="5/16/2024"/>
            <filter val="5/16/2025"/>
            <filter val="5/17/2024"/>
            <filter val="5/17/2025"/>
            <filter val="5/18/2024"/>
            <filter val="5/18/2025"/>
            <filter val="5/19/2024"/>
            <filter val="5/19/2025"/>
            <filter val="5/2/2024"/>
            <filter val="5/2/2025"/>
            <filter val="5/20/2024"/>
            <filter val="5/20/2025"/>
            <filter val="5/21/2024"/>
            <filter val="5/21/2025"/>
            <filter val="5/22/2024"/>
            <filter val="5/22/2025"/>
            <filter val="5/23/2024"/>
            <filter val="5/23/2025"/>
            <filter val="5/24/2024"/>
            <filter val="5/24/2025"/>
            <filter val="5/25/2024"/>
            <filter val="5/25/2025"/>
            <filter val="5/26/2024"/>
            <filter val="5/26/2025"/>
            <filter val="5/27/2024"/>
            <filter val="5/27/2025"/>
            <filter val="5/28/2024"/>
            <filter val="5/28/2025"/>
            <filter val="5/29/2024"/>
            <filter val="5/29/2025"/>
            <filter val="5/3/2024"/>
            <filter val="5/3/2025"/>
            <filter val="5/30/2024"/>
            <filter val="5/30/2025"/>
            <filter val="5/31/2024"/>
            <filter val="5/31/2025"/>
            <filter val="5/4/2024"/>
            <filter val="5/4/2025"/>
            <filter val="5/5/2024"/>
            <filter val="5/5/2025"/>
            <filter val="5/6/2024"/>
            <filter val="5/6/2025"/>
            <filter val="5/7/2024"/>
            <filter val="5/7/2025"/>
            <filter val="5/8/2024"/>
            <filter val="5/8/2025"/>
            <filter val="5/9/2024"/>
            <filter val="5/9/2025"/>
            <filter val="6/1/2024"/>
            <filter val="6/1/2025"/>
            <filter val="6/10/2024"/>
            <filter val="6/10/2025"/>
            <filter val="6/11/2024"/>
            <filter val="6/11/2025"/>
            <filter val="6/12/2024"/>
            <filter val="6/12/2025"/>
            <filter val="6/13/2024"/>
            <filter val="6/13/2025"/>
            <filter val="6/14/2024"/>
            <filter val="6/14/2025"/>
            <filter val="6/15/2024"/>
            <filter val="6/15/2025"/>
            <filter val="6/16/2024"/>
            <filter val="6/16/2025"/>
            <filter val="6/17/2024"/>
            <filter val="6/17/2025"/>
            <filter val="6/18/2024"/>
            <filter val="6/18/2025"/>
            <filter val="6/19/2024"/>
            <filter val="6/19/2025"/>
            <filter val="6/2/2024"/>
            <filter val="6/2/2025"/>
            <filter val="6/20/2024"/>
            <filter val="6/20/2025"/>
            <filter val="6/21/2024"/>
            <filter val="6/21/2025"/>
            <filter val="6/22/2024"/>
            <filter val="6/22/2025"/>
            <filter val="6/23/2024"/>
            <filter val="6/23/2025"/>
            <filter val="6/24/2024"/>
            <filter val="6/24/2025"/>
            <filter val="6/25/2024"/>
            <filter val="6/25/2025"/>
            <filter val="6/26/2024"/>
            <filter val="6/26/2025"/>
            <filter val="6/27/2024"/>
            <filter val="6/27/2025"/>
            <filter val="6/28/2024"/>
            <filter val="6/28/2025"/>
            <filter val="6/29/2024"/>
            <filter val="6/29/2025"/>
            <filter val="6/3/2024"/>
            <filter val="6/3/2025"/>
            <filter val="6/30/2024"/>
            <filter val="6/4/2024"/>
            <filter val="6/4/2025"/>
            <filter val="6/5/2024"/>
            <filter val="6/5/2025"/>
            <filter val="6/6/2024"/>
            <filter val="6/6/2025"/>
            <filter val="6/7/2024"/>
            <filter val="6/7/2025"/>
            <filter val="6/8/2024"/>
            <filter val="6/8/2025"/>
            <filter val="6/9/2024"/>
            <filter val="6/9/2025"/>
            <filter val="7/1/2024"/>
            <filter val="7/1/2025"/>
            <filter val="7/10/2024"/>
            <filter val="7/10/2025"/>
            <filter val="7/11/2024"/>
            <filter val="7/11/2025"/>
            <filter val="7/12/2024"/>
            <filter val="7/12/2025"/>
            <filter val="7/13/2024"/>
            <filter val="7/13/2025"/>
            <filter val="7/14/2024"/>
            <filter val="7/14/2025"/>
            <filter val="7/15/2024"/>
            <filter val="7/15/2025"/>
            <filter val="7/16/2024"/>
            <filter val="7/16/2025"/>
            <filter val="7/17/2024"/>
            <filter val="7/17/2025"/>
            <filter val="7/18/2024"/>
            <filter val="7/18/2025"/>
            <filter val="7/19/2024"/>
            <filter val="7/19/2025"/>
            <filter val="7/2/2024"/>
            <filter val="7/2/2025"/>
            <filter val="7/20/2024"/>
            <filter val="7/20/2025"/>
            <filter val="7/21/2024"/>
            <filter val="7/21/2025"/>
            <filter val="7/22/2024"/>
            <filter val="7/22/2025"/>
            <filter val="7/23/2024"/>
            <filter val="7/23/2025"/>
            <filter val="7/24/2024"/>
            <filter val="7/24/2025"/>
            <filter val="7/25/2024"/>
            <filter val="7/25/2025"/>
            <filter val="7/26/2024"/>
            <filter val="7/26/2025"/>
            <filter val="7/27/2024"/>
            <filter val="7/27/2025"/>
            <filter val="7/28/2024"/>
            <filter val="7/28/2025"/>
            <filter val="7/29/2025"/>
            <filter val="7/3/2024"/>
            <filter val="7/3/2025"/>
            <filter val="7/30/2024"/>
            <filter val="7/30/2025"/>
            <filter val="7/31/2025"/>
            <filter val="7/4/2024"/>
            <filter val="7/4/2025"/>
            <filter val="7/5/2024"/>
            <filter val="7/5/2025"/>
            <filter val="7/6/2024"/>
            <filter val="7/6/2025"/>
            <filter val="7/7/2024"/>
            <filter val="7/7/2025"/>
            <filter val="7/8/2024"/>
            <filter val="7/8/2025"/>
            <filter val="7/9/2024"/>
            <filter val="7/9/2025"/>
            <filter val="8/1/2024"/>
            <filter val="8/1/2025"/>
            <filter val="8/10/2024"/>
            <filter val="8/10/2025"/>
            <filter val="8/11/2024"/>
            <filter val="8/11/2025"/>
            <filter val="8/12/2024"/>
            <filter val="8/12/2025"/>
            <filter val="8/13/2024"/>
            <filter val="8/13/2025"/>
            <filter val="8/14/2024"/>
            <filter val="8/14/2025"/>
            <filter val="8/15/2024"/>
            <filter val="8/15/2025"/>
            <filter val="8/16/2024"/>
            <filter val="8/16/2025"/>
            <filter val="8/17/2024"/>
            <filter val="8/17/2025"/>
            <filter val="8/18/2024"/>
            <filter val="8/18/2025"/>
            <filter val="8/19/2024"/>
            <filter val="8/19/2025"/>
            <filter val="8/2/2024"/>
            <filter val="8/2/2025"/>
            <filter val="8/20/2024"/>
            <filter val="8/20/2025"/>
            <filter val="8/21/2024"/>
            <filter val="8/21/2025"/>
            <filter val="8/22/2024"/>
            <filter val="8/22/2025"/>
            <filter val="8/23/2024"/>
            <filter val="8/23/2025"/>
            <filter val="8/24/2024"/>
            <filter val="8/24/2025"/>
            <filter val="8/25/2024"/>
            <filter val="8/25/2025"/>
            <filter val="8/26/2024"/>
            <filter val="8/26/2025"/>
            <filter val="8/27/2024"/>
            <filter val="8/27/2025"/>
            <filter val="8/28/2024"/>
            <filter val="8/28/2025"/>
            <filter val="8/29/2024"/>
            <filter val="8/29/2025"/>
            <filter val="8/3/2024"/>
            <filter val="8/3/2025"/>
            <filter val="8/30/2024"/>
            <filter val="8/30/2025"/>
            <filter val="8/31/2024"/>
            <filter val="8/31/2025"/>
            <filter val="8/4/2024"/>
            <filter val="8/4/2025"/>
            <filter val="8/5/2024"/>
            <filter val="8/5/2025"/>
            <filter val="8/6/2024"/>
            <filter val="8/6/2025"/>
            <filter val="8/7/2025"/>
            <filter val="8/8/2024"/>
            <filter val="8/8/2025"/>
            <filter val="8/9/2024"/>
            <filter val="8/9/2025"/>
            <filter val="9/1/2023"/>
            <filter val="9/1/2024"/>
            <filter val="9/1/2025"/>
            <filter val="9/10/2023"/>
            <filter val="9/10/2024"/>
            <filter val="9/10/2025"/>
            <filter val="9/11/2023"/>
            <filter val="9/11/2024"/>
            <filter val="9/11/2025"/>
            <filter val="9/12/2023"/>
            <filter val="9/12/2024"/>
            <filter val="9/12/2025"/>
            <filter val="9/13/2023"/>
            <filter val="9/13/2024"/>
            <filter val="9/13/2025"/>
            <filter val="9/14/2023"/>
            <filter val="9/14/2024"/>
            <filter val="9/14/2025"/>
            <filter val="9/15/2023"/>
            <filter val="9/15/2024"/>
            <filter val="9/15/2025"/>
            <filter val="9/16/2023"/>
            <filter val="9/16/2024"/>
            <filter val="9/16/2025"/>
            <filter val="9/17/2023"/>
            <filter val="9/17/2024"/>
            <filter val="9/17/2025"/>
            <filter val="9/18/2023"/>
            <filter val="9/18/2025"/>
            <filter val="9/19/2023"/>
            <filter val="9/19/2025"/>
            <filter val="9/2/2023"/>
            <filter val="9/2/2024"/>
            <filter val="9/2/2025"/>
            <filter val="9/20/2023"/>
            <filter val="9/20/2024"/>
            <filter val="9/20/2025"/>
            <filter val="9/21/2023"/>
            <filter val="9/21/2024"/>
            <filter val="9/22/2023"/>
            <filter val="9/22/2024"/>
            <filter val="9/22/2025"/>
            <filter val="9/23/2023"/>
            <filter val="9/23/2024"/>
            <filter val="9/23/2025"/>
            <filter val="9/24/2023"/>
            <filter val="9/24/2024"/>
            <filter val="9/24/2025"/>
            <filter val="9/25/2023"/>
            <filter val="9/25/2024"/>
            <filter val="9/25/2025"/>
            <filter val="9/26/2023"/>
            <filter val="9/26/2024"/>
            <filter val="9/26/2025"/>
            <filter val="9/27/2023"/>
            <filter val="9/27/2024"/>
            <filter val="9/27/2025"/>
            <filter val="9/28/2023"/>
            <filter val="9/28/2024"/>
            <filter val="9/28/2025"/>
            <filter val="9/29/2023"/>
            <filter val="9/29/2024"/>
            <filter val="9/29/2025"/>
            <filter val="9/3/2023"/>
            <filter val="9/3/2024"/>
            <filter val="9/3/2025"/>
            <filter val="9/30/2023"/>
            <filter val="9/30/2024"/>
            <filter val="9/30/2025"/>
            <filter val="9/4/2023"/>
            <filter val="9/4/2024"/>
            <filter val="9/4/2025"/>
            <filter val="9/5/2023"/>
            <filter val="9/5/2024"/>
            <filter val="9/5/2025"/>
            <filter val="9/6/2023"/>
            <filter val="9/6/2024"/>
            <filter val="9/6/2025"/>
            <filter val="9/7/2023"/>
            <filter val="9/7/2024"/>
            <filter val="9/7/2025"/>
            <filter val="9/8/2023"/>
            <filter val="9/8/2024"/>
            <filter val="9/8/2025"/>
            <filter val="9/9/2023"/>
            <filter val="9/9/2024"/>
            <filter val="9/9/2025"/>
          </filters>
        </filterColumn>
      </autoFilter>
    </customSheetView>
    <customSheetView guid="{99F80226-1181-4DF9-AE22-F4D7841F1803}" filter="1" showAutoFilter="1">
      <pageMargins left="0.7" right="0.7" top="0.75" bottom="0.75" header="0.3" footer="0.3"/>
      <autoFilter ref="A1:O4234" xr:uid="{A5A72D5C-5530-BE4E-9D27-C2B93C28FD47}">
        <filterColumn colId="1">
          <filters>
            <filter val="1/1/2024"/>
            <filter val="1/1/2025"/>
            <filter val="1/1/2026"/>
            <filter val="1/10/2024"/>
            <filter val="1/10/2025"/>
            <filter val="1/10/2026"/>
            <filter val="1/11/2024"/>
            <filter val="1/11/2025"/>
            <filter val="1/11/2026"/>
            <filter val="1/12/2024"/>
            <filter val="1/12/2025"/>
            <filter val="1/12/2026"/>
            <filter val="1/13/2024"/>
            <filter val="1/13/2025"/>
            <filter val="1/14/2024"/>
            <filter val="1/14/2025"/>
            <filter val="1/14/2026"/>
            <filter val="1/15/2024"/>
            <filter val="1/15/2026"/>
            <filter val="1/16/2024"/>
            <filter val="1/16/2025"/>
            <filter val="1/16/2026"/>
            <filter val="1/17/2024"/>
            <filter val="1/17/2025"/>
            <filter val="1/17/2026"/>
            <filter val="1/18/2024"/>
            <filter val="1/18/2025"/>
            <filter val="1/18/2026"/>
            <filter val="1/19/2024"/>
            <filter val="1/19/2025"/>
            <filter val="1/19/2026"/>
            <filter val="1/2/2024"/>
            <filter val="1/2/2025"/>
            <filter val="1/2/2026"/>
            <filter val="1/20/2024"/>
            <filter val="1/20/2025"/>
            <filter val="1/20/2026"/>
            <filter val="1/21/2024"/>
            <filter val="1/21/2025"/>
            <filter val="1/21/2026"/>
            <filter val="1/22/2024"/>
            <filter val="1/22/2025"/>
            <filter val="1/22/2026"/>
            <filter val="1/23/2024"/>
            <filter val="1/23/2026"/>
            <filter val="1/24/2024"/>
            <filter val="1/24/2025"/>
            <filter val="1/24/2026"/>
            <filter val="1/25/2024"/>
            <filter val="1/25/2025"/>
            <filter val="1/25/2026"/>
            <filter val="1/26/2024"/>
            <filter val="1/26/2025"/>
            <filter val="1/26/2026"/>
            <filter val="1/27/2024"/>
            <filter val="1/27/2025"/>
            <filter val="1/27/2026"/>
            <filter val="1/28/2024"/>
            <filter val="1/28/2025"/>
            <filter val="1/28/2026"/>
            <filter val="1/29/2024"/>
            <filter val="1/29/2025"/>
            <filter val="1/29/2026"/>
            <filter val="1/3/2024"/>
            <filter val="1/3/2025"/>
            <filter val="1/3/2026"/>
            <filter val="1/30/2024"/>
            <filter val="1/30/2025"/>
            <filter val="1/30/2026"/>
            <filter val="1/31/2024"/>
            <filter val="1/31/2025"/>
            <filter val="1/31/2026"/>
            <filter val="1/4/2024"/>
            <filter val="1/4/2025"/>
            <filter val="1/4/2026"/>
            <filter val="1/5/2024"/>
            <filter val="1/5/2025"/>
            <filter val="1/5/2026"/>
            <filter val="1/6/2024"/>
            <filter val="1/6/2025"/>
            <filter val="1/6/2026"/>
            <filter val="1/7/2024"/>
            <filter val="1/7/2025"/>
            <filter val="1/7/2026"/>
            <filter val="1/8/2024"/>
            <filter val="1/8/2025"/>
            <filter val="1/8/2026"/>
            <filter val="1/9/2024"/>
            <filter val="1/9/2025"/>
            <filter val="1/9/2026"/>
            <filter val="10/1/2023"/>
            <filter val="10/1/2024"/>
            <filter val="10/1/2025"/>
            <filter val="10/10/2023"/>
            <filter val="10/10/2024"/>
            <filter val="10/10/2025"/>
            <filter val="10/11/2023"/>
            <filter val="10/11/2024"/>
            <filter val="10/11/2025"/>
            <filter val="10/12/2023"/>
            <filter val="10/12/2024"/>
            <filter val="10/12/2025"/>
            <filter val="10/13/2023"/>
            <filter val="10/13/2024"/>
            <filter val="10/13/2025"/>
            <filter val="10/14/2023"/>
            <filter val="10/14/2024"/>
            <filter val="10/14/2025"/>
            <filter val="10/15/2023"/>
            <filter val="10/15/2024"/>
            <filter val="10/15/2025"/>
            <filter val="10/16/2023"/>
            <filter val="10/16/2024"/>
            <filter val="10/16/2025"/>
            <filter val="10/17/2023"/>
            <filter val="10/17/2024"/>
            <filter val="10/17/2025"/>
            <filter val="10/18/2023"/>
            <filter val="10/18/2024"/>
            <filter val="10/18/2025"/>
            <filter val="10/19/2023"/>
            <filter val="10/19/2024"/>
            <filter val="10/19/2025"/>
            <filter val="10/2/2023"/>
            <filter val="10/2/2024"/>
            <filter val="10/2/2025"/>
            <filter val="10/20/2023"/>
            <filter val="10/20/2024"/>
            <filter val="10/20/2025"/>
            <filter val="10/21/2023"/>
            <filter val="10/21/2025"/>
            <filter val="10/22/2023"/>
            <filter val="10/22/2024"/>
            <filter val="10/22/2025"/>
            <filter val="10/23/2023"/>
            <filter val="10/23/2024"/>
            <filter val="10/23/2025"/>
            <filter val="10/24/2023"/>
            <filter val="10/24/2024"/>
            <filter val="10/24/2025"/>
            <filter val="10/25/2023"/>
            <filter val="10/25/2024"/>
            <filter val="10/25/2025"/>
            <filter val="10/26/2023"/>
            <filter val="10/26/2024"/>
            <filter val="10/26/2025"/>
            <filter val="10/27/2023"/>
            <filter val="10/27/2024"/>
            <filter val="10/27/2025"/>
            <filter val="10/28/2023"/>
            <filter val="10/28/2024"/>
            <filter val="10/28/2025"/>
            <filter val="10/29/2023"/>
            <filter val="10/29/2024"/>
            <filter val="10/29/2025"/>
            <filter val="10/3/2023"/>
            <filter val="10/3/2024"/>
            <filter val="10/3/2025"/>
            <filter val="10/30/2023"/>
            <filter val="10/30/2024"/>
            <filter val="10/30/2025"/>
            <filter val="10/31/2023"/>
            <filter val="10/31/2024"/>
            <filter val="10/31/2025"/>
            <filter val="10/4/2023"/>
            <filter val="10/4/2025"/>
            <filter val="10/5/2023"/>
            <filter val="10/5/2024"/>
            <filter val="10/5/2025"/>
            <filter val="10/6/2023"/>
            <filter val="10/6/2024"/>
            <filter val="10/6/2025"/>
            <filter val="10/7/2023"/>
            <filter val="10/7/2024"/>
            <filter val="10/7/2025"/>
            <filter val="10/8/2023"/>
            <filter val="10/8/2024"/>
            <filter val="10/8/2025"/>
            <filter val="10/9/2023"/>
            <filter val="10/9/2024"/>
            <filter val="10/9/2025"/>
            <filter val="11/1/2023"/>
            <filter val="11/1/2024"/>
            <filter val="11/1/2025"/>
            <filter val="11/10/2023"/>
            <filter val="11/10/2024"/>
            <filter val="11/10/2025"/>
            <filter val="11/11/2023"/>
            <filter val="11/11/2024"/>
            <filter val="11/11/2025"/>
            <filter val="11/12/2023"/>
            <filter val="11/12/2024"/>
            <filter val="11/12/2025"/>
            <filter val="11/13/2023"/>
            <filter val="11/13/2024"/>
            <filter val="11/13/2025"/>
            <filter val="11/14/2023"/>
            <filter val="11/14/2024"/>
            <filter val="11/14/2025"/>
            <filter val="11/15/2023"/>
            <filter val="11/15/2024"/>
            <filter val="11/15/2025"/>
            <filter val="11/16/2023"/>
            <filter val="11/16/2024"/>
            <filter val="11/16/2025"/>
            <filter val="11/17/2023"/>
            <filter val="11/17/2024"/>
            <filter val="11/17/2025"/>
            <filter val="11/18/2023"/>
            <filter val="11/18/2024"/>
            <filter val="11/18/2025"/>
            <filter val="11/19/2023"/>
            <filter val="11/19/2024"/>
            <filter val="11/19/2025"/>
            <filter val="11/2/2023"/>
            <filter val="11/2/2024"/>
            <filter val="11/2/2025"/>
            <filter val="11/20/2023"/>
            <filter val="11/20/2024"/>
            <filter val="11/20/2025"/>
            <filter val="11/21/2023"/>
            <filter val="11/21/2024"/>
            <filter val="11/21/2025"/>
            <filter val="11/22/2023"/>
            <filter val="11/22/2024"/>
            <filter val="11/22/2025"/>
            <filter val="11/23/2023"/>
            <filter val="11/23/2024"/>
            <filter val="11/23/2025"/>
            <filter val="11/24/2023"/>
            <filter val="11/24/2024"/>
            <filter val="11/24/2025"/>
            <filter val="11/25/2023"/>
            <filter val="11/25/2024"/>
            <filter val="11/25/2025"/>
            <filter val="11/26/2023"/>
            <filter val="11/26/2024"/>
            <filter val="11/26/2025"/>
            <filter val="11/27/2023"/>
            <filter val="11/27/2024"/>
            <filter val="11/27/2025"/>
            <filter val="11/28/2023"/>
            <filter val="11/28/2024"/>
            <filter val="11/28/2025"/>
            <filter val="11/29/2023"/>
            <filter val="11/29/2024"/>
            <filter val="11/29/2025"/>
            <filter val="11/3/2023"/>
            <filter val="11/3/2024"/>
            <filter val="11/3/2025"/>
            <filter val="11/30/2023"/>
            <filter val="11/30/2024"/>
            <filter val="11/30/2025"/>
            <filter val="11/4/2023"/>
            <filter val="11/4/2024"/>
            <filter val="11/4/2025"/>
            <filter val="11/5/2023"/>
            <filter val="11/5/2024"/>
            <filter val="11/5/2025"/>
            <filter val="11/6/2023"/>
            <filter val="11/6/2024"/>
            <filter val="11/6/2025"/>
            <filter val="11/7/2023"/>
            <filter val="11/7/2024"/>
            <filter val="11/7/2025"/>
            <filter val="11/8/2023"/>
            <filter val="11/8/2024"/>
            <filter val="11/8/2025"/>
            <filter val="11/9/2023"/>
            <filter val="11/9/2024"/>
            <filter val="11/9/2025"/>
            <filter val="12/1/2023"/>
            <filter val="12/1/2024"/>
            <filter val="12/1/2025"/>
            <filter val="12/10/2023"/>
            <filter val="12/10/2024"/>
            <filter val="12/10/2025"/>
            <filter val="12/11/2023"/>
            <filter val="12/11/2024"/>
            <filter val="12/11/2025"/>
            <filter val="12/12/2023"/>
            <filter val="12/12/2024"/>
            <filter val="12/12/2025"/>
            <filter val="12/13/2023"/>
            <filter val="12/13/2024"/>
            <filter val="12/13/2025"/>
            <filter val="12/14/2023"/>
            <filter val="12/14/2024"/>
            <filter val="12/14/2025"/>
            <filter val="12/15/2023"/>
            <filter val="12/15/2024"/>
            <filter val="12/15/2025"/>
            <filter val="12/16/2023"/>
            <filter val="12/16/2024"/>
            <filter val="12/16/2025"/>
            <filter val="12/17/2023"/>
            <filter val="12/17/2024"/>
            <filter val="12/17/2025"/>
            <filter val="12/18/2023"/>
            <filter val="12/18/2024"/>
            <filter val="12/18/2025"/>
            <filter val="12/19/2023"/>
            <filter val="12/19/2024"/>
            <filter val="12/19/2025"/>
            <filter val="12/2/2023"/>
            <filter val="12/2/2024"/>
            <filter val="12/2/2025"/>
            <filter val="12/20/2023"/>
            <filter val="12/20/2024"/>
            <filter val="12/20/2025"/>
            <filter val="12/21/2023"/>
            <filter val="12/21/2024"/>
            <filter val="12/21/2025"/>
            <filter val="12/22/2023"/>
            <filter val="12/22/2024"/>
            <filter val="12/22/2025"/>
            <filter val="12/23/2023"/>
            <filter val="12/23/2025"/>
            <filter val="12/24/2023"/>
            <filter val="12/24/2024"/>
            <filter val="12/24/2025"/>
            <filter val="12/25/2023"/>
            <filter val="12/25/2024"/>
            <filter val="12/25/2025"/>
            <filter val="12/26/2023"/>
            <filter val="12/26/2024"/>
            <filter val="12/26/2025"/>
            <filter val="12/27/2023"/>
            <filter val="12/27/2024"/>
            <filter val="12/27/2025"/>
            <filter val="12/28/2023"/>
            <filter val="12/28/2024"/>
            <filter val="12/28/2025"/>
            <filter val="12/29/2023"/>
            <filter val="12/29/2024"/>
            <filter val="12/29/2025"/>
            <filter val="12/3/2023"/>
            <filter val="12/3/2024"/>
            <filter val="12/3/2025"/>
            <filter val="12/30/2023"/>
            <filter val="12/30/2024"/>
            <filter val="12/30/2025"/>
            <filter val="12/31/2023"/>
            <filter val="12/31/2024"/>
            <filter val="12/31/2025"/>
            <filter val="12/4/2023"/>
            <filter val="12/4/2024"/>
            <filter val="12/4/2025"/>
            <filter val="12/5/2023"/>
            <filter val="12/5/2024"/>
            <filter val="12/5/2025"/>
            <filter val="12/6/2023"/>
            <filter val="12/6/2024"/>
            <filter val="12/6/2025"/>
            <filter val="12/7/2023"/>
            <filter val="12/7/2024"/>
            <filter val="12/7/2025"/>
            <filter val="12/8/2023"/>
            <filter val="12/8/2024"/>
            <filter val="12/8/2025"/>
            <filter val="12/9/2023"/>
            <filter val="12/9/2024"/>
            <filter val="12/9/2025"/>
            <filter val="2/1/2024"/>
            <filter val="2/1/2025"/>
            <filter val="2/1/2026"/>
            <filter val="2/10/2024"/>
            <filter val="2/10/2025"/>
            <filter val="2/10/2026"/>
            <filter val="2/11/2024"/>
            <filter val="2/11/2025"/>
            <filter val="2/11/2026"/>
            <filter val="2/12/2024"/>
            <filter val="2/12/2025"/>
            <filter val="2/12/2026"/>
            <filter val="2/13/2024"/>
            <filter val="2/13/2025"/>
            <filter val="2/13/2026"/>
            <filter val="2/14/2024"/>
            <filter val="2/14/2025"/>
            <filter val="2/14/2026"/>
            <filter val="2/15/2024"/>
            <filter val="2/15/2025"/>
            <filter val="2/15/2026"/>
            <filter val="2/16/2024"/>
            <filter val="2/16/2025"/>
            <filter val="2/16/2026"/>
            <filter val="2/17/2024"/>
            <filter val="2/17/2025"/>
            <filter val="2/17/2026"/>
            <filter val="2/18/2024"/>
            <filter val="2/18/2025"/>
            <filter val="2/18/2026"/>
            <filter val="2/19/2024"/>
            <filter val="2/19/2025"/>
            <filter val="2/19/2026"/>
            <filter val="2/2/2024"/>
            <filter val="2/2/2025"/>
            <filter val="2/2/2026"/>
            <filter val="2/20/2024"/>
            <filter val="2/20/2025"/>
            <filter val="2/20/2026"/>
            <filter val="2/21/2025"/>
            <filter val="2/21/2026"/>
            <filter val="2/22/2024"/>
            <filter val="2/22/2025"/>
            <filter val="2/22/2026"/>
            <filter val="2/23/2024"/>
            <filter val="2/23/2025"/>
            <filter val="2/23/2026"/>
            <filter val="2/24/2024"/>
            <filter val="2/24/2025"/>
            <filter val="2/25/2024"/>
            <filter val="2/25/2025"/>
            <filter val="2/25/2026"/>
            <filter val="2/26/2024"/>
            <filter val="2/26/2025"/>
            <filter val="2/26/2026"/>
            <filter val="2/27/2024"/>
            <filter val="2/27/2025"/>
            <filter val="2/27/2026"/>
            <filter val="2/28/2024"/>
            <filter val="2/28/2025"/>
            <filter val="2/28/2026"/>
            <filter val="2/29/2024"/>
            <filter val="2/3/2024"/>
            <filter val="2/3/2025"/>
            <filter val="2/3/2026"/>
            <filter val="2/4/2024"/>
            <filter val="2/4/2026"/>
            <filter val="2/5/2024"/>
            <filter val="2/5/2025"/>
            <filter val="2/5/2026"/>
            <filter val="2/6/2024"/>
            <filter val="2/6/2025"/>
            <filter val="2/6/2026"/>
            <filter val="2/7/2024"/>
            <filter val="2/7/2025"/>
            <filter val="2/7/2026"/>
            <filter val="2/8/2024"/>
            <filter val="2/8/2025"/>
            <filter val="2/8/2026"/>
            <filter val="2/9/2024"/>
            <filter val="2/9/2025"/>
            <filter val="2/9/2026"/>
            <filter val="3/1/2024"/>
            <filter val="3/1/2025"/>
            <filter val="3/1/2026"/>
            <filter val="3/10/2024"/>
            <filter val="3/10/2025"/>
            <filter val="3/10/2026"/>
            <filter val="3/11/2024"/>
            <filter val="3/11/2025"/>
            <filter val="3/11/2026"/>
            <filter val="3/12/2024"/>
            <filter val="3/12/2025"/>
            <filter val="3/12/2026"/>
            <filter val="3/13/2024"/>
            <filter val="3/13/2025"/>
            <filter val="3/13/2026"/>
            <filter val="3/14/2024"/>
            <filter val="3/14/2025"/>
            <filter val="3/14/2026"/>
            <filter val="3/15/2024"/>
            <filter val="3/15/2025"/>
            <filter val="3/15/2026"/>
            <filter val="3/16/2024"/>
            <filter val="3/16/2025"/>
            <filter val="3/16/2026"/>
            <filter val="3/17/2024"/>
            <filter val="3/17/2025"/>
            <filter val="3/17/2026"/>
            <filter val="3/18/2024"/>
            <filter val="3/18/2025"/>
            <filter val="3/18/2026"/>
            <filter val="3/19/2024"/>
            <filter val="3/19/2025"/>
            <filter val="3/19/2026"/>
            <filter val="3/2/2024"/>
            <filter val="3/2/2025"/>
            <filter val="3/2/2026"/>
            <filter val="3/20/2024"/>
            <filter val="3/20/2025"/>
            <filter val="3/20/2026"/>
            <filter val="3/21/2025"/>
            <filter val="3/21/2026"/>
            <filter val="3/22/2024"/>
            <filter val="3/22/2025"/>
            <filter val="3/22/2026"/>
            <filter val="3/23/2024"/>
            <filter val="3/23/2025"/>
            <filter val="3/23/2026"/>
            <filter val="3/24/2024"/>
            <filter val="3/24/2025"/>
            <filter val="3/24/2026"/>
            <filter val="3/25/2024"/>
            <filter val="3/25/2025"/>
            <filter val="3/25/2026"/>
            <filter val="3/26/2024"/>
            <filter val="3/26/2025"/>
            <filter val="3/26/2026"/>
            <filter val="3/27/2024"/>
            <filter val="3/27/2025"/>
            <filter val="3/27/2026"/>
            <filter val="3/28/2024"/>
            <filter val="3/28/2025"/>
            <filter val="3/28/2026"/>
            <filter val="3/29/2024"/>
            <filter val="3/29/2025"/>
            <filter val="3/29/2026"/>
            <filter val="3/3/2024"/>
            <filter val="3/3/2025"/>
            <filter val="3/30/2024"/>
            <filter val="3/30/2025"/>
            <filter val="3/30/2026"/>
            <filter val="3/31/2024"/>
            <filter val="3/31/2025"/>
            <filter val="3/31/2026"/>
            <filter val="3/4/2025"/>
            <filter val="3/4/2026"/>
            <filter val="3/5/2024"/>
            <filter val="3/5/2025"/>
            <filter val="3/5/2026"/>
            <filter val="3/6/2024"/>
            <filter val="3/6/2025"/>
            <filter val="3/6/2026"/>
            <filter val="3/7/2024"/>
            <filter val="3/7/2025"/>
            <filter val="3/7/2026"/>
            <filter val="3/8/2024"/>
            <filter val="3/8/2025"/>
            <filter val="3/8/2026"/>
            <filter val="3/9/2024"/>
            <filter val="3/9/2025"/>
            <filter val="3/9/2026"/>
            <filter val="4/1/2024"/>
            <filter val="4/1/2025"/>
            <filter val="4/1/2026"/>
            <filter val="4/10/2024"/>
            <filter val="4/10/2025"/>
            <filter val="4/10/2026"/>
            <filter val="4/11/2024"/>
            <filter val="4/11/2025"/>
            <filter val="4/11/2026"/>
            <filter val="4/12/2024"/>
            <filter val="4/12/2025"/>
            <filter val="4/12/2026"/>
            <filter val="4/13/2024"/>
            <filter val="4/13/2025"/>
            <filter val="4/13/2026"/>
            <filter val="4/14/2024"/>
            <filter val="4/14/2025"/>
            <filter val="4/14/2026"/>
            <filter val="4/15/2024"/>
            <filter val="4/15/2025"/>
            <filter val="4/15/2026"/>
            <filter val="4/16/2024"/>
            <filter val="4/16/2025"/>
            <filter val="4/16/2026"/>
            <filter val="4/17/2024"/>
            <filter val="4/17/2025"/>
            <filter val="4/17/2026"/>
            <filter val="4/18/2024"/>
            <filter val="4/18/2025"/>
            <filter val="4/18/2026"/>
            <filter val="4/19/2024"/>
            <filter val="4/19/2025"/>
            <filter val="4/19/2026"/>
            <filter val="4/2/2024"/>
            <filter val="4/2/2025"/>
            <filter val="4/2/2026"/>
            <filter val="4/20/2024"/>
            <filter val="4/20/2025"/>
            <filter val="4/20/2026"/>
            <filter val="4/21/2024"/>
            <filter val="4/21/2026"/>
            <filter val="4/22/2024"/>
            <filter val="4/22/2025"/>
            <filter val="4/22/2026"/>
            <filter val="4/23/2024"/>
            <filter val="4/23/2025"/>
            <filter val="4/23/2026"/>
            <filter val="4/24/2024"/>
            <filter val="4/24/2025"/>
            <filter val="4/24/2026"/>
            <filter val="4/25/2024"/>
            <filter val="4/25/2025"/>
            <filter val="4/25/2026"/>
            <filter val="4/26/2024"/>
            <filter val="4/26/2025"/>
            <filter val="4/26/2026"/>
            <filter val="4/27/2024"/>
            <filter val="4/27/2025"/>
            <filter val="4/27/2026"/>
            <filter val="4/28/2024"/>
            <filter val="4/28/2025"/>
            <filter val="4/29/2024"/>
            <filter val="4/29/2025"/>
            <filter val="4/3/2024"/>
            <filter val="4/3/2025"/>
            <filter val="4/3/2026"/>
            <filter val="4/30/2024"/>
            <filter val="4/30/2025"/>
            <filter val="4/4/2024"/>
            <filter val="4/4/2025"/>
            <filter val="4/4/2026"/>
            <filter val="4/5/2024"/>
            <filter val="4/5/2025"/>
            <filter val="4/5/2026"/>
            <filter val="4/6/2024"/>
            <filter val="4/6/2025"/>
            <filter val="4/6/2026"/>
            <filter val="4/7/2024"/>
            <filter val="4/7/2025"/>
            <filter val="4/7/2026"/>
            <filter val="4/8/2024"/>
            <filter val="4/8/2025"/>
            <filter val="4/8/2026"/>
            <filter val="4/9/2024"/>
            <filter val="4/9/2025"/>
            <filter val="4/9/2026"/>
            <filter val="5/1/2024"/>
            <filter val="5/1/2025"/>
            <filter val="5/10/2024"/>
            <filter val="5/10/2025"/>
            <filter val="5/11/2024"/>
            <filter val="5/11/2025"/>
            <filter val="5/12/2024"/>
            <filter val="5/12/2025"/>
            <filter val="5/13/2024"/>
            <filter val="5/13/2025"/>
            <filter val="5/14/2024"/>
            <filter val="5/14/2025"/>
            <filter val="5/15/2024"/>
            <filter val="5/15/2025"/>
            <filter val="5/16/2024"/>
            <filter val="5/16/2025"/>
            <filter val="5/17/2024"/>
            <filter val="5/17/2025"/>
            <filter val="5/18/2024"/>
            <filter val="5/18/2025"/>
            <filter val="5/19/2024"/>
            <filter val="5/19/2025"/>
            <filter val="5/2/2024"/>
            <filter val="5/2/2025"/>
            <filter val="5/20/2024"/>
            <filter val="5/20/2025"/>
            <filter val="5/21/2024"/>
            <filter val="5/21/2025"/>
            <filter val="5/22/2024"/>
            <filter val="5/22/2025"/>
            <filter val="5/23/2024"/>
            <filter val="5/23/2025"/>
            <filter val="5/24/2024"/>
            <filter val="5/24/2025"/>
            <filter val="5/25/2024"/>
            <filter val="5/25/2025"/>
            <filter val="5/26/2024"/>
            <filter val="5/26/2025"/>
            <filter val="5/27/2024"/>
            <filter val="5/27/2025"/>
            <filter val="5/28/2024"/>
            <filter val="5/28/2025"/>
            <filter val="5/29/2024"/>
            <filter val="5/29/2025"/>
            <filter val="5/3/2024"/>
            <filter val="5/3/2025"/>
            <filter val="5/30/2024"/>
            <filter val="5/30/2025"/>
            <filter val="5/31/2024"/>
            <filter val="5/31/2025"/>
            <filter val="5/4/2024"/>
            <filter val="5/4/2025"/>
            <filter val="5/5/2024"/>
            <filter val="5/5/2025"/>
            <filter val="5/6/2024"/>
            <filter val="5/6/2025"/>
            <filter val="5/7/2024"/>
            <filter val="5/7/2025"/>
            <filter val="5/8/2024"/>
            <filter val="5/8/2025"/>
            <filter val="5/9/2024"/>
            <filter val="5/9/2025"/>
            <filter val="6/1/2024"/>
            <filter val="6/1/2025"/>
            <filter val="6/10/2024"/>
            <filter val="6/10/2025"/>
            <filter val="6/11/2024"/>
            <filter val="6/11/2025"/>
            <filter val="6/12/2024"/>
            <filter val="6/12/2025"/>
            <filter val="6/13/2024"/>
            <filter val="6/13/2025"/>
            <filter val="6/14/2024"/>
            <filter val="6/14/2025"/>
            <filter val="6/15/2024"/>
            <filter val="6/15/2025"/>
            <filter val="6/16/2024"/>
            <filter val="6/16/2025"/>
            <filter val="6/17/2024"/>
            <filter val="6/17/2025"/>
            <filter val="6/18/2024"/>
            <filter val="6/18/2025"/>
            <filter val="6/19/2024"/>
            <filter val="6/19/2025"/>
            <filter val="6/2/2024"/>
            <filter val="6/2/2025"/>
            <filter val="6/20/2024"/>
            <filter val="6/20/2025"/>
            <filter val="6/21/2024"/>
            <filter val="6/21/2025"/>
            <filter val="6/22/2024"/>
            <filter val="6/22/2025"/>
            <filter val="6/23/2024"/>
            <filter val="6/23/2025"/>
            <filter val="6/24/2024"/>
            <filter val="6/24/2025"/>
            <filter val="6/25/2024"/>
            <filter val="6/25/2025"/>
            <filter val="6/26/2024"/>
            <filter val="6/26/2025"/>
            <filter val="6/27/2024"/>
            <filter val="6/27/2025"/>
            <filter val="6/28/2024"/>
            <filter val="6/28/2025"/>
            <filter val="6/29/2024"/>
            <filter val="6/29/2025"/>
            <filter val="6/3/2024"/>
            <filter val="6/3/2025"/>
            <filter val="6/30/2024"/>
            <filter val="6/4/2024"/>
            <filter val="6/4/2025"/>
            <filter val="6/5/2024"/>
            <filter val="6/5/2025"/>
            <filter val="6/6/2024"/>
            <filter val="6/6/2025"/>
            <filter val="6/7/2024"/>
            <filter val="6/7/2025"/>
            <filter val="6/8/2024"/>
            <filter val="6/8/2025"/>
            <filter val="6/9/2024"/>
            <filter val="6/9/2025"/>
            <filter val="7/1/2024"/>
            <filter val="7/1/2025"/>
            <filter val="7/10/2024"/>
            <filter val="7/10/2025"/>
            <filter val="7/11/2024"/>
            <filter val="7/11/2025"/>
            <filter val="7/12/2024"/>
            <filter val="7/12/2025"/>
            <filter val="7/13/2024"/>
            <filter val="7/13/2025"/>
            <filter val="7/14/2024"/>
            <filter val="7/14/2025"/>
            <filter val="7/15/2024"/>
            <filter val="7/15/2025"/>
            <filter val="7/16/2024"/>
            <filter val="7/16/2025"/>
            <filter val="7/17/2024"/>
            <filter val="7/17/2025"/>
            <filter val="7/18/2024"/>
            <filter val="7/18/2025"/>
            <filter val="7/19/2024"/>
            <filter val="7/19/2025"/>
            <filter val="7/2/2024"/>
            <filter val="7/2/2025"/>
            <filter val="7/20/2024"/>
            <filter val="7/20/2025"/>
            <filter val="7/21/2024"/>
            <filter val="7/21/2025"/>
            <filter val="7/22/2024"/>
            <filter val="7/22/2025"/>
            <filter val="7/23/2024"/>
            <filter val="7/23/2025"/>
            <filter val="7/24/2024"/>
            <filter val="7/24/2025"/>
            <filter val="7/25/2024"/>
            <filter val="7/25/2025"/>
            <filter val="7/26/2024"/>
            <filter val="7/26/2025"/>
            <filter val="7/27/2024"/>
            <filter val="7/27/2025"/>
            <filter val="7/28/2024"/>
            <filter val="7/28/2025"/>
            <filter val="7/29/2025"/>
            <filter val="7/3/2024"/>
            <filter val="7/3/2025"/>
            <filter val="7/30/2024"/>
            <filter val="7/30/2025"/>
            <filter val="7/31/2025"/>
            <filter val="7/4/2024"/>
            <filter val="7/4/2025"/>
            <filter val="7/5/2024"/>
            <filter val="7/5/2025"/>
            <filter val="7/6/2024"/>
            <filter val="7/6/2025"/>
            <filter val="7/7/2024"/>
            <filter val="7/7/2025"/>
            <filter val="7/8/2024"/>
            <filter val="7/8/2025"/>
            <filter val="7/9/2024"/>
            <filter val="7/9/2025"/>
            <filter val="8/1/2023"/>
            <filter val="8/1/2024"/>
            <filter val="8/1/2025"/>
            <filter val="8/10/2023"/>
            <filter val="8/10/2024"/>
            <filter val="8/10/2025"/>
            <filter val="8/11/2023"/>
            <filter val="8/11/2024"/>
            <filter val="8/11/2025"/>
            <filter val="8/12/2023"/>
            <filter val="8/12/2024"/>
            <filter val="8/12/2025"/>
            <filter val="8/13/2023"/>
            <filter val="8/13/2024"/>
            <filter val="8/13/2025"/>
            <filter val="8/14/2023"/>
            <filter val="8/14/2024"/>
            <filter val="8/14/2025"/>
            <filter val="8/15/2023"/>
            <filter val="8/15/2024"/>
            <filter val="8/15/2025"/>
            <filter val="8/16/2023"/>
            <filter val="8/16/2024"/>
            <filter val="8/16/2025"/>
            <filter val="8/17/2023"/>
            <filter val="8/17/2024"/>
            <filter val="8/17/2025"/>
            <filter val="8/18/2023"/>
            <filter val="8/18/2024"/>
            <filter val="8/18/2025"/>
            <filter val="8/19/2023"/>
            <filter val="8/19/2024"/>
            <filter val="8/19/2025"/>
            <filter val="8/2/2023"/>
            <filter val="8/2/2024"/>
            <filter val="8/2/2025"/>
            <filter val="8/20/2023"/>
            <filter val="8/20/2024"/>
            <filter val="8/20/2025"/>
            <filter val="8/21/2023"/>
            <filter val="8/21/2024"/>
            <filter val="8/21/2025"/>
            <filter val="8/22/2023"/>
            <filter val="8/22/2024"/>
            <filter val="8/22/2025"/>
            <filter val="8/23/2023"/>
            <filter val="8/23/2024"/>
            <filter val="8/23/2025"/>
            <filter val="8/24/2023"/>
            <filter val="8/24/2024"/>
            <filter val="8/24/2025"/>
            <filter val="8/25/2023"/>
            <filter val="8/25/2024"/>
            <filter val="8/25/2025"/>
            <filter val="8/26/2023"/>
            <filter val="8/26/2024"/>
            <filter val="8/26/2025"/>
            <filter val="8/27/2023"/>
            <filter val="8/27/2024"/>
            <filter val="8/27/2025"/>
            <filter val="8/28/2023"/>
            <filter val="8/28/2024"/>
            <filter val="8/28/2025"/>
            <filter val="8/29/2023"/>
            <filter val="8/29/2024"/>
            <filter val="8/29/2025"/>
            <filter val="8/3/2023"/>
            <filter val="8/3/2024"/>
            <filter val="8/3/2025"/>
            <filter val="8/30/2023"/>
            <filter val="8/30/2024"/>
            <filter val="8/30/2025"/>
            <filter val="8/31/2023"/>
            <filter val="8/31/2024"/>
            <filter val="8/31/2025"/>
            <filter val="8/4/2023"/>
            <filter val="8/4/2024"/>
            <filter val="8/4/2025"/>
            <filter val="8/5/2023"/>
            <filter val="8/5/2024"/>
            <filter val="8/5/2025"/>
            <filter val="8/6/2023"/>
            <filter val="8/6/2024"/>
            <filter val="8/6/2025"/>
            <filter val="8/7/2023"/>
            <filter val="8/7/2025"/>
            <filter val="8/8/2023"/>
            <filter val="8/8/2024"/>
            <filter val="8/8/2025"/>
            <filter val="8/9/2023"/>
            <filter val="8/9/2024"/>
            <filter val="8/9/2025"/>
            <filter val="9/1/2023"/>
            <filter val="9/1/2024"/>
            <filter val="9/1/2025"/>
            <filter val="9/10/2023"/>
            <filter val="9/10/2024"/>
            <filter val="9/10/2025"/>
            <filter val="9/11/2023"/>
            <filter val="9/11/2024"/>
            <filter val="9/11/2025"/>
            <filter val="9/12/2023"/>
            <filter val="9/12/2024"/>
            <filter val="9/12/2025"/>
            <filter val="9/13/2023"/>
            <filter val="9/13/2024"/>
            <filter val="9/13/2025"/>
            <filter val="9/14/2023"/>
            <filter val="9/14/2024"/>
            <filter val="9/14/2025"/>
            <filter val="9/15/2023"/>
            <filter val="9/15/2024"/>
            <filter val="9/15/2025"/>
            <filter val="9/16/2023"/>
            <filter val="9/16/2024"/>
            <filter val="9/16/2025"/>
            <filter val="9/17/2023"/>
            <filter val="9/17/2024"/>
            <filter val="9/17/2025"/>
            <filter val="9/18/2023"/>
            <filter val="9/18/2025"/>
            <filter val="9/19/2023"/>
            <filter val="9/19/2025"/>
            <filter val="9/2/2023"/>
            <filter val="9/2/2024"/>
            <filter val="9/2/2025"/>
            <filter val="9/20/2023"/>
            <filter val="9/20/2024"/>
            <filter val="9/20/2025"/>
            <filter val="9/21/2023"/>
            <filter val="9/21/2024"/>
            <filter val="9/22/2023"/>
            <filter val="9/22/2024"/>
            <filter val="9/22/2025"/>
            <filter val="9/23/2023"/>
            <filter val="9/23/2024"/>
            <filter val="9/23/2025"/>
            <filter val="9/24/2023"/>
            <filter val="9/24/2024"/>
            <filter val="9/24/2025"/>
            <filter val="9/25/2023"/>
            <filter val="9/25/2024"/>
            <filter val="9/25/2025"/>
            <filter val="9/26/2023"/>
            <filter val="9/26/2024"/>
            <filter val="9/26/2025"/>
            <filter val="9/27/2023"/>
            <filter val="9/27/2024"/>
            <filter val="9/27/2025"/>
            <filter val="9/28/2023"/>
            <filter val="9/28/2024"/>
            <filter val="9/28/2025"/>
            <filter val="9/29/2023"/>
            <filter val="9/29/2024"/>
            <filter val="9/29/2025"/>
            <filter val="9/3/2023"/>
            <filter val="9/3/2024"/>
            <filter val="9/3/2025"/>
            <filter val="9/30/2023"/>
            <filter val="9/30/2024"/>
            <filter val="9/30/2025"/>
            <filter val="9/4/2023"/>
            <filter val="9/4/2024"/>
            <filter val="9/4/2025"/>
            <filter val="9/5/2023"/>
            <filter val="9/5/2024"/>
            <filter val="9/5/2025"/>
            <filter val="9/6/2023"/>
            <filter val="9/6/2024"/>
            <filter val="9/6/2025"/>
            <filter val="9/7/2023"/>
            <filter val="9/7/2024"/>
            <filter val="9/7/2025"/>
            <filter val="9/8/2023"/>
            <filter val="9/8/2024"/>
            <filter val="9/8/2025"/>
            <filter val="9/9/2023"/>
            <filter val="9/9/2024"/>
            <filter val="9/9/2025"/>
          </filters>
        </filterColumn>
      </autoFilter>
    </customSheetView>
  </customSheetView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固定費</vt:lpstr>
      <vt:lpstr>【Monthly】2023年</vt:lpstr>
      <vt:lpstr>【Monthly】2024年</vt:lpstr>
      <vt:lpstr>【Monthly】2025年</vt:lpstr>
      <vt:lpstr>【Monthly】2026年</vt:lpstr>
      <vt:lpstr>【Daily】2024年</vt:lpstr>
      <vt:lpstr>【Daily】2025年</vt:lpstr>
      <vt:lpstr>【Daily】2026年</vt:lpstr>
      <vt:lpstr>【Daily】2023年</vt:lpstr>
      <vt:lpstr>フォームの回答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Sakiyama, Yuuki/崎山 勇気</cp:lastModifiedBy>
  <dcterms:modified xsi:type="dcterms:W3CDTF">2026-04-27T06:23:38Z</dcterms:modified>
</cp:coreProperties>
</file>